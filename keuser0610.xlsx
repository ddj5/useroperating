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activeTab="5"/>
  </bookViews>
  <sheets>
    <sheet name="A" sheetId="1" r:id="rId1"/>
    <sheet name="B" sheetId="2" r:id="rId2"/>
    <sheet name="C" sheetId="3" r:id="rId3"/>
    <sheet name="combinate" sheetId="4" r:id="rId4"/>
    <sheet name="Sheet1" sheetId="7" r:id="rId5"/>
    <sheet name="总表" sheetId="6" r:id="rId6"/>
  </sheets>
  <definedNames>
    <definedName name="_xlnm._FilterDatabase" localSheetId="2" hidden="1">'C'!$A$1:$AA$459</definedName>
    <definedName name="_xlnm._FilterDatabase" localSheetId="3" hidden="1">combinate!$A$1:$B$889</definedName>
    <definedName name="_xlnm._FilterDatabase" localSheetId="5" hidden="1">总表!$A$1:$Q$889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<sst xmlns="http://schemas.openxmlformats.org/spreadsheetml/2006/main" count="14105" uniqueCount="276">
  <si>
    <t>date</t>
  </si>
  <si>
    <t>country</t>
  </si>
  <si>
    <t>userid</t>
  </si>
  <si>
    <t>username</t>
  </si>
  <si>
    <t>register_time</t>
  </si>
  <si>
    <t>Total Stake</t>
  </si>
  <si>
    <t>Total Stake on Sports</t>
  </si>
  <si>
    <t>Total Stake on Games</t>
  </si>
  <si>
    <t>Total GGR</t>
  </si>
  <si>
    <t>Total Sports GGR</t>
  </si>
  <si>
    <t>Total Gaming GGR</t>
  </si>
  <si>
    <t>Total Deposit (usd)</t>
  </si>
  <si>
    <t>Total Deposit (local)</t>
  </si>
  <si>
    <t>The latest 90days Deposit (usd)</t>
  </si>
  <si>
    <t>The latest 90days Deposit (local)</t>
  </si>
  <si>
    <t>User Preference</t>
  </si>
  <si>
    <t>deposit_category</t>
  </si>
  <si>
    <t>label</t>
  </si>
  <si>
    <t>No-Deposit Sports Coupon(odd&gt;2.5)</t>
  </si>
  <si>
    <t>casinobonus</t>
  </si>
  <si>
    <t>VIP-type</t>
  </si>
  <si>
    <t>sex</t>
  </si>
  <si>
    <t>first_name</t>
  </si>
  <si>
    <t>last_name</t>
  </si>
  <si>
    <t>birthday</t>
  </si>
  <si>
    <t>temp_birthday</t>
  </si>
  <si>
    <t>email</t>
  </si>
  <si>
    <t>2026-06-02</t>
  </si>
  <si>
    <t>ke</t>
  </si>
  <si>
    <t>aviator-user</t>
  </si>
  <si>
    <t>[50,1000)</t>
  </si>
  <si>
    <t>A组</t>
  </si>
  <si>
    <t/>
  </si>
  <si>
    <t>[1000,10w)</t>
  </si>
  <si>
    <t>casino-user</t>
  </si>
  <si>
    <t>bet&amp;casino-user</t>
  </si>
  <si>
    <t>2026-06-03</t>
  </si>
  <si>
    <t>254115340046</t>
  </si>
  <si>
    <t>Group A</t>
  </si>
  <si>
    <t>254116176707</t>
  </si>
  <si>
    <t>254117536106</t>
  </si>
  <si>
    <t>254118389347</t>
  </si>
  <si>
    <t>254119659526</t>
  </si>
  <si>
    <t>254700688912</t>
  </si>
  <si>
    <t>254702569649</t>
  </si>
  <si>
    <t>254704021138</t>
  </si>
  <si>
    <t>254704177773</t>
  </si>
  <si>
    <t>254704778099</t>
  </si>
  <si>
    <t>254704947195</t>
  </si>
  <si>
    <t>254705094468</t>
  </si>
  <si>
    <t>254705320182</t>
  </si>
  <si>
    <t>254705503520</t>
  </si>
  <si>
    <t>254708135880</t>
  </si>
  <si>
    <t>254710345176</t>
  </si>
  <si>
    <t>254710702119</t>
  </si>
  <si>
    <t>254710861165</t>
  </si>
  <si>
    <t>254712301798</t>
  </si>
  <si>
    <t>254713110224</t>
  </si>
  <si>
    <t>254713668931</t>
  </si>
  <si>
    <t>254715722490</t>
  </si>
  <si>
    <t>254717525801</t>
  </si>
  <si>
    <t>254717713292</t>
  </si>
  <si>
    <t>254717811622</t>
  </si>
  <si>
    <t>254717954367</t>
  </si>
  <si>
    <t>254718543425</t>
  </si>
  <si>
    <t>254719770787</t>
  </si>
  <si>
    <t>254720220843</t>
  </si>
  <si>
    <t>254720299668</t>
  </si>
  <si>
    <t>254721217410</t>
  </si>
  <si>
    <t>254721278181</t>
  </si>
  <si>
    <t>254721620737</t>
  </si>
  <si>
    <t>254721832091</t>
  </si>
  <si>
    <t>254722685409</t>
  </si>
  <si>
    <t>254722872210</t>
  </si>
  <si>
    <t>254724303827</t>
  </si>
  <si>
    <t>254725400755</t>
  </si>
  <si>
    <t>254725597316</t>
  </si>
  <si>
    <t>254726178163</t>
  </si>
  <si>
    <t>254726798896</t>
  </si>
  <si>
    <t>254727454468</t>
  </si>
  <si>
    <t>254728421694</t>
  </si>
  <si>
    <t>254728699987</t>
  </si>
  <si>
    <t>254741049497</t>
  </si>
  <si>
    <t>254741423183</t>
  </si>
  <si>
    <t>254743558162</t>
  </si>
  <si>
    <t>254745486690</t>
  </si>
  <si>
    <t>254745618260</t>
  </si>
  <si>
    <t>254746941428</t>
  </si>
  <si>
    <t>254748206448</t>
  </si>
  <si>
    <t>254748657306</t>
  </si>
  <si>
    <t>254757340006</t>
  </si>
  <si>
    <t>254757846804</t>
  </si>
  <si>
    <t>254758816540</t>
  </si>
  <si>
    <t>254759100009</t>
  </si>
  <si>
    <t>254790886261</t>
  </si>
  <si>
    <t>254790925761</t>
  </si>
  <si>
    <t>254794424367</t>
  </si>
  <si>
    <t>254795114307</t>
  </si>
  <si>
    <t>254795705873</t>
  </si>
  <si>
    <t>254795774274</t>
  </si>
  <si>
    <t>254796048427</t>
  </si>
  <si>
    <t>254796589435</t>
  </si>
  <si>
    <t>254799057384</t>
  </si>
  <si>
    <t>254799264269</t>
  </si>
  <si>
    <t>2026-06-04</t>
  </si>
  <si>
    <t>2026-06-05</t>
  </si>
  <si>
    <t>2026-06-08</t>
  </si>
  <si>
    <t>B组</t>
  </si>
  <si>
    <t>254112104238</t>
  </si>
  <si>
    <t>Group B</t>
  </si>
  <si>
    <t>254115128990</t>
  </si>
  <si>
    <t>254115604060</t>
  </si>
  <si>
    <t>254116754229</t>
  </si>
  <si>
    <t>254700102883</t>
  </si>
  <si>
    <t>254701121160</t>
  </si>
  <si>
    <t>254701740788</t>
  </si>
  <si>
    <t>254702516739</t>
  </si>
  <si>
    <t>254702807077</t>
  </si>
  <si>
    <t>254703334314</t>
  </si>
  <si>
    <t>254703671166</t>
  </si>
  <si>
    <t>254704374937</t>
  </si>
  <si>
    <t>254704826713</t>
  </si>
  <si>
    <t>254704850574</t>
  </si>
  <si>
    <t>254705527559</t>
  </si>
  <si>
    <t>254708235746</t>
  </si>
  <si>
    <t>254710732367</t>
  </si>
  <si>
    <t>254711464717</t>
  </si>
  <si>
    <t>254712037335</t>
  </si>
  <si>
    <t>254714772960</t>
  </si>
  <si>
    <t>254715822683</t>
  </si>
  <si>
    <t>254716125687</t>
  </si>
  <si>
    <t>254716174080</t>
  </si>
  <si>
    <t>254717518237</t>
  </si>
  <si>
    <t>254718564157</t>
  </si>
  <si>
    <t>254720685154</t>
  </si>
  <si>
    <t>254721135551</t>
  </si>
  <si>
    <t>254721393950</t>
  </si>
  <si>
    <t>254721643562</t>
  </si>
  <si>
    <t>254723542060</t>
  </si>
  <si>
    <t>254724020234</t>
  </si>
  <si>
    <t>254724733695</t>
  </si>
  <si>
    <t>254725145245</t>
  </si>
  <si>
    <t>254726866965</t>
  </si>
  <si>
    <t>254727515649</t>
  </si>
  <si>
    <t>254729629390</t>
  </si>
  <si>
    <t>254735955680</t>
  </si>
  <si>
    <t>254742716099</t>
  </si>
  <si>
    <t>254746572578</t>
  </si>
  <si>
    <t>254748054109</t>
  </si>
  <si>
    <t>254768635522</t>
  </si>
  <si>
    <t>254769607319</t>
  </si>
  <si>
    <t>254790562854</t>
  </si>
  <si>
    <t>254791432424</t>
  </si>
  <si>
    <t>254792809439</t>
  </si>
  <si>
    <t>254793278424</t>
  </si>
  <si>
    <t>254793643443</t>
  </si>
  <si>
    <t>254794555154</t>
  </si>
  <si>
    <t>254795341643</t>
  </si>
  <si>
    <t>254795758864</t>
  </si>
  <si>
    <t>254797031868</t>
  </si>
  <si>
    <t>254799489964</t>
  </si>
  <si>
    <t>254799880457</t>
  </si>
  <si>
    <t>C组</t>
  </si>
  <si>
    <t>254110233502</t>
  </si>
  <si>
    <t>Group C</t>
  </si>
  <si>
    <t>254110361556</t>
  </si>
  <si>
    <t>254111398591</t>
  </si>
  <si>
    <t>254112866475</t>
  </si>
  <si>
    <t>254113241000</t>
  </si>
  <si>
    <t>254113335557</t>
  </si>
  <si>
    <t>254113615115</t>
  </si>
  <si>
    <t>254116021075</t>
  </si>
  <si>
    <t>254116249274</t>
  </si>
  <si>
    <t>254117010052</t>
  </si>
  <si>
    <t>254117507840</t>
  </si>
  <si>
    <t>254117789395</t>
  </si>
  <si>
    <t>254700390020</t>
  </si>
  <si>
    <t>254700403580</t>
  </si>
  <si>
    <t>254704372262</t>
  </si>
  <si>
    <t>254704851286</t>
  </si>
  <si>
    <t>254705042619</t>
  </si>
  <si>
    <t>254705478480</t>
  </si>
  <si>
    <t>254710155478</t>
  </si>
  <si>
    <t>254710260457</t>
  </si>
  <si>
    <t>254710976519</t>
  </si>
  <si>
    <t>254713311489</t>
  </si>
  <si>
    <t>254713314701</t>
  </si>
  <si>
    <t>254713543222</t>
  </si>
  <si>
    <t>254713941825</t>
  </si>
  <si>
    <t>254716051052</t>
  </si>
  <si>
    <t>254716905083</t>
  </si>
  <si>
    <t>254717317792</t>
  </si>
  <si>
    <t>254718004064</t>
  </si>
  <si>
    <t>254718131778</t>
  </si>
  <si>
    <t>254720106210</t>
  </si>
  <si>
    <t>254720264897</t>
  </si>
  <si>
    <t>254720342218</t>
  </si>
  <si>
    <t>254720712908</t>
  </si>
  <si>
    <t>254721979344</t>
  </si>
  <si>
    <t>254722323764</t>
  </si>
  <si>
    <t>254722939030</t>
  </si>
  <si>
    <t>254723225729</t>
  </si>
  <si>
    <t>254724063616</t>
  </si>
  <si>
    <t>254724101008</t>
  </si>
  <si>
    <t>254724949758</t>
  </si>
  <si>
    <t>254725585656</t>
  </si>
  <si>
    <t>254725706520</t>
  </si>
  <si>
    <t>254726081096</t>
  </si>
  <si>
    <t>254726785034</t>
  </si>
  <si>
    <t>254726804772</t>
  </si>
  <si>
    <t>254726960247</t>
  </si>
  <si>
    <t>254727168844</t>
  </si>
  <si>
    <t>254727673573</t>
  </si>
  <si>
    <t>254728255627</t>
  </si>
  <si>
    <t>254728536383</t>
  </si>
  <si>
    <t>254740193384</t>
  </si>
  <si>
    <t>254740503616</t>
  </si>
  <si>
    <t>254740720387</t>
  </si>
  <si>
    <t>254741975583</t>
  </si>
  <si>
    <t>254742306699</t>
  </si>
  <si>
    <t>254742724652</t>
  </si>
  <si>
    <t>254743076540</t>
  </si>
  <si>
    <t>254746101119</t>
  </si>
  <si>
    <t>254757685331</t>
  </si>
  <si>
    <t>254758894643</t>
  </si>
  <si>
    <t>254759515564</t>
  </si>
  <si>
    <t>254759734083</t>
  </si>
  <si>
    <t>254768601766</t>
  </si>
  <si>
    <t>254769791667</t>
  </si>
  <si>
    <t>254786459377</t>
  </si>
  <si>
    <t>254790548034</t>
  </si>
  <si>
    <t>254790952494</t>
  </si>
  <si>
    <t>254791671923</t>
  </si>
  <si>
    <t>254792274487</t>
  </si>
  <si>
    <t>254792542857</t>
  </si>
  <si>
    <t>254792568727</t>
  </si>
  <si>
    <t>254792864827</t>
  </si>
  <si>
    <t>254792927350</t>
  </si>
  <si>
    <t>254793810037</t>
  </si>
  <si>
    <t>254793964079</t>
  </si>
  <si>
    <t>254795932937</t>
  </si>
  <si>
    <t>254796069425</t>
  </si>
  <si>
    <t>254796611523</t>
  </si>
  <si>
    <t>254796716200</t>
  </si>
  <si>
    <t>254797799740</t>
  </si>
  <si>
    <t>254797909950</t>
  </si>
  <si>
    <t>254798404385</t>
  </si>
  <si>
    <t>254799331544</t>
  </si>
  <si>
    <t>计数项:用户手机号</t>
  </si>
  <si>
    <t>是否回归</t>
  </si>
  <si>
    <t>是</t>
  </si>
  <si>
    <t>总计</t>
  </si>
  <si>
    <t>回归率</t>
  </si>
  <si>
    <t>是否有效回归</t>
  </si>
  <si>
    <t>否</t>
  </si>
  <si>
    <t>漏斗有效</t>
  </si>
  <si>
    <t>有效回归率</t>
  </si>
  <si>
    <t>计数项:是否有效回归</t>
  </si>
  <si>
    <t>求和项:总投注流水（本地货币）</t>
  </si>
  <si>
    <t>求和项:全部ggr（本地货币）</t>
  </si>
  <si>
    <t>求和项:充值金额（本地货币）</t>
  </si>
  <si>
    <t>用户手机号</t>
  </si>
  <si>
    <t>用户id</t>
  </si>
  <si>
    <t>最后登录时间</t>
  </si>
  <si>
    <t>总投注流水（usd）</t>
  </si>
  <si>
    <t>总投注流水（本地货币）</t>
  </si>
  <si>
    <t>体育投注流水（本地货币）</t>
  </si>
  <si>
    <t>游戏投注流水（本地货币）</t>
  </si>
  <si>
    <t>体育ggr（本地货币）</t>
  </si>
  <si>
    <t>游戏ggr（本地货币）</t>
  </si>
  <si>
    <t>全部ggr（usd）</t>
  </si>
  <si>
    <t>全部ggr（本地货币）</t>
  </si>
  <si>
    <t>充值金额（usd）</t>
  </si>
  <si>
    <t>充值金额（本地货币）</t>
  </si>
  <si>
    <t>提现金额（usd）</t>
  </si>
  <si>
    <t>提现金额（本地货币）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</si>
</sst>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);[Red]\(0.00\)"/>
    <numFmt numFmtId="178" formatCode="yyyy\-mm\-dd\ hh:mm:ss"/>
    <numFmt numFmtId="179" formatCode="0.000_ "/>
  </numFmts>
  <fonts count="24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4" borderId="6">
      <alignment vertical="center"/>
    </xf>
    <xf numFmtId="0" fontId="14" fillId="5" borderId="7">
      <alignment vertical="center"/>
    </xf>
    <xf numFmtId="0" fontId="15" fillId="5" borderId="6">
      <alignment vertical="center"/>
    </xf>
    <xf numFmtId="0" fontId="16" fillId="6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22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vertical="center"/>
    </xf>
    <xf numFmtId="0" fontId="0" fillId="0" borderId="0" xfId="0" applyFont="1" applyFill="1" applyAlignment="1"/>
    <xf numFmtId="176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176" fontId="3" fillId="0" borderId="0" xfId="0" applyNumberFormat="1" applyFont="1" applyFill="1" applyAlignment="1"/>
    <xf numFmtId="0" fontId="3" fillId="0" borderId="0" xfId="0" applyFont="1" applyFill="1" applyAlignment="1"/>
    <xf numFmtId="178" fontId="3" fillId="0" borderId="0" xfId="0" applyNumberFormat="1" applyFont="1" applyFill="1" applyAlignment="1"/>
    <xf numFmtId="177" fontId="4" fillId="0" borderId="0" xfId="0" applyNumberFormat="1" applyFont="1" applyFill="1" applyAlignment="1"/>
    <xf numFmtId="177" fontId="3" fillId="0" borderId="0" xfId="0" applyNumberFormat="1" applyFont="1" applyFill="1" applyAlignment="1"/>
    <xf numFmtId="10" fontId="0" fillId="0" borderId="0" xfId="3" applyNumberFormat="1">
      <alignment vertical="center"/>
    </xf>
    <xf numFmtId="0" fontId="0" fillId="0" borderId="2" xfId="0" applyBorder="1" applyAlignment="1">
      <alignment vertical="center"/>
    </xf>
    <xf numFmtId="179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 applyFill="1" applyAlignment="1"/>
    <xf numFmtId="0" fontId="0" fillId="0" borderId="0" xfId="0" applyFill="1" applyAlignment="1"/>
    <xf numFmtId="176" fontId="0" fillId="0" borderId="0" xfId="0" applyNumberFormat="1" applyFont="1" applyFill="1" applyAlignment="1"/>
    <xf numFmtId="178" fontId="0" fillId="0" borderId="0" xfId="0" applyNumberFormat="1" applyFill="1" applyAlignment="1"/>
    <xf numFmtId="178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5.5953703704" refreshedBy="ddj57" recordCount="889">
  <cacheSource type="worksheet">
    <worksheetSource ref="A1:Q1048576" sheet="总表"/>
  </cacheSource>
  <cacheFields count="17">
    <cacheField name="label" numFmtId="0">
      <sharedItems containsBlank="1" count="4">
        <s v="Group A"/>
        <s v="Group B"/>
        <s v="Group C"/>
        <m/>
      </sharedItems>
    </cacheField>
    <cacheField name="用户手机号" numFmtId="176">
      <sharedItems containsString="0" containsBlank="1" containsNumber="1" containsInteger="1" minValue="254104748080" maxValue="254799976195" count="889">
        <n v="254725223000"/>
        <n v="254718564157"/>
        <n v="254724373010"/>
        <n v="254742176619"/>
        <n v="254706761895"/>
        <n v="254748338772"/>
        <n v="254719541682"/>
        <n v="254701740788"/>
        <n v="254714852588"/>
        <n v="254706989984"/>
        <n v="254794321132"/>
        <n v="254718004064"/>
        <n v="254768001060"/>
        <n v="254725227759"/>
        <n v="254715799919"/>
        <n v="254796069425"/>
        <n v="254797909950"/>
        <n v="254791804303"/>
        <n v="254790146308"/>
        <n v="254743558162"/>
        <n v="254758619701"/>
        <n v="254725793059"/>
        <n v="254713655622"/>
        <n v="254704108930"/>
        <n v="254793621557"/>
        <n v="254793278424"/>
        <n v="254795341643"/>
        <n v="254706096874"/>
        <n v="254117626833"/>
        <n v="254768264749"/>
        <n v="254742306699"/>
        <n v="254708031767"/>
        <n v="254719125233"/>
        <n v="254728546897"/>
        <n v="254745618260"/>
        <n v="254724101008"/>
        <n v="254799247838"/>
        <n v="254729889133"/>
        <n v="254723275890"/>
        <n v="254726568497"/>
        <n v="254721643562"/>
        <n v="254720299668"/>
        <n v="254114389116"/>
        <n v="254795932937"/>
        <n v="254790952494"/>
        <n v="254722685409"/>
        <n v="254705455322"/>
        <n v="254757140237"/>
        <n v="254740193384"/>
        <n v="254726388091"/>
        <n v="254724613959"/>
        <n v="254793865233"/>
        <n v="254114392239"/>
        <n v="254720364263"/>
        <n v="254117218951"/>
        <n v="254728536383"/>
        <n v="254716643208"/>
        <n v="254700004252"/>
        <n v="254116249274"/>
        <n v="254727560469"/>
        <n v="254740495569"/>
        <n v="254712671248"/>
        <n v="254703935626"/>
        <n v="254715135415"/>
        <n v="254112879367"/>
        <n v="254786184963"/>
        <n v="254115978345"/>
        <n v="254794809214"/>
        <n v="254793974314"/>
        <n v="254798829500"/>
        <n v="254798419208"/>
        <n v="254719566865"/>
        <n v="254720276518"/>
        <n v="254112929998"/>
        <n v="254708431311"/>
        <n v="254728454489"/>
        <n v="254796611523"/>
        <n v="254140047631"/>
        <n v="254794050662"/>
        <n v="254748500093"/>
        <n v="254725575748"/>
        <n v="254706171860"/>
        <n v="254712681043"/>
        <n v="254792410078"/>
        <n v="254715416505"/>
        <n v="254114351290"/>
        <n v="254795993707"/>
        <n v="254702896654"/>
        <n v="254700661367"/>
        <n v="254793294359"/>
        <n v="254705320182"/>
        <n v="254140142988"/>
        <n v="254797799740"/>
        <n v="254719211217"/>
        <n v="254759102952"/>
        <n v="254721278181"/>
        <n v="254710260457"/>
        <n v="254726084662"/>
        <n v="254724949758"/>
        <n v="254715001774"/>
        <n v="254704114547"/>
        <n v="254701900216"/>
        <n v="254717954367"/>
        <n v="254727994394"/>
        <n v="254720585933"/>
        <n v="254748869140"/>
        <n v="254729703345"/>
        <n v="254722725152"/>
        <n v="254726660315"/>
        <n v="254742221530"/>
        <n v="254708586321"/>
        <n v="254702505819"/>
        <n v="254746963507"/>
        <n v="254758884819"/>
        <n v="254796670273"/>
        <n v="254718985030"/>
        <n v="254790029270"/>
        <n v="254710341829"/>
        <n v="254792520038"/>
        <n v="254798188421"/>
        <n v="254794555154"/>
        <n v="254757685331"/>
        <n v="254790562854"/>
        <n v="254720396271"/>
        <n v="254794281959"/>
        <n v="254780156928"/>
        <n v="254117580706"/>
        <n v="254798147287"/>
        <n v="254717831976"/>
        <n v="254707025433"/>
        <n v="254119623455"/>
        <n v="254704177773"/>
        <n v="254797129216"/>
        <n v="254118389347"/>
        <n v="254119811061"/>
        <n v="254743861151"/>
        <n v="254791677041"/>
        <n v="254711376243"/>
        <n v="254716905083"/>
        <n v="254113500353"/>
        <n v="254725741927"/>
        <n v="254741975583"/>
        <n v="254140621618"/>
        <n v="254719770787"/>
        <n v="254798956567"/>
        <n v="254727994988"/>
        <n v="254708851808"/>
        <n v="254722484393"/>
        <n v="254111933428"/>
        <n v="254713891297"/>
        <n v="254791592530"/>
        <n v="254718961931"/>
        <n v="254719233282"/>
        <n v="254717713292"/>
        <n v="254701620426"/>
        <n v="254706246179"/>
        <n v="254706341406"/>
        <n v="254722872210"/>
        <n v="254757379930"/>
        <n v="254797423692"/>
        <n v="254710211285"/>
        <n v="254726677517"/>
        <n v="254712530713"/>
        <n v="254701540610"/>
        <n v="254727778939"/>
        <n v="254743664199"/>
        <n v="254701121160"/>
        <n v="254791350676"/>
        <n v="254726654069"/>
        <n v="254722570452"/>
        <n v="254718180196"/>
        <n v="254726804772"/>
        <n v="254715675230"/>
        <n v="254713311489"/>
        <n v="254701247018"/>
        <n v="254792037353"/>
        <n v="254768556223"/>
        <n v="254746569776"/>
        <n v="254115340046"/>
        <n v="254706383103"/>
        <n v="254110861850"/>
        <n v="254728310933"/>
        <n v="254728137546"/>
        <n v="254703325859"/>
        <n v="254112104238"/>
        <n v="254720712908"/>
        <n v="254700403580"/>
        <n v="254727012847"/>
        <n v="254768814065"/>
        <n v="254748159116"/>
        <n v="254718543425"/>
        <n v="254702807077"/>
        <n v="254769164317"/>
        <n v="254748713590"/>
        <n v="254797827050"/>
        <n v="254724121209"/>
        <n v="254116513295"/>
        <n v="254112579930"/>
        <n v="254112165622"/>
        <n v="254726758397"/>
        <n v="254724659459"/>
        <n v="254768601766"/>
        <n v="254798946247"/>
        <n v="254799489964"/>
        <n v="254140232432"/>
        <n v="254717684125"/>
        <n v="254721137123"/>
        <n v="254729897749"/>
        <n v="254110836813"/>
        <n v="254718571705"/>
        <n v="254799880457"/>
        <n v="254728781109"/>
        <n v="254721445299"/>
        <n v="254140928434"/>
        <n v="254715059069"/>
        <n v="254754125780"/>
        <n v="254117718477"/>
        <n v="254797909034"/>
        <n v="254703582991"/>
        <n v="254795758864"/>
        <n v="254141464090"/>
        <n v="254704074497"/>
        <n v="254798424729"/>
        <n v="254714241197"/>
        <n v="254707829195"/>
        <n v="254717222699"/>
        <n v="254723768567"/>
        <n v="254729377037"/>
        <n v="254745099697"/>
        <n v="254702569649"/>
        <n v="254743793450"/>
        <n v="254791831059"/>
        <n v="254725145245"/>
        <n v="254708525873"/>
        <n v="254702852061"/>
        <n v="254706649300"/>
        <n v="254716885985"/>
        <n v="254792495599"/>
        <n v="254716051052"/>
        <n v="254746375146"/>
        <n v="254724063616"/>
        <n v="254115604060"/>
        <n v="254792568727"/>
        <n v="254702338333"/>
        <n v="254711541119"/>
        <n v="254712905066"/>
        <n v="254729353693"/>
        <n v="254716949656"/>
        <n v="254724647993"/>
        <n v="254768286644"/>
        <n v="254722925809"/>
        <n v="254703581163"/>
        <n v="254796736840"/>
        <n v="254722607267"/>
        <n v="254759734083"/>
        <n v="254759515564"/>
        <n v="254790760108"/>
        <n v="254723352202"/>
        <n v="254719333455"/>
        <n v="254713968708"/>
        <n v="254793964079"/>
        <n v="254114737055"/>
        <n v="254720220843"/>
        <n v="254725697311"/>
        <n v="254707200525"/>
        <n v="254702723630"/>
        <n v="254790886261"/>
        <n v="254728324788"/>
        <n v="254726866965"/>
        <n v="254119283097"/>
        <n v="254721217410"/>
        <n v="254757917406"/>
        <n v="254792542857"/>
        <n v="254793055517"/>
        <n v="254720338385"/>
        <n v="254716282794"/>
        <n v="254723936569"/>
        <n v="254758894643"/>
        <n v="254725706520"/>
        <n v="254758320025"/>
        <n v="254707788557"/>
        <n v="254704372262"/>
        <n v="254768553963"/>
        <n v="254726479727"/>
        <n v="254703148756"/>
        <n v="254746615116"/>
        <n v="254741763894"/>
        <n v="254117010052"/>
        <n v="254743456689"/>
        <n v="254725779914"/>
        <n v="254720685154"/>
        <n v="254741428917"/>
        <n v="254794094609"/>
        <n v="254796716200"/>
        <n v="254703319644"/>
        <n v="254713110224"/>
        <n v="254748232521"/>
        <n v="254715822683"/>
        <n v="254722883566"/>
        <n v="254722317841"/>
        <n v="254725231474"/>
        <n v="254725400755"/>
        <n v="254714018823"/>
        <n v="254700874013"/>
        <n v="254724733695"/>
        <n v="254723908698"/>
        <n v="254743262728"/>
        <n v="254725923661"/>
        <n v="254714121026"/>
        <n v="254113050746"/>
        <n v="254708329504"/>
        <n v="254115151700"/>
        <n v="254725542577"/>
        <n v="254112999657"/>
        <n v="254793581863"/>
        <n v="254798404385"/>
        <n v="254112866475"/>
        <n v="254110755834"/>
        <n v="254115128990"/>
        <n v="254704947195"/>
        <n v="254752862759"/>
        <n v="254769578182"/>
        <n v="254768635522"/>
        <n v="254116873056"/>
        <n v="254792927350"/>
        <n v="254711300997"/>
        <n v="254710665594"/>
        <n v="254769733116"/>
        <n v="254723112675"/>
        <n v="254722884184"/>
        <n v="254741672328"/>
        <n v="254716174080"/>
        <n v="254726590413"/>
        <n v="254748503820"/>
        <n v="254723542060"/>
        <n v="254796048427"/>
        <n v="254729879984"/>
        <n v="254704539977"/>
        <n v="254722520329"/>
        <n v="254704497927"/>
        <n v="254753067729"/>
        <n v="254799264269"/>
        <n v="254700390020"/>
        <n v="254710155478"/>
        <n v="254725806597"/>
        <n v="254740709013"/>
        <n v="254702759164"/>
        <n v="254745858225"/>
        <n v="254113550481"/>
        <n v="254110233502"/>
        <n v="254729930399"/>
        <n v="254745965971"/>
        <n v="254708493971"/>
        <n v="254701945725"/>
        <n v="254792141332"/>
        <n v="254714398889"/>
        <n v="254791432424"/>
        <n v="254769198597"/>
        <n v="254795123062"/>
        <n v="254790767800"/>
        <n v="254113576740"/>
        <n v="254706880969"/>
        <n v="254715856035"/>
        <n v="254769684724"/>
        <n v="254792536727"/>
        <n v="254119854979"/>
        <n v="254713572153"/>
        <n v="254712757922"/>
        <n v="254113864401"/>
        <n v="254794992787"/>
        <n v="254140632144"/>
        <n v="254704851286"/>
        <n v="254792971523"/>
        <n v="254769214191"/>
        <n v="254114092921"/>
        <n v="254710732367"/>
        <n v="254728799822"/>
        <n v="254703334314"/>
        <n v="254794662112"/>
        <n v="254114793929"/>
        <n v="254700099870"/>
        <n v="254140321302"/>
        <n v="254717811622"/>
        <n v="254746941428"/>
        <n v="254720626099"/>
        <n v="254797534461"/>
        <n v="254758414186"/>
        <n v="254728699987"/>
        <n v="254702319862"/>
        <n v="254724838892"/>
        <n v="254742724652"/>
        <n v="254795375790"/>
        <n v="254748300807"/>
        <n v="254727366552"/>
        <n v="254719392048"/>
        <n v="254702172156"/>
        <n v="254715731858"/>
        <n v="254725585656"/>
        <n v="254745535653"/>
        <n v="254790548034"/>
        <n v="254714981951"/>
        <n v="254741049497"/>
        <n v="254769791667"/>
        <n v="254791675622"/>
        <n v="254716326157"/>
        <n v="254713962447"/>
        <n v="254792274487"/>
        <n v="254710659278"/>
        <n v="254725275696"/>
        <n v="254115464651"/>
        <n v="254725095277"/>
        <n v="254720264897"/>
        <n v="254741036382"/>
        <n v="254745486082"/>
        <n v="254725906100"/>
        <n v="254727840181"/>
        <n v="254722532184"/>
        <n v="254798447624"/>
        <n v="254113615115"/>
        <n v="254758650033"/>
        <n v="254720570390"/>
        <n v="254117536106"/>
        <n v="254790821661"/>
        <n v="254720342218"/>
        <n v="254746355123"/>
        <n v="254717489723"/>
        <n v="254795314883"/>
        <n v="254700785323"/>
        <n v="254707448437"/>
        <n v="254740307312"/>
        <n v="254715925936"/>
        <n v="254115918387"/>
        <n v="254769948533"/>
        <n v="254711614223"/>
        <n v="254794831592"/>
        <n v="254741564096"/>
        <n v="254797204012"/>
        <n v="254796044714"/>
        <n v="254746453310"/>
        <n v="254743076540"/>
        <n v="254116176707"/>
        <n v="254712666371"/>
        <n v="254721832091"/>
        <n v="254700688912"/>
        <n v="254705577137"/>
        <n v="254726706750"/>
        <n v="254723972570"/>
        <n v="254792064195"/>
        <n v="254140302868"/>
        <n v="254116255629"/>
        <n v="254113335557"/>
        <n v="254741082494"/>
        <n v="254707666155"/>
        <n v="254786459377"/>
        <n v="254717317792"/>
        <n v="254711310638"/>
        <n v="254797831034"/>
        <n v="254726960247"/>
        <n v="254727638673"/>
        <n v="254141029726"/>
        <n v="254790971241"/>
        <n v="254718873432"/>
        <n v="254722207920"/>
        <n v="254794251162"/>
        <n v="254724349321"/>
        <n v="254758393911"/>
        <n v="254713555219"/>
        <n v="254703938238"/>
        <n v="254700724502"/>
        <n v="254724020234"/>
        <n v="254797267736"/>
        <n v="254712453033"/>
        <n v="254715801012"/>
        <n v="254792864827"/>
        <n v="254728820482"/>
        <n v="254708135880"/>
        <n v="254719318577"/>
        <n v="254720122179"/>
        <n v="254711646762"/>
        <n v="254729060989"/>
        <n v="254704374937"/>
        <n v="254110954782"/>
        <n v="254716888228"/>
        <n v="254743496752"/>
        <n v="254724243294"/>
        <n v="254705503520"/>
        <n v="254795634907"/>
        <n v="254796811544"/>
        <n v="254799057384"/>
        <n v="254757695841"/>
        <n v="254797031868"/>
        <n v="254721882488"/>
        <n v="254725597316"/>
        <n v="254724906390"/>
        <n v="254727877981"/>
        <n v="254740156781"/>
        <n v="254704021138"/>
        <n v="254713767179"/>
        <n v="254706926939"/>
        <n v="254114652944"/>
        <n v="254705537358"/>
        <n v="254714497291"/>
        <n v="254705000972"/>
        <n v="254793517303"/>
        <n v="254708353655"/>
        <n v="254721973796"/>
        <n v="254769338060"/>
        <n v="254794720751"/>
        <n v="254700013083"/>
        <n v="254798584910"/>
        <n v="254706572795"/>
        <n v="254748246675"/>
        <n v="254704092202"/>
        <n v="254748087991"/>
        <n v="254114536921"/>
        <n v="254743247634"/>
        <n v="254740725859"/>
        <n v="254745486690"/>
        <n v="254791527570"/>
        <n v="254743978769"/>
        <n v="254118814497"/>
        <n v="254798471798"/>
        <n v="254117086301"/>
        <n v="254116021075"/>
        <n v="254746397511"/>
        <n v="254703671166"/>
        <n v="254724303827"/>
        <n v="254726713819"/>
        <n v="254710867037"/>
        <n v="254119423828"/>
        <n v="254713314701"/>
        <n v="254711262353"/>
        <n v="254117789395"/>
        <n v="254735955680"/>
        <n v="254724023704"/>
        <n v="254748133967"/>
        <n v="254142167435"/>
        <n v="254768968416"/>
        <n v="254717327791"/>
        <n v="254795114307"/>
        <n v="254721135551"/>
        <n v="254740727423"/>
        <n v="254729238726"/>
        <n v="254712301798"/>
        <n v="254715027583"/>
        <n v="254793643443"/>
        <n v="254718031626"/>
        <n v="254745550973"/>
        <n v="254713120430"/>
        <n v="254769651564"/>
        <n v="254740105572"/>
        <n v="254719767266"/>
        <n v="254717525801"/>
        <n v="254700091090"/>
        <n v="254795085758"/>
        <n v="254721545343"/>
        <n v="254718202188"/>
        <n v="254705175527"/>
        <n v="254721105988"/>
        <n v="254797184647"/>
        <n v="254717058936"/>
        <n v="254702516739"/>
        <n v="254741043822"/>
        <n v="254740503616"/>
        <n v="254795705873"/>
        <n v="254114595365"/>
        <n v="254796589435"/>
        <n v="254719108107"/>
        <n v="254758678467"/>
        <n v="254727949458"/>
        <n v="254111735831"/>
        <n v="254710180740"/>
        <n v="254714772960"/>
        <n v="254702551241"/>
        <n v="254768766227"/>
        <n v="254714457970"/>
        <n v="254715397260"/>
        <n v="254722586989"/>
        <n v="254740655805"/>
        <n v="254795874620"/>
        <n v="254793810037"/>
        <n v="254712358769"/>
        <n v="254740659395"/>
        <n v="254795624281"/>
        <n v="254799286851"/>
        <n v="254727221477"/>
        <n v="254710861165"/>
        <n v="254708265869"/>
        <n v="254725075313"/>
        <n v="254721620737"/>
        <n v="254705375701"/>
        <n v="254757853772"/>
        <n v="254704158703"/>
        <n v="254745459474"/>
        <n v="254729673790"/>
        <n v="254727855867"/>
        <n v="254748638509"/>
        <n v="254717518237"/>
        <n v="254794006614"/>
        <n v="254718718653"/>
        <n v="254729144332"/>
        <n v="254748657306"/>
        <n v="254712037335"/>
        <n v="254714511213"/>
        <n v="254728234091"/>
        <n v="254726785034"/>
        <n v="254745165908"/>
        <n v="254727673573"/>
        <n v="254710976519"/>
        <n v="254722495359"/>
        <n v="254720144371"/>
        <n v="254706336147"/>
        <n v="254758816540"/>
        <n v="254727596655"/>
        <n v="254717758954"/>
        <n v="254728066488"/>
        <n v="254726552750"/>
        <n v="254115792654"/>
        <n v="254720796675"/>
        <n v="254742716099"/>
        <n v="254795172129"/>
        <n v="254113240758"/>
        <n v="254728421694"/>
        <n v="254745032967"/>
        <n v="254110174274"/>
        <n v="254748721300"/>
        <n v="254741183990"/>
        <n v="254797641344"/>
        <n v="254704359713"/>
        <n v="254745065176"/>
        <n v="254758866282"/>
        <n v="254718317195"/>
        <n v="254720046513"/>
        <n v="254705881860"/>
        <n v="254710702119"/>
        <n v="254116138504"/>
        <n v="254724864149"/>
        <n v="254792689725"/>
        <n v="254746961975"/>
        <n v="254750057497"/>
        <n v="254728525727"/>
        <n v="254741423183"/>
        <n v="254711464717"/>
        <n v="254740968402"/>
        <n v="254717521940"/>
        <n v="254700114311"/>
        <n v="254757846804"/>
        <n v="254720402664"/>
        <n v="254741955930"/>
        <n v="254707502701"/>
        <n v="254705284360"/>
        <n v="254720082630"/>
        <n v="254794966115"/>
        <n v="254711357330"/>
        <n v="254790925761"/>
        <n v="254715500402"/>
        <n v="254722811615"/>
        <n v="254710269121"/>
        <n v="254741989458"/>
        <n v="254748781832"/>
        <n v="254116203844"/>
        <n v="254707483532"/>
        <n v="254719510946"/>
        <n v="254721248123"/>
        <n v="254726203784"/>
        <n v="254715722490"/>
        <n v="254114598823"/>
        <n v="254790955065"/>
        <n v="254741921570"/>
        <n v="254758323547"/>
        <n v="254727813284"/>
        <n v="254799976195"/>
        <n v="254728583614"/>
        <n v="254793860652"/>
        <n v="254748931810"/>
        <n v="254729980427"/>
        <n v="254718130507"/>
        <n v="254706670874"/>
        <n v="254769010326"/>
        <n v="254727685355"/>
        <n v="254711766410"/>
        <n v="254798537177"/>
        <n v="254797672798"/>
        <n v="254748400412"/>
        <n v="254702940023"/>
        <n v="254729277934"/>
        <n v="254710345176"/>
        <n v="254721393950"/>
        <n v="254723978682"/>
        <n v="254794915318"/>
        <n v="254721492966"/>
        <n v="254712616998"/>
        <n v="254115141583"/>
        <n v="254716125687"/>
        <n v="254757579090"/>
        <n v="254722896574"/>
        <n v="254725289387"/>
        <n v="254712310229"/>
        <n v="254720986570"/>
        <n v="254715988117"/>
        <n v="254111402205"/>
        <n v="254790000697"/>
        <n v="254735365608"/>
        <n v="254704005555"/>
        <n v="254701837822"/>
        <n v="254797812671"/>
        <n v="254702233849"/>
        <n v="254725325173"/>
        <n v="254741902476"/>
        <n v="254713941825"/>
        <n v="254727569262"/>
        <n v="254710101775"/>
        <n v="254717312027"/>
        <n v="254725271182"/>
        <n v="254700102883"/>
        <n v="254704668179"/>
        <n v="254792809439"/>
        <n v="254799331544"/>
        <n v="254708532727"/>
        <n v="254104748080"/>
        <n v="254707216705"/>
        <n v="254797698365"/>
        <n v="254704826713"/>
        <n v="254721430513"/>
        <n v="254769477822"/>
        <n v="254795774274"/>
        <n v="254768673292"/>
        <n v="254736374345"/>
        <n v="254113883464"/>
        <n v="254105141513"/>
        <n v="254113474117"/>
        <n v="254716212176"/>
        <n v="254110361556"/>
        <n v="254740720387"/>
        <n v="254113241000"/>
        <n v="254769571333"/>
        <n v="254707092265"/>
        <n v="254713543222"/>
        <n v="254748054109"/>
        <n v="254140655227"/>
        <n v="254757466575"/>
        <n v="254759425323"/>
        <n v="254707756975"/>
        <n v="254707871268"/>
        <n v="254743677971"/>
        <n v="254708615417"/>
        <n v="254794514464"/>
        <n v="254726798896"/>
        <n v="254727168844"/>
        <n v="254726081096"/>
        <n v="254721612525"/>
        <n v="254759100009"/>
        <n v="254705990140"/>
        <n v="254722926377"/>
        <n v="254721979344"/>
        <n v="254723225729"/>
        <n v="254114447701"/>
        <n v="254769607319"/>
        <n v="254729175986"/>
        <n v="254748859054"/>
        <n v="254794424367"/>
        <n v="254725327057"/>
        <n v="254717954273"/>
        <n v="254748105090"/>
        <n v="254790154590"/>
        <n v="254713641613"/>
        <n v="254728657248"/>
        <n v="254111912405"/>
        <n v="254717643024"/>
        <n v="254746913337"/>
        <n v="254728270590"/>
        <n v="254792306816"/>
        <n v="254702735284"/>
        <n v="254705264647"/>
        <n v="254795868759"/>
        <n v="254721975097"/>
        <n v="254768955816"/>
        <n v="254724284677"/>
        <n v="254728927924"/>
        <n v="254720467204"/>
        <n v="254722323764"/>
        <n v="254720216606"/>
        <n v="254748206448"/>
        <n v="254769663351"/>
        <n v="254791226446"/>
        <n v="254705478480"/>
        <n v="254725768719"/>
        <n v="254706643554"/>
        <n v="254724676563"/>
        <n v="254746572578"/>
        <n v="254719500915"/>
        <n v="254716545706"/>
        <n v="254740238181"/>
        <n v="254708235746"/>
        <n v="254116987428"/>
        <n v="254729207317"/>
        <n v="254701925448"/>
        <n v="254757947298"/>
        <n v="254791671923"/>
        <n v="254720334933"/>
        <n v="254724557107"/>
        <n v="254792285100"/>
        <n v="254719120123"/>
        <n v="254707212219"/>
        <n v="254792523459"/>
        <n v="254758615618"/>
        <n v="254119659526"/>
        <n v="254795116837"/>
        <n v="254728784586"/>
        <n v="254701669754"/>
        <n v="254737036369"/>
        <n v="254704112371"/>
        <n v="254713668931"/>
        <n v="254114739239"/>
        <n v="254722261330"/>
        <n v="254768942786"/>
        <n v="254726336734"/>
        <n v="254701304143"/>
        <n v="254791329860"/>
        <n v="254712786429"/>
        <n v="254140326664"/>
        <n v="254140414468"/>
        <n v="254118815668"/>
        <n v="254116621779"/>
        <n v="254700118787"/>
        <n v="254716089114"/>
        <n v="254716540397"/>
        <n v="254718382723"/>
        <n v="254710331308"/>
        <n v="254729629390"/>
        <n v="254748004865"/>
        <n v="254717058847"/>
        <n v="254727454468"/>
        <n v="254706721015"/>
        <n v="254718131778"/>
        <n v="254726145150"/>
        <n v="254757340006"/>
        <n v="254113057674"/>
        <n v="254726178163"/>
        <n v="254705042619"/>
        <n v="254704778099"/>
        <n v="254795631438"/>
        <n v="254723985246"/>
        <n v="254713873683"/>
        <n v="254794084435"/>
        <n v="254791368991"/>
        <n v="254704695335"/>
        <n v="254705094468"/>
        <n v="254116611542"/>
        <n v="254732287547"/>
        <n v="254114103319"/>
        <n v="254728255627"/>
        <n v="254727515649"/>
        <n v="254725469487"/>
        <n v="254796524482"/>
        <n v="254705527559"/>
        <n v="254723675585"/>
        <n v="254713125981"/>
        <n v="254704850574"/>
        <n v="254727696129"/>
        <n v="254111398591"/>
        <n v="254716752899"/>
        <n v="254713249395"/>
        <n v="254716567074"/>
        <n v="254720804258"/>
        <n v="254729044607"/>
        <n v="254792549544"/>
        <n v="254722939030"/>
        <n v="254795902808"/>
        <n v="254720106210"/>
        <n v="254748713803"/>
        <n v="254746101119"/>
        <n v="254704126760"/>
        <n v="254741862937"/>
        <n v="254714173303"/>
        <n v="254797104848"/>
        <n v="254799864187"/>
        <n v="254769908165"/>
        <n v="254722824576"/>
        <n v="254712366285"/>
        <n v="254719871117"/>
        <n v="254715956093"/>
        <n v="254116754229"/>
        <n v="254112794842"/>
        <n v="254702926824"/>
        <n v="254717725609"/>
        <n v="254117507840"/>
        <n v="254729893155"/>
        <m/>
      </sharedItems>
    </cacheField>
    <cacheField name="用户id" numFmtId="0">
      <sharedItems containsString="0" containsBlank="1" containsNumber="1" containsInteger="1" minValue="18952" maxValue="22991459" count="889">
        <n v="155980"/>
        <n v="173655"/>
        <n v="531341"/>
        <n v="618626"/>
        <n v="2276847"/>
        <n v="2384066"/>
        <n v="2986269"/>
        <n v="3763333"/>
        <n v="8544378"/>
        <n v="10554370"/>
        <n v="10895675"/>
        <n v="10962028"/>
        <n v="11507512"/>
        <n v="12171341"/>
        <n v="13378458"/>
        <n v="13462169"/>
        <n v="13485937"/>
        <n v="13612342"/>
        <n v="13956357"/>
        <n v="14894640"/>
        <n v="16267439"/>
        <n v="17044890"/>
        <n v="17061780"/>
        <n v="17313467"/>
        <n v="17313531"/>
        <n v="17350954"/>
        <n v="17726024"/>
        <n v="17783571"/>
        <n v="17953561"/>
        <n v="20714812"/>
        <n v="496299"/>
        <n v="1380850"/>
        <n v="1853978"/>
        <n v="2123157"/>
        <n v="2702120"/>
        <n v="3514858"/>
        <n v="4650791"/>
        <n v="4704828"/>
        <n v="5412601"/>
        <n v="5960577"/>
        <n v="9313183"/>
        <n v="9559482"/>
        <n v="9934426"/>
        <n v="10241436"/>
        <n v="10327637"/>
        <n v="10501630"/>
        <n v="10595597"/>
        <n v="11444076"/>
        <n v="11983119"/>
        <n v="12740128"/>
        <n v="12997767"/>
        <n v="13061037"/>
        <n v="13447628"/>
        <n v="14985036"/>
        <n v="15153514"/>
        <n v="15469378"/>
        <n v="15470136"/>
        <n v="15832258"/>
        <n v="16251086"/>
        <n v="16411530"/>
        <n v="16475767"/>
        <n v="17833170"/>
        <n v="18295698"/>
        <n v="18563688"/>
        <n v="18640454"/>
        <n v="19851489"/>
        <n v="20460788"/>
        <n v="20530942"/>
        <n v="20648006"/>
        <n v="20901489"/>
        <n v="21154849"/>
        <n v="21164231"/>
        <n v="21306091"/>
        <n v="21390841"/>
        <n v="21585273"/>
        <n v="21746088"/>
        <n v="21748128"/>
        <n v="21777972"/>
        <n v="22050656"/>
        <n v="22146606"/>
        <n v="22199111"/>
        <n v="22390812"/>
        <n v="22446136"/>
        <n v="22601010"/>
        <n v="22615410"/>
        <n v="22686056"/>
        <n v="22746505"/>
        <n v="22824652"/>
        <n v="22855389"/>
        <n v="22857438"/>
        <n v="22895311"/>
        <n v="22940020"/>
        <n v="96297"/>
        <n v="433962"/>
        <n v="644686"/>
        <n v="1419572"/>
        <n v="1678886"/>
        <n v="1763577"/>
        <n v="2978588"/>
        <n v="3860016"/>
        <n v="4612969"/>
        <n v="5197539"/>
        <n v="8269662"/>
        <n v="9053786"/>
        <n v="9378669"/>
        <n v="9483871"/>
        <n v="11507753"/>
        <n v="11626547"/>
        <n v="11670382"/>
        <n v="11851906"/>
        <n v="13310556"/>
        <n v="13511999"/>
        <n v="14299057"/>
        <n v="14580612"/>
        <n v="15493949"/>
        <n v="15540860"/>
        <n v="16927190"/>
        <n v="17077108"/>
        <n v="17189158"/>
        <n v="17226732"/>
        <n v="17781744"/>
        <n v="18779629"/>
        <n v="19828865"/>
        <n v="20051721"/>
        <n v="20997317"/>
        <n v="21179238"/>
        <n v="21622971"/>
        <n v="21631277"/>
        <n v="21702878"/>
        <n v="21941060"/>
        <n v="22053319"/>
        <n v="22174682"/>
        <n v="22219358"/>
        <n v="22263010"/>
        <n v="22438443"/>
        <n v="22504431"/>
        <n v="22584100"/>
        <n v="22687641"/>
        <n v="22700989"/>
        <n v="22747351"/>
        <n v="22906849"/>
        <n v="22928467"/>
        <n v="22930222"/>
        <n v="443771"/>
        <n v="2395945"/>
        <n v="4534010"/>
        <n v="4555267"/>
        <n v="7890230"/>
        <n v="9709070"/>
        <n v="9972020"/>
        <n v="10345400"/>
        <n v="10685853"/>
        <n v="13366999"/>
        <n v="14243242"/>
        <n v="14519156"/>
        <n v="15568718"/>
        <n v="16410149"/>
        <n v="16589860"/>
        <n v="16670456"/>
        <n v="16951287"/>
        <n v="17271401"/>
        <n v="19708736"/>
        <n v="19992051"/>
        <n v="20412677"/>
        <n v="20543179"/>
        <n v="20556731"/>
        <n v="20560484"/>
        <n v="22610"/>
        <n v="372119"/>
        <n v="1905083"/>
        <n v="2147321"/>
        <n v="2442779"/>
        <n v="2902971"/>
        <n v="2958669"/>
        <n v="3173117"/>
        <n v="3932362"/>
        <n v="4596634"/>
        <n v="8327961"/>
        <n v="8786540"/>
        <n v="10152922"/>
        <n v="11373861"/>
        <n v="11594879"/>
        <n v="12128499"/>
        <n v="12450521"/>
        <n v="13103844"/>
        <n v="13177867"/>
        <n v="13938449"/>
        <n v="14146882"/>
        <n v="15005707"/>
        <n v="15838840"/>
        <n v="16316152"/>
        <n v="16962065"/>
        <n v="17027140"/>
        <n v="17184743"/>
        <n v="17540059"/>
        <n v="19462453"/>
        <n v="19637522"/>
        <n v="19939269"/>
        <n v="20328682"/>
        <n v="20458486"/>
        <n v="20594978"/>
        <n v="20848257"/>
        <n v="21299267"/>
        <n v="21638743"/>
        <n v="21690193"/>
        <n v="21826536"/>
        <n v="21987049"/>
        <n v="22023130"/>
        <n v="22042351"/>
        <n v="22076041"/>
        <n v="22296784"/>
        <n v="22304688"/>
        <n v="22351927"/>
        <n v="22354975"/>
        <n v="22501388"/>
        <n v="22590546"/>
        <n v="22618420"/>
        <n v="22639362"/>
        <n v="22679109"/>
        <n v="22815593"/>
        <n v="22818880"/>
        <n v="74656"/>
        <n v="1907556"/>
        <n v="2026166"/>
        <n v="3021851"/>
        <n v="4721870"/>
        <n v="6267145"/>
        <n v="9694198"/>
        <n v="11698003"/>
        <n v="11930770"/>
        <n v="12404157"/>
        <n v="12631773"/>
        <n v="12715854"/>
        <n v="13042248"/>
        <n v="13429247"/>
        <n v="13631238"/>
        <n v="13635548"/>
        <n v="14221742"/>
        <n v="15246959"/>
        <n v="17578427"/>
        <n v="18684898"/>
        <n v="18904233"/>
        <n v="18989997"/>
        <n v="19165987"/>
        <n v="19469131"/>
        <n v="19698011"/>
        <n v="20698447"/>
        <n v="136643"/>
        <n v="155346"/>
        <n v="180792"/>
        <n v="3272020"/>
        <n v="8093860"/>
        <n v="9020047"/>
        <n v="10532186"/>
        <n v="11139746"/>
        <n v="12855236"/>
        <n v="13147420"/>
        <n v="13374659"/>
        <n v="13574627"/>
        <n v="13987176"/>
        <n v="14667218"/>
        <n v="14748248"/>
        <n v="15703530"/>
        <n v="15831728"/>
        <n v="16742578"/>
        <n v="16937348"/>
        <n v="16963612"/>
        <n v="18080549"/>
        <n v="19281053"/>
        <n v="20485172"/>
        <n v="20744481"/>
        <n v="28640"/>
        <n v="670937"/>
        <n v="1140950"/>
        <n v="2656548"/>
        <n v="3420571"/>
        <n v="4979980"/>
        <n v="9189327"/>
        <n v="9402236"/>
        <n v="9439666"/>
        <n v="12823043"/>
        <n v="13221199"/>
        <n v="13298408"/>
        <n v="16230890"/>
        <n v="16326602"/>
        <n v="16871416"/>
        <n v="17602818"/>
        <n v="18131309"/>
        <n v="18490251"/>
        <n v="19591817"/>
        <n v="19959684"/>
        <n v="20339157"/>
        <n v="20531889"/>
        <n v="20589507"/>
        <n v="19168"/>
        <n v="122870"/>
        <n v="207796"/>
        <n v="496314"/>
        <n v="807789"/>
        <n v="885776"/>
        <n v="1870787"/>
        <n v="2314972"/>
        <n v="3387590"/>
        <n v="3539759"/>
        <n v="3868114"/>
        <n v="4989287"/>
        <n v="11500721"/>
        <n v="12103519"/>
        <n v="12292669"/>
        <n v="12428778"/>
        <n v="12445717"/>
        <n v="12836199"/>
        <n v="12957568"/>
        <n v="13464509"/>
        <n v="14725401"/>
        <n v="15777068"/>
        <n v="16383687"/>
        <n v="17237138"/>
        <n v="17904064"/>
        <n v="18815111"/>
        <n v="19113799"/>
        <n v="19329411"/>
        <n v="19415165"/>
        <n v="20109073"/>
        <n v="20276246"/>
        <n v="18952"/>
        <n v="29379"/>
        <n v="477014"/>
        <n v="1638882"/>
        <n v="2088102"/>
        <n v="2159140"/>
        <n v="2324925"/>
        <n v="2862549"/>
        <n v="3108369"/>
        <n v="3186344"/>
        <n v="3243840"/>
        <n v="3519405"/>
        <n v="7928869"/>
        <n v="8075822"/>
        <n v="8390857"/>
        <n v="9307057"/>
        <n v="11686570"/>
        <n v="12213316"/>
        <n v="12651879"/>
        <n v="12799791"/>
        <n v="13042442"/>
        <n v="13374861"/>
        <n v="13390656"/>
        <n v="13412347"/>
        <n v="14114747"/>
        <n v="14422351"/>
        <n v="14917849"/>
        <n v="15331321"/>
        <n v="15405231"/>
        <n v="15993772"/>
        <n v="16613037"/>
        <n v="17079535"/>
        <n v="17779512"/>
        <n v="17840181"/>
        <n v="18605226"/>
        <n v="18670890"/>
        <n v="19161116"/>
        <n v="19730697"/>
        <n v="20851077"/>
        <n v="20933788"/>
        <n v="21127528"/>
        <n v="21245746"/>
        <n v="21331982"/>
        <n v="21465917"/>
        <n v="21655169"/>
        <n v="21663632"/>
        <n v="21968529"/>
        <n v="22041984"/>
        <n v="22064970"/>
        <n v="22180608"/>
        <n v="22199115"/>
        <n v="22232428"/>
        <n v="22239065"/>
        <n v="22250490"/>
        <n v="22436379"/>
        <n v="22592073"/>
        <n v="22989778"/>
        <n v="95141"/>
        <n v="480152"/>
        <n v="835999"/>
        <n v="1678822"/>
        <n v="2068727"/>
        <n v="2730172"/>
        <n v="3504950"/>
        <n v="3809869"/>
        <n v="3928458"/>
        <n v="4059531"/>
        <n v="4877956"/>
        <n v="7032877"/>
        <n v="8896627"/>
        <n v="9545190"/>
        <n v="10859047"/>
        <n v="11372946"/>
        <n v="12083656"/>
        <n v="12457218"/>
        <n v="12531906"/>
        <n v="13240170"/>
        <n v="13270956"/>
        <n v="13768506"/>
        <n v="14488657"/>
        <n v="14888065"/>
        <n v="15196607"/>
        <n v="15251970"/>
        <n v="15408520"/>
        <n v="15642980"/>
        <n v="16034170"/>
        <n v="17168327"/>
        <n v="17307087"/>
        <n v="17870830"/>
        <n v="18069180"/>
        <n v="18452856"/>
        <n v="19412129"/>
        <n v="19721527"/>
        <n v="19733687"/>
        <n v="19855609"/>
        <n v="20213572"/>
        <n v="20667840"/>
        <n v="1619659"/>
        <n v="4011299"/>
        <n v="9139709"/>
        <n v="9293610"/>
        <n v="10879249"/>
        <n v="11675230"/>
        <n v="12128056"/>
        <n v="12760006"/>
        <n v="13167920"/>
        <n v="13458746"/>
        <n v="13586450"/>
        <n v="13983160"/>
        <n v="14149787"/>
        <n v="15449358"/>
        <n v="15770088"/>
        <n v="16139548"/>
        <n v="16820166"/>
        <n v="17990817"/>
        <n v="18838120"/>
        <n v="19874242"/>
        <n v="19887220"/>
        <n v="20089772"/>
        <n v="20484769"/>
        <n v="20598120"/>
        <n v="21026178"/>
        <n v="21195286"/>
        <n v="22047716"/>
        <n v="22090260"/>
        <n v="22093859"/>
        <n v="22147505"/>
        <n v="22147926"/>
        <n v="22250936"/>
        <n v="22437427"/>
        <n v="22473930"/>
        <n v="22504349"/>
        <n v="22600877"/>
        <n v="22836942"/>
        <n v="22991459"/>
        <n v="20622"/>
        <n v="86150"/>
        <n v="1064699"/>
        <n v="1748370"/>
        <n v="1763786"/>
        <n v="5249038"/>
        <n v="7809212"/>
        <n v="8078471"/>
        <n v="9323461"/>
        <n v="10032494"/>
        <n v="10522032"/>
        <n v="10880232"/>
        <n v="11487056"/>
        <n v="12779996"/>
        <n v="13395280"/>
        <n v="13520880"/>
        <n v="16326630"/>
        <n v="16458769"/>
        <n v="16772230"/>
        <n v="16787552"/>
        <n v="17423033"/>
        <n v="18179479"/>
        <n v="18345237"/>
        <n v="18622676"/>
        <n v="18984156"/>
        <n v="19226332"/>
        <n v="19785698"/>
        <n v="20679651"/>
        <n v="86770"/>
        <n v="1112422"/>
        <n v="1112585"/>
        <n v="2139792"/>
        <n v="2280380"/>
        <n v="2722898"/>
        <n v="2921366"/>
        <n v="4111310"/>
        <n v="4819872"/>
        <n v="4836805"/>
        <n v="8309907"/>
        <n v="8953011"/>
        <n v="11735859"/>
        <n v="12403149"/>
        <n v="12602626"/>
        <n v="12635136"/>
        <n v="12674189"/>
        <n v="13348445"/>
        <n v="13569290"/>
        <n v="13976737"/>
        <n v="13977406"/>
        <n v="14046176"/>
        <n v="14085322"/>
        <n v="14145086"/>
        <n v="16548419"/>
        <n v="17412107"/>
        <n v="17482598"/>
        <n v="17998400"/>
        <n v="18248033"/>
        <n v="18841080"/>
        <n v="19706277"/>
        <n v="20876749"/>
        <n v="20893538"/>
        <n v="21000000"/>
        <n v="21102058"/>
        <n v="21200368"/>
        <n v="21384719"/>
        <n v="21643304"/>
        <n v="21703462"/>
        <n v="21745740"/>
        <n v="21894498"/>
        <n v="21897371"/>
        <n v="21957326"/>
        <n v="22328628"/>
        <n v="22517226"/>
        <n v="22522135"/>
        <n v="22628206"/>
        <n v="22705041"/>
        <n v="22809741"/>
        <n v="22891322"/>
        <n v="63270"/>
        <n v="83472"/>
        <n v="419825"/>
        <n v="2021806"/>
        <n v="4908836"/>
        <n v="8747812"/>
        <n v="10482149"/>
        <n v="11116973"/>
        <n v="12313549"/>
        <n v="12620410"/>
        <n v="12692550"/>
        <n v="12950221"/>
        <n v="13266707"/>
        <n v="13453150"/>
        <n v="13808752"/>
        <n v="13982590"/>
        <n v="14048372"/>
        <n v="14793277"/>
        <n v="15553252"/>
        <n v="15913671"/>
        <n v="16156752"/>
        <n v="16512276"/>
        <n v="16666892"/>
        <n v="16780144"/>
        <n v="16961139"/>
        <n v="17600418"/>
        <n v="18379840"/>
        <n v="18696947"/>
        <n v="19115352"/>
        <n v="19429329"/>
        <n v="19444992"/>
        <n v="19605367"/>
        <n v="20446276"/>
        <n v="113761"/>
        <n v="136795"/>
        <n v="201673"/>
        <n v="675391"/>
        <n v="781558"/>
        <n v="814580"/>
        <n v="1668818"/>
        <n v="2056974"/>
        <n v="2225702"/>
        <n v="2960066"/>
        <n v="3770646"/>
        <n v="8736450"/>
        <n v="9875132"/>
        <n v="10089858"/>
        <n v="10514266"/>
        <n v="11496691"/>
        <n v="12151226"/>
        <n v="12651370"/>
        <n v="13012582"/>
        <n v="13125261"/>
        <n v="13716069"/>
        <n v="15361986"/>
        <n v="16156727"/>
        <n v="16781039"/>
        <n v="17043271"/>
        <n v="17349408"/>
        <n v="17354293"/>
        <n v="17955140"/>
        <n v="18358052"/>
        <n v="18698689"/>
        <n v="18888250"/>
        <n v="19589453"/>
        <n v="19869210"/>
        <n v="19955929"/>
        <n v="20339536"/>
        <n v="20531102"/>
        <n v="20565706"/>
        <n v="20688479"/>
        <n v="29789"/>
        <n v="130027"/>
        <n v="342930"/>
        <n v="731432"/>
        <n v="1087839"/>
        <n v="2098932"/>
        <n v="3147398"/>
        <n v="3908470"/>
        <n v="8455158"/>
        <n v="8687959"/>
        <n v="10542134"/>
        <n v="11533099"/>
        <n v="11858149"/>
        <n v="12275972"/>
        <n v="12365466"/>
        <n v="12849632"/>
        <n v="13283928"/>
        <n v="13374912"/>
        <n v="13610419"/>
        <n v="13783887"/>
        <n v="14024781"/>
        <n v="15418376"/>
        <n v="15462671"/>
        <n v="15864150"/>
        <n v="15895264"/>
        <n v="16630581"/>
        <n v="16735809"/>
        <n v="16840454"/>
        <n v="16885437"/>
        <n v="17495437"/>
        <n v="18250728"/>
        <n v="18847660"/>
        <n v="19420552"/>
        <n v="19610105"/>
        <n v="20149006"/>
        <n v="20196936"/>
        <n v="20276979"/>
        <n v="20415890"/>
        <n v="20547639"/>
        <n v="151649"/>
        <n v="959901"/>
        <n v="2282736"/>
        <n v="2620599"/>
        <n v="2633202"/>
        <n v="4841172"/>
        <n v="11224712"/>
        <n v="11622627"/>
        <n v="12050133"/>
        <n v="13247522"/>
        <n v="13405287"/>
        <n v="15191613"/>
        <n v="15510988"/>
        <n v="16248466"/>
        <n v="16728953"/>
        <n v="16842829"/>
        <n v="16935977"/>
        <n v="17023880"/>
        <n v="17363757"/>
        <n v="17538915"/>
        <n v="17580579"/>
        <n v="18095941"/>
        <n v="18694226"/>
        <n v="18786440"/>
        <n v="19530698"/>
        <n v="19964298"/>
        <n v="20555026"/>
        <n v="689056"/>
        <n v="730826"/>
        <n v="839358"/>
        <n v="1007768"/>
        <n v="2419117"/>
        <n v="2734076"/>
        <n v="3569559"/>
        <n v="8215651"/>
        <n v="9013878"/>
        <n v="9194290"/>
        <n v="11333228"/>
        <n v="12248490"/>
        <n v="12289624"/>
        <n v="12289694"/>
        <n v="12480471"/>
        <n v="12606956"/>
        <n v="12637121"/>
        <n v="13159217"/>
        <n v="13437715"/>
        <n v="13822059"/>
        <n v="13831930"/>
        <n v="14974247"/>
        <n v="16528219"/>
        <n v="16944543"/>
        <n v="18516247"/>
        <n v="20292020"/>
        <n v="20481999"/>
        <n v="20571712"/>
        <n v="44420"/>
        <n v="160931"/>
        <n v="702503"/>
        <n v="856211"/>
        <n v="996579"/>
        <n v="1027322"/>
        <n v="1758957"/>
        <n v="2100252"/>
        <n v="2384142"/>
        <n v="4287958"/>
        <n v="4320511"/>
        <n v="4414404"/>
        <n v="10427179"/>
        <n v="11864445"/>
        <n v="12267077"/>
        <n v="12686767"/>
        <n v="12701126"/>
        <n v="13021472"/>
        <n v="13231498"/>
        <n v="14014475"/>
        <n v="14310569"/>
        <n v="16791097"/>
        <n v="17371290"/>
        <n v="18641420"/>
        <n v="19247892"/>
        <n v="19322957"/>
        <n v="19676411"/>
        <n v="19871132"/>
        <n v="20463548"/>
        <n v="20922247"/>
        <n v="21065177"/>
        <n v="21072016"/>
        <n v="21074496"/>
        <n v="21150372"/>
        <n v="21157018"/>
        <n v="21351414"/>
        <n v="21654461"/>
        <n v="21695322"/>
        <n v="21860207"/>
        <n v="22069814"/>
        <n v="22264102"/>
        <n v="22279532"/>
        <n v="22375110"/>
        <n v="22399676"/>
        <n v="22444840"/>
        <n v="30417"/>
        <n v="389786"/>
        <n v="745199"/>
        <n v="1821800"/>
        <n v="1856179"/>
        <n v="2230881"/>
        <n v="2561566"/>
        <n v="2603268"/>
        <n v="3388309"/>
        <n v="5052925"/>
        <n v="8651438"/>
        <n v="9765127"/>
        <n v="10429661"/>
        <n v="12051141"/>
        <n v="12700776"/>
        <n v="13205388"/>
        <n v="13366378"/>
        <n v="13433847"/>
        <n v="13493527"/>
        <n v="13559487"/>
        <n v="15618775"/>
        <n v="16750252"/>
        <n v="16775606"/>
        <n v="16861279"/>
        <n v="18338221"/>
        <n v="18514898"/>
        <n v="19027768"/>
        <n v="19551786"/>
        <n v="20525348"/>
        <n v="153118"/>
        <n v="860418"/>
        <n v="3445709"/>
        <n v="8462548"/>
        <n v="9048897"/>
        <n v="11928660"/>
        <n v="12268890"/>
        <n v="12762621"/>
        <n v="13199676"/>
        <n v="13206176"/>
        <n v="13348491"/>
        <n v="13635192"/>
        <n v="13833415"/>
        <n v="14823398"/>
        <n v="14891973"/>
        <n v="14923711"/>
        <n v="15590293"/>
        <n v="16623617"/>
        <n v="17125517"/>
        <n v="17674564"/>
        <n v="17720341"/>
        <n v="18022448"/>
        <n v="18174829"/>
        <n v="18682707"/>
        <n v="19421891"/>
        <n v="19681594"/>
        <n v="20000451"/>
        <n v="20799416"/>
        <n v="20856418"/>
        <n v="20967302"/>
        <n v="21108796"/>
        <n v="21178694"/>
        <n v="21255362"/>
        <n v="21683698"/>
        <n v="21863986"/>
        <n v="21885162"/>
        <n v="21996288"/>
        <n v="22075836"/>
        <n v="22531160"/>
        <n v="22579322"/>
        <n v="22584030"/>
        <n v="22707557"/>
        <n v="22791530"/>
        <n v="22918699"/>
        <n v="22920322"/>
        <n v="22940112"/>
        <n v="22951698"/>
        <n v="33816"/>
        <n v="68941"/>
        <n v="97268"/>
        <n v="157097"/>
        <n v="902309"/>
        <n v="1019593"/>
        <n v="1843557"/>
        <n v="2519690"/>
        <n v="3267081"/>
        <n v="4084425"/>
        <n v="9414017"/>
        <n v="11073358"/>
        <n v="11360321"/>
        <n v="11530447"/>
        <n v="12388092"/>
        <n v="13087458"/>
        <n v="13220582"/>
        <n v="14110853"/>
        <n v="15383248"/>
        <n v="15886930"/>
        <n v="15916391"/>
        <n v="16864118"/>
        <n v="17206919"/>
        <n v="17841480"/>
        <n v="18902240"/>
        <n v="19799670"/>
        <n v="19854849"/>
        <n v="893529"/>
        <n v="1706374"/>
        <n v="2213447"/>
        <n v="3066426"/>
        <n v="3120073"/>
        <n v="3172712"/>
        <n v="3384571"/>
        <n v="3936364"/>
        <n v="4815521"/>
        <n v="5331377"/>
        <n v="9227481"/>
        <n v="9314567"/>
        <n v="10599639"/>
        <n v="11718720"/>
        <n v="12058217"/>
        <n v="12437940"/>
        <n v="12464747"/>
        <n v="13795116"/>
        <n v="13947927"/>
        <n v="15607024"/>
        <n v="15965797"/>
        <n v="16124657"/>
        <n v="16270206"/>
        <n v="16353767"/>
        <n v="16729919"/>
        <n v="16912040"/>
        <n v="17256152"/>
        <n v="17342291"/>
        <n v="17453882"/>
        <n v="18155184"/>
        <n v="18401254"/>
        <n v="18695264"/>
        <n v="19009964"/>
        <n v="19869217"/>
        <n v="19922439"/>
        <n v="20259796"/>
        <n v="20267270"/>
        <m/>
      </sharedItems>
    </cacheField>
    <cacheField name="最后登录时间" numFmtId="0">
      <sharedItems containsString="0" containsBlank="1" containsNonDate="0" containsDate="1" minDate="2026-05-18T00:22:00" maxDate="2026-06-11T10:32:22" count="888">
        <d v="2026-06-09T19:23:03"/>
        <d v="2026-06-11T04:46:16"/>
        <d v="2026-06-10T19:08:57"/>
        <d v="2026-06-10T14:27:52"/>
        <d v="2026-06-05T11:53:17"/>
        <d v="2026-06-11T10:00:47"/>
        <d v="2026-06-04T17:42:04"/>
        <d v="2026-06-05T05:46:42"/>
        <d v="2026-06-05T12:23:11"/>
        <d v="2026-05-20T08:07:27"/>
        <d v="2026-06-06T07:41:07"/>
        <d v="2026-05-19T09:54:35"/>
        <d v="2026-06-06T18:59:51"/>
        <d v="2026-06-06T09:38:17"/>
        <d v="2026-06-10T23:49:59"/>
        <d v="2026-06-04T19:25:49"/>
        <d v="2026-06-11T07:57:58"/>
        <d v="2026-06-05T19:27:18"/>
        <d v="2026-06-08T08:42:16"/>
        <d v="2026-06-04T17:29:17"/>
        <d v="2026-05-18T19:29:13"/>
        <d v="2026-06-07T21:56:31"/>
        <d v="2026-05-20T14:04:15"/>
        <d v="2026-05-21T06:48:17"/>
        <d v="2026-05-18T13:44:56"/>
        <d v="2026-05-19T17:42:07"/>
        <d v="2026-06-05T16:36:22"/>
        <d v="2026-05-24T06:39:19"/>
        <d v="2026-05-21T16:33:54"/>
        <d v="2026-06-03T17:15:19"/>
        <d v="2026-05-19T14:30:28"/>
        <d v="2026-05-24T09:20:27"/>
        <d v="2026-06-06T13:34:02"/>
        <d v="2026-06-10T18:47:33"/>
        <d v="2026-05-19T10:44:28"/>
        <d v="2026-05-19T16:06:20"/>
        <d v="2026-06-08T19:27:32"/>
        <d v="2026-06-06T15:06:05"/>
        <d v="2026-05-20T19:45:45"/>
        <d v="2026-05-20T01:38:58"/>
        <d v="2026-06-07T23:39:21"/>
        <d v="2026-06-05T20:18:22"/>
        <d v="2026-05-21T16:09:09"/>
        <d v="2026-06-06T18:57:19"/>
        <d v="2026-05-19T17:10:32"/>
        <d v="2026-06-08T17:59:57"/>
        <d v="2026-06-10T20:09:21"/>
        <d v="2026-05-20T09:11:38"/>
        <d v="2026-05-19T16:33:50"/>
        <d v="2026-06-10T19:24:31"/>
        <d v="2026-06-11T02:05:08"/>
        <d v="2026-06-08T18:02:28"/>
        <d v="2026-05-21T20:07:06"/>
        <d v="2026-06-08T15:51:15"/>
        <d v="2026-05-18T06:16:53"/>
        <d v="2026-06-10T22:39:37"/>
        <d v="2026-05-20T16:11:20"/>
        <d v="2026-06-09T17:34:29"/>
        <d v="2026-05-19T15:36:25"/>
        <d v="2026-05-24T18:30:56"/>
        <d v="2026-06-10T13:45:56"/>
        <d v="2026-05-18T09:23:47"/>
        <d v="2026-06-10T10:55:37"/>
        <d v="2026-05-20T06:27:51"/>
        <d v="2026-06-09T20:44:26"/>
        <d v="2026-06-11T01:05:08"/>
        <d v="2026-05-20T11:19:07"/>
        <d v="2026-05-24T06:43:31"/>
        <d v="2026-05-20T12:30:32"/>
        <d v="2026-06-05T15:47:31"/>
        <d v="2026-06-10T08:48:23"/>
        <d v="2026-05-20T04:27:17"/>
        <d v="2026-06-11T00:29:39"/>
        <d v="2026-05-24T00:39:18"/>
        <d v="2026-06-09T17:24:55"/>
        <d v="2026-06-06T23:49:10"/>
        <d v="2026-06-04T07:49:27"/>
        <d v="2026-05-18T09:56:43"/>
        <d v="2026-06-08T16:09:18"/>
        <d v="2026-05-24T11:25:31"/>
        <d v="2026-05-24T19:11:45"/>
        <d v="2026-06-08T19:18:27"/>
        <d v="2026-06-04T02:01:00"/>
        <d v="2026-05-18T07:37:32"/>
        <d v="2026-05-20T06:24:52"/>
        <d v="2026-05-24T09:12:57"/>
        <d v="2026-06-07T11:39:46"/>
        <d v="2026-05-20T16:05:30"/>
        <d v="2026-05-21T08:24:37"/>
        <d v="2026-05-18T02:30:12"/>
        <d v="2026-06-05T08:51:03"/>
        <d v="2026-05-21T05:21:41"/>
        <d v="2026-06-10T13:13:18"/>
        <d v="2026-05-18T03:51:01"/>
        <d v="2026-06-04T18:44:57"/>
        <d v="2026-06-10T01:47:54"/>
        <d v="2026-06-06T21:37:15"/>
        <d v="2026-05-21T15:32:37"/>
        <d v="2026-06-07T06:21:21"/>
        <d v="2026-06-10T00:23:14"/>
        <d v="2026-06-08T18:14:38"/>
        <d v="2026-05-24T07:08:42"/>
        <d v="2026-05-19T17:13:45"/>
        <d v="2026-06-06T17:37:30"/>
        <d v="2026-05-18T17:39:05"/>
        <d v="2026-05-24T15:08:33"/>
        <d v="2026-06-08T17:10:52"/>
        <d v="2026-06-10T22:26:22"/>
        <d v="2026-06-06T13:04:05"/>
        <d v="2026-05-20T20:25:46"/>
        <d v="2026-06-05T06:40:30"/>
        <d v="2026-06-09T13:02:35"/>
        <d v="2026-05-20T18:43:14"/>
        <d v="2026-05-20T22:56:27"/>
        <d v="2026-06-11T06:34:58"/>
        <d v="2026-05-21T18:32:26"/>
        <d v="2026-06-07T10:11:00"/>
        <d v="2026-05-21T03:21:39"/>
        <d v="2026-06-07T17:57:52"/>
        <d v="2026-05-20T05:56:46"/>
        <d v="2026-06-09T19:09:10"/>
        <d v="2026-06-08T16:50:36"/>
        <d v="2026-06-05T16:56:38"/>
        <d v="2026-05-21T11:52:25"/>
        <d v="2026-05-24T05:09:21"/>
        <d v="2026-06-10T13:18:59"/>
        <d v="2026-06-11T06:53:24"/>
        <d v="2026-05-21T04:54:14"/>
        <d v="2026-05-21T06:35:57"/>
        <d v="2026-05-18T16:16:53"/>
        <d v="2026-05-20T15:33:26"/>
        <d v="2026-06-11T01:03:05"/>
        <d v="2026-05-20T09:43:42"/>
        <d v="2026-05-19T09:29:18"/>
        <d v="2026-06-11T08:07:56"/>
        <d v="2026-05-24T11:51:44"/>
        <d v="2026-06-06T16:41:28"/>
        <d v="2026-05-24T21:32:40"/>
        <d v="2026-05-19T12:30:41"/>
        <d v="2026-06-11T06:01:38"/>
        <d v="2026-06-09T19:58:48"/>
        <d v="2026-05-19T01:48:17"/>
        <d v="2026-05-20T06:49:19"/>
        <d v="2026-06-09T12:36:13"/>
        <d v="2026-06-09T08:43:35"/>
        <d v="2026-06-05T19:28:25"/>
        <d v="2026-06-09T14:08:14"/>
        <d v="2026-05-18T11:32:51"/>
        <d v="2026-05-21T13:30:32"/>
        <d v="2026-06-06T08:37:46"/>
        <d v="2026-05-24T19:19:36"/>
        <d v="2026-06-07T10:01:14"/>
        <d v="2026-06-09T15:13:45"/>
        <d v="2026-05-19T07:40:31"/>
        <d v="2026-05-18T08:18:33"/>
        <d v="2026-05-24T03:39:07"/>
        <d v="2026-06-10T21:44:21"/>
        <d v="2026-05-19T18:14:28"/>
        <d v="2026-05-21T11:37:25"/>
        <d v="2026-05-24T11:49:13"/>
        <d v="2026-05-24T17:56:26"/>
        <d v="2026-06-11T01:33:01"/>
        <d v="2026-06-10T15:30:40"/>
        <d v="2026-06-10T20:54:15"/>
        <d v="2026-05-21T18:51:12"/>
        <d v="2026-06-09T06:49:43"/>
        <d v="2026-06-10T17:44:17"/>
        <d v="2026-06-09T13:24:01"/>
        <d v="2026-05-24T11:30:56"/>
        <d v="2026-06-09T17:36:47"/>
        <d v="2026-05-24T17:25:28"/>
        <d v="2026-05-19T05:34:02"/>
        <d v="2026-05-21T16:01:16"/>
        <d v="2026-06-04T19:26:06"/>
        <d v="2026-06-10T18:47:32"/>
        <d v="2026-06-08T18:54:34"/>
        <d v="2026-06-02T17:20:29"/>
        <d v="2026-05-18T18:54:29"/>
        <d v="2026-06-03T21:51:39"/>
        <d v="2026-05-20T22:51:17"/>
        <d v="2026-05-20T20:11:16"/>
        <d v="2026-06-10T12:17:19"/>
        <d v="2026-06-10T12:32:03"/>
        <d v="2026-06-10T18:53:34"/>
        <d v="2026-06-04T07:46:20"/>
        <d v="2026-06-04T13:41:37"/>
        <d v="2026-06-06T21:14:41"/>
        <d v="2026-05-20T15:33:19"/>
        <d v="2026-05-24T21:19:09"/>
        <d v="2026-05-21T21:03:02"/>
        <d v="2026-05-19T15:12:02"/>
        <d v="2026-05-19T17:49:57"/>
        <d v="2026-05-18T12:21:22"/>
        <d v="2026-06-06T14:53:16"/>
        <d v="2026-06-05T13:57:10"/>
        <d v="2026-05-18T03:45:43"/>
        <d v="2026-05-20T05:40:36"/>
        <d v="2026-06-10T14:56:52"/>
        <d v="2026-06-10T20:18:38"/>
        <d v="2026-05-18T10:15:12"/>
        <d v="2026-06-07T20:07:41"/>
        <d v="2026-05-19T14:15:09"/>
        <d v="2026-06-09T20:33:19"/>
        <d v="2026-06-11T09:39:05"/>
        <d v="2026-06-09T08:51:32"/>
        <d v="2026-06-11T09:47:36"/>
        <d v="2026-06-09T10:27:54"/>
        <d v="2026-06-10T21:36:43"/>
        <d v="2026-06-10T06:53:33"/>
        <d v="2026-05-18T07:43:12"/>
        <d v="2026-06-03T07:40:03"/>
        <d v="2026-06-11T05:16:43"/>
        <d v="2026-05-24T03:22:53"/>
        <d v="2026-05-18T12:22:15"/>
        <d v="2026-05-18T20:11:21"/>
        <d v="2026-05-24T13:53:41"/>
        <d v="2026-05-24T18:45:38"/>
        <d v="2026-05-20T13:32:01"/>
        <d v="2026-05-20T14:46:03"/>
        <d v="2026-05-19T13:34:46"/>
        <d v="2026-06-07T16:04:38"/>
        <d v="2026-06-10T18:18:06"/>
        <d v="2026-06-11T06:07:06"/>
        <d v="2026-06-11T10:29:11"/>
        <d v="2026-06-04T00:14:46"/>
        <d v="2026-06-07T12:14:41"/>
        <d v="2026-06-08T17:37:40"/>
        <d v="2026-06-07T06:22:40"/>
        <d v="2026-06-06T04:58:29"/>
        <d v="2026-06-10T16:47:17"/>
        <d v="2026-05-20T19:05:46"/>
        <d v="2026-06-10T15:21:05"/>
        <d v="2026-05-19T12:17:03"/>
        <d v="2026-06-11T08:35:02"/>
        <d v="2026-06-08T12:14:49"/>
        <d v="2026-06-09T15:53:29"/>
        <d v="2026-06-10T16:55:17"/>
        <d v="2026-05-18T20:09:27"/>
        <d v="2026-06-08T20:31:50"/>
        <d v="2026-06-10T10:35:03"/>
        <d v="2026-06-09T20:02:58"/>
        <d v="2026-06-10T12:54:08"/>
        <d v="2026-06-03T19:31:32"/>
        <d v="2026-05-21T13:34:56"/>
        <d v="2026-05-24T22:01:57"/>
        <d v="2026-06-08T09:38:42"/>
        <d v="2026-06-11T07:05:46"/>
        <d v="2026-06-09T14:47:46"/>
        <d v="2026-06-10T13:35:25"/>
        <d v="2026-06-05T19:56:12"/>
        <d v="2026-05-24T13:53:48"/>
        <d v="2026-05-18T16:54:07"/>
        <d v="2026-05-24T14:49:57"/>
        <d v="2026-06-10T12:05:17"/>
        <d v="2026-06-04T16:30:54"/>
        <d v="2026-06-08T20:16:15"/>
        <d v="2026-05-21T09:01:49"/>
        <d v="2026-06-06T15:21:02"/>
        <d v="2026-05-21T17:45:30"/>
        <d v="2026-06-11T08:42:06"/>
        <d v="2026-05-19T16:09:40"/>
        <d v="2026-06-11T05:41:30"/>
        <d v="2026-06-10T19:10:09"/>
        <d v="2026-06-07T18:22:15"/>
        <d v="2026-05-20T18:47:24"/>
        <d v="2026-06-10T21:20:34"/>
        <d v="2026-06-08T14:26:16"/>
        <d v="2026-05-18T01:22:01"/>
        <d v="2026-06-06T18:00:47"/>
        <d v="2026-05-20T11:13:52"/>
        <d v="2026-06-08T07:10:14"/>
        <d v="2026-06-10T13:37:40"/>
        <d v="2026-06-10T16:26:33"/>
        <d v="2026-06-09T07:59:57"/>
        <d v="2026-06-07T11:04:46"/>
        <d v="2026-05-24T22:49:16"/>
        <d v="2026-05-18T16:03:49"/>
        <d v="2026-06-09T00:57:56"/>
        <d v="2026-06-09T16:52:58"/>
        <d v="2026-05-20T15:18:29"/>
        <d v="2026-06-10T02:46:16"/>
        <d v="2026-06-10T21:20:40"/>
        <d v="2026-06-10T16:16:27"/>
        <d v="2026-05-18T09:34:22"/>
        <d v="2026-05-21T10:09:00"/>
        <d v="2026-05-20T07:26:11"/>
        <d v="2026-05-21T09:14:47"/>
        <d v="2026-05-19T03:05:37"/>
        <d v="2026-05-20T13:04:40"/>
        <d v="2026-05-20T08:28:35"/>
        <d v="2026-06-09T17:39:57"/>
        <d v="2026-05-20T05:20:44"/>
        <d v="2026-05-18T16:56:49"/>
        <d v="2026-06-06T18:27:32"/>
        <d v="2026-06-10T06:03:52"/>
        <d v="2026-06-11T09:48:56"/>
        <d v="2026-06-07T13:31:10"/>
        <d v="2026-06-09T12:05:11"/>
        <d v="2026-06-11T10:25:20"/>
        <d v="2026-06-10T23:50:46"/>
        <d v="2026-06-11T09:55:06"/>
        <d v="2026-06-03T20:26:41"/>
        <d v="2026-05-21T12:01:22"/>
        <d v="2026-05-24T03:58:56"/>
        <d v="2026-05-19T09:01:49"/>
        <d v="2026-06-10T17:49:04"/>
        <d v="2026-06-06T22:00:54"/>
        <d v="2026-06-05T09:52:16"/>
        <d v="2026-06-07T04:39:54"/>
        <d v="2026-05-18T10:02:17"/>
        <d v="2026-05-20T08:21:18"/>
        <d v="2026-05-20T12:13:56"/>
        <d v="2026-05-24T06:18:24"/>
        <d v="2026-05-24T11:41:56"/>
        <d v="2026-05-21T04:46:23"/>
        <d v="2026-06-10T08:28:43"/>
        <d v="2026-06-10T08:20:18"/>
        <d v="2026-06-09T17:14:04"/>
        <d v="2026-05-19T20:43:29"/>
        <d v="2026-06-05T19:30:58"/>
        <d v="2026-06-05T23:58:41"/>
        <d v="2026-05-20T01:33:40"/>
        <d v="2026-06-06T13:17:41"/>
        <d v="2026-06-02T10:42:42"/>
        <d v="2026-05-19T19:43:50"/>
        <d v="2026-05-21T01:32:01"/>
        <d v="2026-05-24T13:59:30"/>
        <d v="2026-06-11T03:41:59"/>
        <d v="2026-06-10T15:34:59"/>
        <d v="2026-06-08T23:16:35"/>
        <d v="2026-06-08T09:50:46"/>
        <d v="2026-06-10T17:57:20"/>
        <d v="2026-06-10T16:56:42"/>
        <d v="2026-05-21T03:17:54"/>
        <d v="2026-06-10T03:03:31"/>
        <d v="2026-05-19T12:50:47"/>
        <d v="2026-05-18T20:52:45"/>
        <d v="2026-06-10T16:50:07"/>
        <d v="2026-06-03T13:57:13"/>
        <d v="2026-05-21T14:35:07"/>
        <d v="2026-06-06T14:10:52"/>
        <d v="2026-06-08T08:03:43"/>
        <d v="2026-06-09T13:20:34"/>
        <d v="2026-06-06T18:00:25"/>
        <d v="2026-06-09T11:47:08"/>
        <d v="2026-05-24T12:45:33"/>
        <d v="2026-05-20T07:00:15"/>
        <d v="2026-06-09T18:52:33"/>
        <d v="2026-06-09T14:40:11"/>
        <d v="2026-06-05T18:09:53"/>
        <d v="2026-05-21T19:01:47"/>
        <d v="2026-06-11T04:24:40"/>
        <d v="2026-06-11T00:25:36"/>
        <d v="2026-05-20T20:15:37"/>
        <d v="2026-06-09T04:27:14"/>
        <d v="2026-06-08T20:56:10"/>
        <d v="2026-06-11T00:10:28"/>
        <d v="2026-05-21T21:14:05"/>
        <d v="2026-05-18T11:02:53"/>
        <d v="2026-06-09T14:58:40"/>
        <d v="2026-06-06T16:08:22"/>
        <d v="2026-05-20T03:41:40"/>
        <d v="2026-06-05T22:38:07"/>
        <d v="2026-06-10T17:02:13"/>
        <d v="2026-05-21T04:51:58"/>
        <d v="2026-05-24T08:49:53"/>
        <d v="2026-06-10T18:55:09"/>
        <d v="2026-05-21T07:21:15"/>
        <d v="2026-06-11T07:45:28"/>
        <d v="2026-05-20T16:12:50"/>
        <d v="2026-05-21T05:34:26"/>
        <d v="2026-06-10T21:55:21"/>
        <d v="2026-05-18T20:21:19"/>
        <d v="2026-05-24T14:55:37"/>
        <d v="2026-06-06T00:52:10"/>
        <d v="2026-06-09T06:31:23"/>
        <d v="2026-06-08T20:13:47"/>
        <d v="2026-06-11T03:00:09"/>
        <d v="2026-05-24T20:22:47"/>
        <d v="2026-06-11T08:51:02"/>
        <d v="2026-05-18T19:36:40"/>
        <d v="2026-05-24T18:46:26"/>
        <d v="2026-06-07T07:08:06"/>
        <d v="2026-06-08T04:52:01"/>
        <d v="2026-06-09T12:09:36"/>
        <d v="2026-06-09T18:49:49"/>
        <d v="2026-05-20T14:07:44"/>
        <d v="2026-05-19T00:24:59"/>
        <d v="2026-05-21T20:44:23"/>
        <d v="2026-05-21T11:32:26"/>
        <d v="2026-06-11T00:11:36"/>
        <d v="2026-05-18T19:06:51"/>
        <d v="2026-05-21T10:43:08"/>
        <d v="2026-06-11T06:54:44"/>
        <d v="2026-06-09T22:16:04"/>
        <d v="2026-05-20T13:59:11"/>
        <d v="2026-06-09T14:04:16"/>
        <d v="2026-06-10T06:19:52"/>
        <d v="2026-06-10T23:26:46"/>
        <d v="2026-05-19T17:48:07"/>
        <d v="2026-06-10T00:07:33"/>
        <d v="2026-06-09T04:28:54"/>
        <d v="2026-06-04T14:03:58"/>
        <d v="2026-05-21T13:49:47"/>
        <d v="2026-05-24T11:20:23"/>
        <d v="2026-06-10T21:48:31"/>
        <d v="2026-06-03T11:09:40"/>
        <d v="2026-05-18T17:31:54"/>
        <d v="2026-06-06T20:03:34"/>
        <d v="2026-05-18T10:07:33"/>
        <d v="2026-05-24T09:28:21"/>
        <d v="2026-05-19T13:43:47"/>
        <d v="2026-05-21T03:57:17"/>
        <d v="2026-06-10T13:19:53"/>
        <d v="2026-06-11T09:44:38"/>
        <d v="2026-06-10T22:23:37"/>
        <d v="2026-06-11T09:19:00"/>
        <d v="2026-06-06T18:56:07"/>
        <d v="2026-05-19T19:00:16"/>
        <d v="2026-05-18T13:11:42"/>
        <d v="2026-05-21T11:14:04"/>
        <d v="2026-06-09T21:08:40"/>
        <d v="2026-06-09T04:22:18"/>
        <d v="2026-06-03T18:05:26"/>
        <d v="2026-06-09T14:10:29"/>
        <d v="2026-06-09T06:31:22"/>
        <d v="2026-06-09T20:13:48"/>
        <d v="2026-06-10T08:08:39"/>
        <d v="2026-06-10T13:50:02"/>
        <d v="2026-06-04T20:19:49"/>
        <d v="2026-05-18T17:01:41"/>
        <d v="2026-05-21T08:19:51"/>
        <d v="2026-06-09T23:30:38"/>
        <d v="2026-05-24T22:08:43"/>
        <d v="2026-05-18T06:23:19"/>
        <d v="2026-06-10T21:11:50"/>
        <d v="2026-06-06T17:47:09"/>
        <d v="2026-06-08T02:40:08"/>
        <d v="2026-06-08T18:31:48"/>
        <d v="2026-06-04T07:38:06"/>
        <d v="2026-06-08T05:12:31"/>
        <d v="2026-06-07T03:25:39"/>
        <d v="2026-06-10T17:08:46"/>
        <d v="2026-05-19T12:56:20"/>
        <d v="2026-06-06T08:10:44"/>
        <d v="2026-06-09T19:30:51"/>
        <d v="2026-06-06T21:38:21"/>
        <d v="2026-05-18T14:59:55"/>
        <d v="2026-05-18T18:14:08"/>
        <d v="2026-05-18T04:36:27"/>
        <d v="2026-05-19T14:14:06"/>
        <d v="2026-05-18T09:36:03"/>
        <d v="2026-06-09T19:24:01"/>
        <d v="2026-06-07T13:29:27"/>
        <d v="2026-05-19T15:53:15"/>
        <d v="2026-05-21T15:36:17"/>
        <d v="2026-05-21T17:01:18"/>
        <d v="2026-06-05T11:34:55"/>
        <d v="2026-05-24T14:36:02"/>
        <d v="2026-05-24T14:33:39"/>
        <d v="2026-05-24T23:53:47"/>
        <d v="2026-05-18T21:46:19"/>
        <d v="2026-06-10T14:12:14"/>
        <d v="2026-05-18T20:18:30"/>
        <d v="2026-06-09T21:55:08"/>
        <d v="2026-06-07T12:46:07"/>
        <d v="2026-06-09T17:36:38"/>
        <d v="2026-06-10T03:58:10"/>
        <d v="2026-05-21T12:25:13"/>
        <d v="2026-05-19T21:49:11"/>
        <d v="2026-05-21T15:43:16"/>
        <d v="2026-06-09T14:15:05"/>
        <d v="2026-06-07T09:51:55"/>
        <d v="2026-05-19T22:55:07"/>
        <d v="2026-06-07T06:16:43"/>
        <d v="2026-06-09T12:34:12"/>
        <d v="2026-05-20T05:06:43"/>
        <d v="2026-06-04T16:18:05"/>
        <d v="2026-05-24T11:06:47"/>
        <d v="2026-05-18T19:43:38"/>
        <d v="2026-05-19T17:56:21"/>
        <d v="2026-06-07T04:35:31"/>
        <d v="2026-06-11T04:55:54"/>
        <d v="2026-05-18T19:09:20"/>
        <d v="2026-05-24T08:44:05"/>
        <d v="2026-06-11T07:06:51"/>
        <d v="2026-06-11T07:26:51"/>
        <d v="2026-06-10T21:10:00"/>
        <d v="2026-05-19T18:40:11"/>
        <d v="2026-06-08T15:15:12"/>
        <d v="2026-06-09T17:23:43"/>
        <d v="2026-06-11T08:55:03"/>
        <d v="2026-06-04T12:07:43"/>
        <d v="2026-06-10T06:52:44"/>
        <d v="2026-06-06T08:29:31"/>
        <d v="2026-05-21T17:17:30"/>
        <d v="2026-05-19T18:11:46"/>
        <d v="2026-06-11T10:13:21"/>
        <d v="2026-06-10T19:05:29"/>
        <d v="2026-05-21T12:08:24"/>
        <d v="2026-06-11T10:28:42"/>
        <d v="2026-05-24T19:11:20"/>
        <d v="2026-06-10T14:49:49"/>
        <d v="2026-06-10T07:17:23"/>
        <d v="2026-05-18T19:59:55"/>
        <d v="2026-06-02T17:00:31"/>
        <d v="2026-06-06T17:57:04"/>
        <d v="2026-06-09T11:24:49"/>
        <d v="2026-06-10T09:00:54"/>
        <d v="2026-05-18T19:27:01"/>
        <d v="2026-05-21T20:36:10"/>
        <d v="2026-05-24T16:53:25"/>
        <d v="2026-06-06T18:52:50"/>
        <d v="2026-05-20T08:38:49"/>
        <d v="2026-05-24T17:43:04"/>
        <d v="2026-06-09T20:45:21"/>
        <d v="2026-05-18T09:20:58"/>
        <d v="2026-05-19T06:26:43"/>
        <d v="2026-05-18T12:14:26"/>
        <d v="2026-05-20T17:02:59"/>
        <d v="2026-05-24T05:08:11"/>
        <d v="2026-05-21T12:23:52"/>
        <d v="2026-06-11T09:24:19"/>
        <d v="2026-05-19T18:19:43"/>
        <d v="2026-06-10T05:59:21"/>
        <d v="2026-06-05T22:27:40"/>
        <d v="2026-05-19T18:58:47"/>
        <d v="2026-05-18T20:00:33"/>
        <d v="2026-05-18T05:29:31"/>
        <d v="2026-05-24T06:30:12"/>
        <d v="2026-05-19T20:07:29"/>
        <d v="2026-06-10T13:56:17"/>
        <d v="2026-05-19T06:46:00"/>
        <d v="2026-06-08T06:30:32"/>
        <d v="2026-05-21T04:10:56"/>
        <d v="2026-06-11T04:05:30"/>
        <d v="2026-05-21T14:26:54"/>
        <d v="2026-05-21T23:14:24"/>
        <d v="2026-06-11T00:23:26"/>
        <d v="2026-06-09T20:19:01"/>
        <d v="2026-06-04T14:34:14"/>
        <d v="2026-06-10T17:38:57"/>
        <d v="2026-05-21T03:22:44"/>
        <d v="2026-06-04T17:29:19"/>
        <d v="2026-06-11T00:44:39"/>
        <d v="2026-06-05T01:44:25"/>
        <d v="2026-06-07T22:26:44"/>
        <d v="2026-06-09T21:01:12"/>
        <d v="2026-05-18T17:10:16"/>
        <d v="2026-05-20T12:49:18"/>
        <d v="2026-06-09T12:07:14"/>
        <d v="2026-06-04T18:34:25"/>
        <d v="2026-06-03T19:29:21"/>
        <d v="2026-06-11T09:16:43"/>
        <d v="2026-05-18T03:28:42"/>
        <d v="2026-05-20T19:37:45"/>
        <d v="2026-05-21T01:32:05"/>
        <d v="2026-05-24T21:43:19"/>
        <d v="2026-05-21T19:03:55"/>
        <d v="2026-05-24T08:37:57"/>
        <d v="2026-06-05T21:41:31"/>
        <d v="2026-06-04T20:28:57"/>
        <d v="2026-05-24T09:33:02"/>
        <d v="2026-06-04T07:18:48"/>
        <d v="2026-06-08T17:15:30"/>
        <d v="2026-05-21T07:24:07"/>
        <d v="2026-05-19T12:28:29"/>
        <d v="2026-06-09T20:30:59"/>
        <d v="2026-05-18T22:41:08"/>
        <d v="2026-06-06T16:52:27"/>
        <d v="2026-05-24T16:27:09"/>
        <d v="2026-05-24T18:25:32"/>
        <d v="2026-06-07T04:00:40"/>
        <d v="2026-06-10T06:53:38"/>
        <d v="2026-06-08T03:09:46"/>
        <d v="2026-06-10T11:18:52"/>
        <d v="2026-05-18T13:32:21"/>
        <d v="2026-05-24T03:28:21"/>
        <d v="2026-06-10T11:07:05"/>
        <d v="2026-05-18T23:51:00"/>
        <d v="2026-06-09T15:07:51"/>
        <d v="2026-05-24T13:21:09"/>
        <d v="2026-06-08T20:29:41"/>
        <d v="2026-05-21T18:36:24"/>
        <d v="2026-05-24T02:42:33"/>
        <d v="2026-06-11T06:05:41"/>
        <d v="2026-06-04T07:52:16"/>
        <d v="2026-05-18T13:13:56"/>
        <d v="2026-06-09T19:34:24"/>
        <d v="2026-06-07T13:37:16"/>
        <d v="2026-06-05T11:25:41"/>
        <d v="2026-05-18T00:22:00"/>
        <d v="2026-06-10T06:48:30"/>
        <d v="2026-05-18T00:30:40"/>
        <d v="2026-05-21T05:14:39"/>
        <d v="2026-05-24T09:14:40"/>
        <d v="2026-06-07T21:52:17"/>
        <d v="2026-06-05T14:45:58"/>
        <d v="2026-06-10T18:05:25"/>
        <d v="2026-06-07T22:42:40"/>
        <d v="2026-05-18T02:00:43"/>
        <d v="2026-05-19T16:19:05"/>
        <d v="2026-05-18T16:54:30"/>
        <d v="2026-06-09T17:18:30"/>
        <d v="2026-05-19T01:20:51"/>
        <d v="2026-05-24T19:24:15"/>
        <d v="2026-05-19T23:47:45"/>
        <d v="2026-05-19T21:13:22"/>
        <d v="2026-06-05T01:19:52"/>
        <d v="2026-06-06T15:56:59"/>
        <d v="2026-06-10T14:47:29"/>
        <d v="2026-05-19T12:52:55"/>
        <d v="2026-05-20T11:28:20"/>
        <d v="2026-05-20T17:34:04"/>
        <d v="2026-06-10T18:43:57"/>
        <d v="2026-06-03T13:58:42"/>
        <d v="2026-06-09T08:23:47"/>
        <d v="2026-06-10T18:04:53"/>
        <d v="2026-06-10T04:22:54"/>
        <d v="2026-06-07T10:43:08"/>
        <d v="2026-05-21T17:06:01"/>
        <d v="2026-06-10T23:07:11"/>
        <d v="2026-05-24T15:42:12"/>
        <d v="2026-05-24T05:09:24"/>
        <d v="2026-06-05T12:46:55"/>
        <d v="2026-05-24T10:58:34"/>
        <d v="2026-06-11T09:33:35"/>
        <d v="2026-05-18T18:23:39"/>
        <d v="2026-05-24T04:07:52"/>
        <d v="2026-05-20T22:08:25"/>
        <d v="2026-05-24T10:02:46"/>
        <d v="2026-05-24T15:08:48"/>
        <d v="2026-05-18T07:13:44"/>
        <d v="2026-05-19T18:01:18"/>
        <d v="2026-05-21T17:47:46"/>
        <d v="2026-06-04T14:55:45"/>
        <d v="2026-06-11T06:54:55"/>
        <d v="2026-05-24T19:15:20"/>
        <d v="2026-06-06T18:12:03"/>
        <d v="2026-06-09T09:43:52"/>
        <d v="2026-06-10T22:25:58"/>
        <d v="2026-05-19T21:26:02"/>
        <d v="2026-06-09T05:14:01"/>
        <d v="2026-05-21T10:32:46"/>
        <d v="2026-05-18T16:40:28"/>
        <d v="2026-06-06T06:08:38"/>
        <d v="2026-05-24T22:15:28"/>
        <d v="2026-06-09T17:10:14"/>
        <d v="2026-06-11T01:27:32"/>
        <d v="2026-06-10T17:01:17"/>
        <d v="2026-05-18T05:07:28"/>
        <d v="2026-06-07T09:50:32"/>
        <d v="2026-05-20T07:19:51"/>
        <d v="2026-06-10T18:17:36"/>
        <d v="2026-05-18T18:29:07"/>
        <d v="2026-06-10T20:13:31"/>
        <d v="2026-06-09T15:28:47"/>
        <d v="2026-06-09T14:36:08"/>
        <d v="2026-05-18T07:10:11"/>
        <d v="2026-05-24T04:47:36"/>
        <d v="2026-06-10T15:39:15"/>
        <d v="2026-05-18T19:32:48"/>
        <d v="2026-05-24T11:45:51"/>
        <d v="2026-06-09T08:22:12"/>
        <d v="2026-06-08T19:01:11"/>
        <d v="2026-06-10T21:02:21"/>
        <d v="2026-05-18T16:51:55"/>
        <d v="2026-06-09T18:01:17"/>
        <d v="2026-05-18T20:24:01"/>
        <d v="2026-05-24T14:57:26"/>
        <d v="2026-05-24T17:14:20"/>
        <d v="2026-05-24T21:03:40"/>
        <d v="2026-05-20T23:15:11"/>
        <d v="2026-06-11T05:59:51"/>
        <d v="2026-06-10T09:09:18"/>
        <d v="2026-06-10T16:27:47"/>
        <d v="2026-06-10T16:47:36"/>
        <d v="2026-06-09T10:51:54"/>
        <d v="2026-06-06T16:56:33"/>
        <d v="2026-05-24T12:39:25"/>
        <d v="2026-05-24T02:10:51"/>
        <d v="2026-06-10T05:12:33"/>
        <d v="2026-06-05T23:48:43"/>
        <d v="2026-06-08T21:40:02"/>
        <d v="2026-05-18T23:39:52"/>
        <d v="2026-06-07T11:07:22"/>
        <d v="2026-05-19T17:40:12"/>
        <d v="2026-06-04T20:28:15"/>
        <d v="2026-06-10T04:47:09"/>
        <d v="2026-05-20T23:11:49"/>
        <d v="2026-06-11T10:12:59"/>
        <d v="2026-06-09T10:00:00"/>
        <d v="2026-05-19T20:12:08"/>
        <d v="2026-05-21T14:47:43"/>
        <d v="2026-05-18T20:09:05"/>
        <d v="2026-06-09T09:24:19"/>
        <d v="2026-05-21T19:24:49"/>
        <d v="2026-05-18T21:38:48"/>
        <d v="2026-06-06T21:42:07"/>
        <d v="2026-05-21T16:27:09"/>
        <d v="2026-05-24T18:32:46"/>
        <d v="2026-06-06T14:27:17"/>
        <d v="2026-06-09T23:29:39"/>
        <d v="2026-05-24T15:46:58"/>
        <d v="2026-06-10T04:33:30"/>
        <d v="2026-05-21T11:59:49"/>
        <d v="2026-06-10T16:18:11"/>
        <d v="2026-05-21T21:51:29"/>
        <d v="2026-06-10T18:29:59"/>
        <d v="2026-06-06T09:14:48"/>
        <d v="2026-06-08T17:27:42"/>
        <d v="2026-06-11T10:32:22"/>
        <d v="2026-05-20T19:46:58"/>
        <d v="2026-06-05T18:21:22"/>
        <d v="2026-06-02T16:30:39"/>
        <d v="2026-06-11T09:21:11"/>
        <d v="2026-06-04T15:07:29"/>
        <d v="2026-06-08T20:44:24"/>
        <d v="2026-05-24T03:24:27"/>
        <d v="2026-05-21T18:39:19"/>
        <d v="2026-06-06T18:43:06"/>
        <d v="2026-05-19T20:39:26"/>
        <d v="2026-05-18T22:27:54"/>
        <d v="2026-05-20T16:52:32"/>
        <d v="2026-06-04T20:17:47"/>
        <d v="2026-05-24T07:11:18"/>
        <d v="2026-05-24T19:45:48"/>
        <d v="2026-06-09T04:21:35"/>
        <d v="2026-05-21T07:20:06"/>
        <d v="2026-05-21T21:41:11"/>
        <d v="2026-06-06T15:09:32"/>
        <d v="2026-06-08T20:49:10"/>
        <d v="2026-05-19T05:10:10"/>
        <d v="2026-06-07T08:58:11"/>
        <d v="2026-06-09T16:08:00"/>
        <d v="2026-05-21T08:23:23"/>
        <d v="2026-06-08T12:00:03"/>
        <d v="2026-05-19T16:53:26"/>
        <d v="2026-05-24T16:36:41"/>
        <d v="2026-06-10T15:10:03"/>
        <d v="2026-06-10T09:40:05"/>
        <d v="2026-06-03T10:00:41"/>
        <d v="2026-05-24T18:11:39"/>
        <d v="2026-05-20T14:26:02"/>
        <d v="2026-05-21T13:08:57"/>
        <d v="2026-05-18T12:31:30"/>
        <d v="2026-05-19T20:27:56"/>
        <d v="2026-06-11T09:49:12"/>
        <d v="2026-06-06T14:41:13"/>
        <d v="2026-06-11T08:01:09"/>
        <d v="2026-05-19T15:47:40"/>
        <d v="2026-06-04T02:10:40"/>
        <d v="2026-06-09T17:32:51"/>
        <d v="2026-06-04T07:55:37"/>
        <d v="2026-05-19T19:06:51"/>
        <d v="2026-05-21T19:18:31"/>
        <d v="2026-06-10T21:08:31"/>
        <d v="2026-06-10T00:55:02"/>
        <d v="2026-05-24T19:18:58"/>
        <d v="2026-06-07T19:41:47"/>
        <d v="2026-05-18T04:41:59"/>
        <d v="2026-06-09T06:44:40"/>
        <d v="2026-05-18T16:31:27"/>
        <d v="2026-06-05T17:16:15"/>
        <d v="2026-06-10T05:23:34"/>
        <d v="2026-05-21T08:48:34"/>
        <d v="2026-05-20T15:35:44"/>
        <d v="2026-05-18T08:53:28"/>
        <d v="2026-05-24T05:11:11"/>
        <d v="2026-05-18T14:58:25"/>
        <d v="2026-06-09T15:24:45"/>
        <d v="2026-05-21T09:58:06"/>
        <d v="2026-05-18T12:35:44"/>
        <d v="2026-05-21T15:25:11"/>
        <d v="2026-05-21T14:29:23"/>
        <d v="2026-05-21T17:01:23"/>
        <d v="2026-06-08T16:58:12"/>
        <d v="2026-06-02T13:16:32"/>
        <d v="2026-06-08T06:36:53"/>
        <d v="2026-05-19T15:56:26"/>
        <d v="2026-06-10T19:32:58"/>
        <d v="2026-05-19T22:48:54"/>
        <d v="2026-06-10T11:10:13"/>
        <d v="2026-05-20T20:19:51"/>
        <d v="2026-05-19T15:18:46"/>
        <d v="2026-06-11T07:40:40"/>
        <d v="2026-05-20T03:46:33"/>
        <d v="2026-06-11T08:49:04"/>
        <d v="2026-05-19T12:13:31"/>
        <d v="2026-06-06T14:01:10"/>
        <d v="2026-05-18T16:09:43"/>
        <d v="2026-06-08T16:33:04"/>
        <d v="2026-05-19T17:56:29"/>
        <d v="2026-05-24T15:20:58"/>
        <d v="2026-06-10T10:55:55"/>
        <d v="2026-06-09T10:36:56"/>
        <d v="2026-06-10T07:07:18"/>
        <d v="2026-06-04T14:27:10"/>
        <d v="2026-06-07T21:15:40"/>
        <d v="2026-06-10T13:18:07"/>
        <d v="2026-05-21T21:35:48"/>
        <d v="2026-06-10T18:02:18"/>
        <d v="2026-05-21T19:17:39"/>
        <d v="2026-05-18T19:57:25"/>
        <d v="2026-06-07T12:14:43"/>
        <d v="2026-05-19T15:26:55"/>
        <d v="2026-05-21T20:23:10"/>
        <d v="2026-06-09T18:49:36"/>
        <d v="2026-05-20T03:59:07"/>
        <d v="2026-06-08T22:50:38"/>
        <d v="2026-06-08T13:52:17"/>
        <d v="2026-06-11T06:06:07"/>
        <d v="2026-05-21T04:05:39"/>
        <d v="2026-06-10T15:16:02"/>
        <d v="2026-05-24T06:04:48"/>
        <d v="2026-05-20T09:11:06"/>
        <d v="2026-05-20T07:36:26"/>
        <d v="2026-05-21T19:07:39"/>
        <d v="2026-06-06T20:06:39"/>
        <d v="2026-05-18T06:34:53"/>
        <d v="2026-05-18T14:13:13"/>
        <d v="2026-05-21T05:29:48"/>
        <d v="2026-05-21T07:36:59"/>
        <d v="2026-06-11T09:39:54"/>
        <d v="2026-05-20T10:00:21"/>
        <d v="2026-05-24T16:00:54"/>
        <d v="2026-06-07T09:26:13"/>
        <d v="2026-06-10T03:58:05"/>
        <d v="2026-06-06T14:18:11"/>
        <d v="2026-06-10T15:55:32"/>
        <d v="2026-05-18T04:17:30"/>
        <d v="2026-05-19T05:43:37"/>
        <d v="2026-05-18T17:38:22"/>
        <d v="2026-06-09T17:47:30"/>
        <d v="2026-05-20T19:02:46"/>
        <d v="2026-05-19T18:56:52"/>
        <d v="2026-05-21T20:23:46"/>
        <d v="2026-05-19T17:37:24"/>
        <d v="2026-05-19T19:50:23"/>
        <d v="2026-06-04T13:48:30"/>
        <d v="2026-05-18T06:14:28"/>
        <d v="2026-06-02T12:10:54"/>
        <d v="2026-05-18T10:09:44"/>
        <d v="2026-05-21T00:59:57"/>
        <d v="2026-05-21T17:26:52"/>
        <d v="2026-05-20T19:14:58"/>
        <d v="2026-05-19T05:41:42"/>
        <d v="2026-06-07T17:34:40"/>
        <d v="2026-05-24T16:59:35"/>
        <d v="2026-05-24T09:43:51"/>
        <d v="2026-06-10T21:49:25"/>
        <d v="2026-05-19T11:35:14"/>
        <d v="2026-06-08T20:04:32"/>
        <d v="2026-06-11T04:54:08"/>
        <d v="2026-05-19T20:32:34"/>
        <d v="2026-06-06T21:34:15"/>
        <d v="2026-06-11T10:13:26"/>
        <d v="2026-05-19T09:53:44"/>
        <d v="2026-06-09T19:03:30"/>
        <d v="2026-06-09T12:39:10"/>
        <d v="2026-06-11T00:28:02"/>
        <d v="2026-06-07T07:22:37"/>
        <d v="2026-06-05T15:47:42"/>
        <d v="2026-05-21T05:42:54"/>
        <d v="2026-05-18T02:32:21"/>
        <d v="2026-05-21T12:52:10"/>
        <d v="2026-06-05T07:50:44"/>
        <d v="2026-05-18T13:14:14"/>
        <d v="2026-06-08T17:32:56"/>
        <d v="2026-05-18T19:12:34"/>
        <d v="2026-05-19T09:42:42"/>
        <d v="2026-06-10T07:46:59"/>
        <d v="2026-05-24T19:48:25"/>
        <d v="2026-05-20T19:08:31"/>
        <d v="2026-06-10T22:15:59"/>
        <d v="2026-05-24T21:39:18"/>
        <d v="2026-06-08T22:27:14"/>
        <d v="2026-05-20T16:26:24"/>
        <d v="2026-06-06T15:54:19"/>
        <d v="2026-05-18T04:41:41"/>
        <d v="2026-06-03T11:04:30"/>
        <d v="2026-05-19T21:29:40"/>
        <d v="2026-05-18T18:09:11"/>
        <d v="2026-05-24T21:20:47"/>
        <d v="2026-06-08T20:31:35"/>
        <d v="2026-05-19T10:51:54"/>
        <d v="2026-05-21T04:04:10"/>
        <m/>
      </sharedItems>
    </cacheField>
    <cacheField name="是否有效回归" numFmtId="177">
      <sharedItems containsBlank="1" count="3">
        <s v="是"/>
        <s v="否"/>
        <m/>
      </sharedItems>
    </cacheField>
    <cacheField name="总投注流水（usd）" numFmtId="0">
      <sharedItems containsString="0" containsBlank="1" containsNumber="1" minValue="0" maxValue="9237.82" count="288">
        <n v="0.53"/>
        <n v="11.11"/>
        <n v="24.51"/>
        <n v="2.57"/>
        <n v="0.05"/>
        <n v="23.58"/>
        <n v="17.2"/>
        <n v="245.02"/>
        <n v="0"/>
        <n v="0.71"/>
        <n v="0.86"/>
        <n v="149.28"/>
        <n v="26.91"/>
        <n v="10.53"/>
        <n v="22.85"/>
        <n v="8.23"/>
        <n v="3.36"/>
        <n v="62.78"/>
        <n v="5.26"/>
        <n v="475.34"/>
        <n v="0.04"/>
        <n v="6.83"/>
        <n v="1.99"/>
        <n v="0.79"/>
        <n v="3.53"/>
        <n v="2.14"/>
        <n v="25.09"/>
        <n v="7.46"/>
        <n v="159.72"/>
        <n v="58.03"/>
        <n v="7.52"/>
        <n v="0.03"/>
        <n v="137.45"/>
        <n v="6.62"/>
        <n v="6.02"/>
        <n v="0.08"/>
        <n v="39.01"/>
        <n v="23.38"/>
        <n v="111.73"/>
        <n v="250.31"/>
        <n v="17.14"/>
        <n v="9.93"/>
        <n v="86.06"/>
        <n v="13.91"/>
        <n v="295.32"/>
        <n v="0.09"/>
        <n v="0.74"/>
        <n v="72.19"/>
        <n v="4.06"/>
        <n v="9237.82"/>
        <n v="43.19"/>
        <n v="18.08"/>
        <n v="93.38"/>
        <n v="0.35"/>
        <n v="117.11"/>
        <n v="522.56"/>
        <n v="41.09"/>
        <n v="390.08"/>
        <n v="37.43"/>
        <n v="9.81"/>
        <n v="2346.28"/>
        <n v="3.98"/>
        <n v="1.05"/>
        <n v="20"/>
        <n v="2.04"/>
        <n v="15.05"/>
        <n v="114.19"/>
        <n v="1"/>
        <n v="1.65"/>
        <n v="2.4"/>
        <n v="2.27"/>
        <n v="18.25"/>
        <n v="4.11"/>
        <n v="1.5"/>
        <n v="1.3"/>
        <n v="5.19"/>
        <n v="286.3"/>
        <n v="9.91"/>
        <n v="21.44"/>
        <n v="2.78"/>
        <n v="0.07"/>
        <n v="39.59"/>
        <n v="58.82"/>
        <n v="0.68"/>
        <n v="0.02"/>
        <n v="17.82"/>
        <n v="1.35"/>
        <n v="82.66"/>
        <n v="20.71"/>
        <n v="156.11"/>
        <n v="68.83"/>
        <n v="6.19"/>
        <n v="174.03"/>
        <n v="79.5"/>
        <n v="91.07"/>
        <n v="1.27"/>
        <n v="6.92"/>
        <n v="5.91"/>
        <n v="34.57"/>
        <n v="88.72"/>
        <n v="226.77"/>
        <n v="57.36"/>
        <n v="11.62"/>
        <n v="437.39"/>
        <n v="317.73"/>
        <n v="19.91"/>
        <n v="30.6"/>
        <n v="136.07"/>
        <n v="83.5"/>
        <n v="158.98"/>
        <n v="4.18"/>
        <n v="0.11"/>
        <n v="14.66"/>
        <n v="0.89"/>
        <n v="5.89"/>
        <n v="0.73"/>
        <n v="11.8"/>
        <n v="68.93"/>
        <n v="41.28"/>
        <n v="26.95"/>
        <n v="5.84"/>
        <n v="146.35"/>
        <n v="578.72"/>
        <n v="1.86"/>
        <n v="2022.09"/>
        <n v="2.41"/>
        <n v="0.15"/>
        <n v="4.88"/>
        <n v="11.26"/>
        <n v="32.62"/>
        <n v="3.38"/>
        <n v="247.92"/>
        <n v="14.44"/>
        <n v="1.71"/>
        <n v="6.35"/>
        <n v="1.56"/>
        <n v="1.95"/>
        <n v="15.72"/>
        <n v="75.29"/>
        <n v="241.69"/>
        <n v="385.27"/>
        <n v="1.85"/>
        <n v="5.36"/>
        <n v="308.87"/>
        <n v="1.21"/>
        <n v="81.44"/>
        <n v="0.3"/>
        <n v="26.92"/>
        <n v="3.46"/>
        <n v="2.56"/>
        <n v="101.85"/>
        <n v="14.46"/>
        <n v="17.26"/>
        <n v="269.66"/>
        <n v="5.04"/>
        <n v="5.71"/>
        <n v="114.04"/>
        <n v="51.35"/>
        <n v="0.25"/>
        <n v="0.61"/>
        <n v="2.11"/>
        <n v="2.18"/>
        <n v="2.33"/>
        <n v="16.71"/>
        <n v="9.4"/>
        <n v="0.75"/>
        <n v="0.36"/>
        <n v="0.14"/>
        <n v="4.38"/>
        <n v="4.93"/>
        <n v="0.93"/>
        <n v="0.33"/>
        <n v="1.02"/>
        <n v="111.32"/>
        <n v="8.53"/>
        <n v="188.3"/>
        <n v="116.58"/>
        <n v="2.53"/>
        <n v="27.59"/>
        <n v="0.44"/>
        <n v="8.28"/>
        <n v="366.82"/>
        <n v="57.64"/>
        <n v="1.25"/>
        <n v="1.98"/>
        <n v="11.15"/>
        <n v="297.78"/>
        <n v="30.9"/>
        <n v="159.08"/>
        <n v="8.17"/>
        <n v="113.38"/>
        <n v="5.23"/>
        <n v="1.06"/>
        <n v="8.35"/>
        <n v="1.79"/>
        <n v="2.92"/>
        <n v="41.11"/>
        <n v="28.91"/>
        <n v="212.05"/>
        <n v="2.8"/>
        <n v="233.35"/>
        <n v="61.26"/>
        <n v="0.38"/>
        <n v="2.03"/>
        <n v="6.36"/>
        <n v="25.43"/>
        <n v="33.57"/>
        <n v="0.67"/>
        <n v="36.78"/>
        <n v="2.86"/>
        <n v="12.11"/>
        <n v="86.69"/>
        <n v="240.93"/>
        <n v="2.49"/>
        <n v="106.02"/>
        <n v="9.62"/>
        <n v="5.44"/>
        <n v="93.61"/>
        <n v="26.73"/>
        <n v="0.98"/>
        <n v="19.25"/>
        <n v="26.7"/>
        <n v="1.8"/>
        <n v="587.85"/>
        <n v="2.65"/>
        <n v="0.1"/>
        <n v="439.14"/>
        <n v="1.2"/>
        <n v="2.02"/>
        <n v="0.31"/>
        <n v="124.71"/>
        <n v="60.61"/>
        <n v="26.62"/>
        <n v="1.43"/>
        <n v="1.94"/>
        <n v="2.19"/>
        <n v="13.66"/>
        <n v="282.64"/>
        <n v="14.67"/>
        <n v="3.21"/>
        <n v="9.39"/>
        <n v="0.77"/>
        <n v="44.77"/>
        <n v="4.05"/>
        <n v="33.41"/>
        <n v="49.15"/>
        <n v="6.34"/>
        <n v="39.35"/>
        <n v="8"/>
        <n v="242.74"/>
        <n v="176.72"/>
        <n v="15.79"/>
        <n v="61.88"/>
        <n v="1.03"/>
        <n v="489.8"/>
        <n v="0.29"/>
        <n v="156.37"/>
        <n v="7.79"/>
        <n v="58.8"/>
        <n v="47.68"/>
        <n v="21.6"/>
        <n v="434.62"/>
        <n v="105.1"/>
        <n v="24.4"/>
        <n v="3.65"/>
        <n v="15.6"/>
        <n v="22.29"/>
        <n v="8.47"/>
        <n v="40.31"/>
        <n v="388.82"/>
        <n v="83.3"/>
        <n v="218.08"/>
        <n v="97.74"/>
        <n v="45.11"/>
        <n v="56.17"/>
        <n v="34.51"/>
        <n v="10.08"/>
        <n v="457.68"/>
        <n v="1.53"/>
        <n v="0.81"/>
        <n v="61.09"/>
        <n v="17.56"/>
        <n v="5.15"/>
        <n v="12.41"/>
        <n v="2.29"/>
        <n v="129.45"/>
        <n v="47.74"/>
        <m/>
      </sharedItems>
    </cacheField>
    <cacheField name="总投注流水（本地货币）" numFmtId="0">
      <sharedItems containsString="0" containsBlank="1" containsNumber="1" minValue="0" maxValue="1228630" count="305">
        <n v="70"/>
        <n v="1477"/>
        <n v="3260"/>
        <n v="341.22"/>
        <n v="6.4"/>
        <n v="3136.05"/>
        <n v="2288"/>
        <n v="32588.15"/>
        <n v="0"/>
        <n v="95"/>
        <n v="114.7"/>
        <n v="19854.79"/>
        <n v="3578.54"/>
        <n v="1400"/>
        <n v="3039.12"/>
        <n v="1094"/>
        <n v="447"/>
        <n v="8350"/>
        <n v="700"/>
        <n v="63219.75"/>
        <n v="4.96"/>
        <n v="908"/>
        <n v="265"/>
        <n v="105.25"/>
        <n v="470"/>
        <n v="284.4"/>
        <n v="3336.75"/>
        <n v="991.61"/>
        <n v="21243.35"/>
        <n v="7718"/>
        <n v="1000"/>
        <n v="4"/>
        <n v="18280.7"/>
        <n v="881"/>
        <n v="4.5"/>
        <n v="800"/>
        <n v="10.5"/>
        <n v="5188.3"/>
        <n v="3110"/>
        <n v="14860.64"/>
        <n v="33291"/>
        <n v="2280"/>
        <n v="1320.5"/>
        <n v="11445.63"/>
        <n v="1850"/>
        <n v="39277.58"/>
        <n v="12"/>
        <n v="98.75"/>
        <n v="9601"/>
        <n v="540"/>
        <n v="1228630"/>
        <n v="5744"/>
        <n v="2405"/>
        <n v="12420"/>
        <n v="47"/>
        <n v="15575.6"/>
        <n v="69500"/>
        <n v="5465"/>
        <n v="51880"/>
        <n v="4978"/>
        <n v="1305"/>
        <n v="312055"/>
        <n v="530"/>
        <n v="140"/>
        <n v="2660"/>
        <n v="98"/>
        <n v="271"/>
        <n v="2001.73"/>
        <n v="15186.9"/>
        <n v="133"/>
        <n v="220"/>
        <n v="319.44"/>
        <n v="302"/>
        <n v="2427.07"/>
        <n v="546.76"/>
        <n v="200"/>
        <n v="173"/>
        <n v="690.62"/>
        <n v="38078"/>
        <n v="1318"/>
        <n v="2852"/>
        <n v="370"/>
        <n v="9.74"/>
        <n v="5265"/>
        <n v="7822.9"/>
        <n v="90"/>
        <n v="2.55"/>
        <n v="2370"/>
        <n v="179.81"/>
        <n v="10994"/>
        <n v="2754"/>
        <n v="20762"/>
        <n v="9155"/>
        <n v="823.81"/>
        <n v="23145.75"/>
        <n v="10574"/>
        <n v="12112"/>
        <n v="168.5"/>
        <n v="920"/>
        <n v="786"/>
        <n v="4598"/>
        <n v="11799.69"/>
        <n v="30160"/>
        <n v="7629.06"/>
        <n v="1546"/>
        <n v="2.1"/>
        <n v="58172.49"/>
        <n v="42258.6"/>
        <n v="2648.48"/>
        <n v="0.27"/>
        <n v="4070"/>
        <n v="18097"/>
        <n v="11106"/>
        <n v="21145"/>
        <n v="5"/>
        <n v="555.5"/>
        <n v="14.69"/>
        <n v="1950"/>
        <n v="119"/>
        <n v="783.5"/>
        <n v="96.6"/>
        <n v="1569"/>
        <n v="9168.25"/>
        <n v="5490"/>
        <n v="3585"/>
        <n v="777"/>
        <n v="19465"/>
        <n v="76970"/>
        <n v="248"/>
        <n v="268938.01"/>
        <n v="321.06"/>
        <n v="20"/>
        <n v="648.51"/>
        <n v="1497"/>
        <n v="4338"/>
        <n v="449"/>
        <n v="32973"/>
        <n v="1920"/>
        <n v="227.46"/>
        <n v="845.15"/>
        <n v="208"/>
        <n v="260"/>
        <n v="2091"/>
        <n v="10.36"/>
        <n v="10014"/>
        <n v="32144.69"/>
        <n v="51241"/>
        <n v="246"/>
        <n v="713"/>
        <n v="41080"/>
        <n v="161"/>
        <n v="10831"/>
        <n v="40.01"/>
        <n v="3580"/>
        <n v="460"/>
        <n v="340"/>
        <n v="13546"/>
        <n v="1922.58"/>
        <n v="2296"/>
        <n v="35865"/>
        <n v="199"/>
        <n v="670"/>
        <n v="760"/>
        <n v="15167.15"/>
        <n v="6829"/>
        <n v="33.42"/>
        <n v="81"/>
        <n v="280"/>
        <n v="227"/>
        <n v="290"/>
        <n v="310"/>
        <n v="2222.23"/>
        <n v="1250"/>
        <n v="100"/>
        <n v="48.24"/>
        <n v="18"/>
        <n v="582.8"/>
        <n v="656.25"/>
        <n v="124.1"/>
        <n v="44"/>
        <n v="124"/>
        <n v="135"/>
        <n v="14805.95"/>
        <n v="1135"/>
        <n v="25044.2"/>
        <n v="15505"/>
        <n v="336"/>
        <n v="3670"/>
        <n v="59"/>
        <n v="1101"/>
        <n v="48786.88"/>
        <n v="7666.34"/>
        <n v="166"/>
        <n v="263"/>
        <n v="1483"/>
        <n v="39604.8"/>
        <n v="4110"/>
        <n v="21157.25"/>
        <n v="1087"/>
        <n v="15079.5"/>
        <n v="695.76"/>
        <n v="141.3"/>
        <n v="1110"/>
        <n v="238"/>
        <n v="388"/>
        <n v="5468"/>
        <n v="3844.45"/>
        <n v="28203"/>
        <n v="373"/>
        <n v="31035.03"/>
        <n v="8147.95"/>
        <n v="50"/>
        <n v="270"/>
        <n v="845.26"/>
        <n v="3382"/>
        <n v="4464.9"/>
        <n v="89.3"/>
        <n v="139"/>
        <n v="4892"/>
        <n v="381"/>
        <n v="1610"/>
        <n v="11530"/>
        <n v="32043.03"/>
        <n v="331"/>
        <n v="6"/>
        <n v="14100.13"/>
        <n v="1280"/>
        <n v="724"/>
        <n v="12450"/>
        <n v="3555"/>
        <n v="130"/>
        <n v="2560"/>
        <n v="0.14"/>
        <n v="3550.5"/>
        <n v="240"/>
        <n v="78184"/>
        <n v="352"/>
        <n v="13"/>
        <n v="58405.78"/>
        <n v="160"/>
        <n v="269"/>
        <n v="41.8"/>
        <n v="16586"/>
        <n v="8061.19"/>
        <n v="3540"/>
        <n v="190"/>
        <n v="257.5"/>
        <n v="291"/>
        <n v="1816.62"/>
        <n v="37591.25"/>
        <n v="1951.4"/>
        <n v="426.63"/>
        <n v="1249"/>
        <n v="103"/>
        <n v="5954"/>
        <n v="538"/>
        <n v="3.18"/>
        <n v="4443.43"/>
        <n v="6537"/>
        <n v="843.83"/>
        <n v="5234"/>
        <n v="1064.52"/>
        <n v="32285"/>
        <n v="46"/>
        <n v="23503.3"/>
        <n v="40"/>
        <n v="2100"/>
        <n v="8230"/>
        <n v="137"/>
        <n v="65143.8"/>
        <n v="38.64"/>
        <n v="20796.6"/>
        <n v="1036.48"/>
        <n v="7820"/>
        <n v="6340.97"/>
        <n v="2872.25"/>
        <n v="57804.2"/>
        <n v="13978"/>
        <n v="3244.7"/>
        <n v="485.09"/>
        <n v="2074.69"/>
        <n v="2964"/>
        <n v="1126.65"/>
        <n v="4.25"/>
        <n v="5361.62"/>
        <n v="51713.5"/>
        <n v="11078.89"/>
        <n v="29004"/>
        <n v="13000"/>
        <n v="6000"/>
        <n v="7471.06"/>
        <n v="4590"/>
        <n v="1341"/>
        <n v="60872.1"/>
        <n v="1000.75"/>
        <n v="204"/>
        <n v="108"/>
        <n v="8124.57"/>
        <n v="2335.4"/>
        <n v="685.2"/>
        <n v="1650"/>
        <n v="305"/>
        <n v="17217"/>
        <n v="6350"/>
        <m/>
      </sharedItems>
    </cacheField>
    <cacheField name="体育投注流水（本地货币）" numFmtId="0">
      <sharedItems containsString="0" containsBlank="1" containsNumber="1" containsInteger="1" minValue="0" maxValue="2967" count="33">
        <n v="0"/>
        <n v="120"/>
        <n v="95"/>
        <n v="1"/>
        <n v="3"/>
        <n v="7"/>
        <n v="32"/>
        <n v="2900"/>
        <n v="47"/>
        <n v="18"/>
        <n v="100"/>
        <n v="17"/>
        <n v="52"/>
        <n v="105"/>
        <n v="15"/>
        <n v="2"/>
        <n v="178"/>
        <n v="140"/>
        <n v="311"/>
        <n v="30"/>
        <n v="11"/>
        <n v="51"/>
        <n v="355"/>
        <n v="124"/>
        <n v="238"/>
        <n v="50"/>
        <n v="9"/>
        <n v="150"/>
        <n v="201"/>
        <n v="46"/>
        <n v="40"/>
        <n v="2967"/>
        <m/>
      </sharedItems>
    </cacheField>
    <cacheField name="游戏投注流水（本地货币）" numFmtId="0">
      <sharedItems containsString="0" containsBlank="1" containsNumber="1" minValue="0" maxValue="1228630" count="296">
        <n v="70"/>
        <n v="1477"/>
        <n v="3260"/>
        <n v="341.22"/>
        <n v="6.4"/>
        <n v="3136.05"/>
        <n v="2168"/>
        <n v="32588.15"/>
        <n v="0"/>
        <n v="114.7"/>
        <n v="19854.79"/>
        <n v="3578.54"/>
        <n v="1400"/>
        <n v="3039.12"/>
        <n v="1094"/>
        <n v="447"/>
        <n v="8350"/>
        <n v="700"/>
        <n v="63219.75"/>
        <n v="4.96"/>
        <n v="908"/>
        <n v="265"/>
        <n v="105.25"/>
        <n v="470"/>
        <n v="283.4"/>
        <n v="3336.75"/>
        <n v="991.61"/>
        <n v="21243.35"/>
        <n v="7718"/>
        <n v="1000"/>
        <n v="4"/>
        <n v="18280.7"/>
        <n v="881"/>
        <n v="4.5"/>
        <n v="800"/>
        <n v="10.5"/>
        <n v="5185.3"/>
        <n v="3110"/>
        <n v="14860.64"/>
        <n v="33290"/>
        <n v="2280"/>
        <n v="1320.5"/>
        <n v="11438.63"/>
        <n v="1818"/>
        <n v="39277.58"/>
        <n v="12"/>
        <n v="98.75"/>
        <n v="9601"/>
        <n v="540"/>
        <n v="1228630"/>
        <n v="5744"/>
        <n v="2405"/>
        <n v="9520"/>
        <n v="15575.6"/>
        <n v="69500"/>
        <n v="5465"/>
        <n v="51880"/>
        <n v="4978"/>
        <n v="1287"/>
        <n v="312055"/>
        <n v="530"/>
        <n v="40"/>
        <n v="2660"/>
        <n v="98"/>
        <n v="271"/>
        <n v="2001.73"/>
        <n v="15185.9"/>
        <n v="133"/>
        <n v="220"/>
        <n v="319.44"/>
        <n v="302"/>
        <n v="2427.07"/>
        <n v="546.76"/>
        <n v="200"/>
        <n v="173"/>
        <n v="690.62"/>
        <n v="38061"/>
        <n v="1318"/>
        <n v="2800"/>
        <n v="370"/>
        <n v="9.74"/>
        <n v="5265"/>
        <n v="7822.9"/>
        <n v="90"/>
        <n v="2.55"/>
        <n v="2370"/>
        <n v="179.81"/>
        <n v="10994"/>
        <n v="2649"/>
        <n v="20762"/>
        <n v="9140"/>
        <n v="823.81"/>
        <n v="23143.75"/>
        <n v="10396"/>
        <n v="12112"/>
        <n v="28.5"/>
        <n v="920"/>
        <n v="786"/>
        <n v="4598"/>
        <n v="11799.69"/>
        <n v="30160"/>
        <n v="7629.06"/>
        <n v="1546"/>
        <n v="2.1"/>
        <n v="58172.49"/>
        <n v="42258.6"/>
        <n v="2337.48"/>
        <n v="0.27"/>
        <n v="4070"/>
        <n v="18094"/>
        <n v="11106"/>
        <n v="21145"/>
        <n v="5"/>
        <n v="555.5"/>
        <n v="14.69"/>
        <n v="1950"/>
        <n v="119"/>
        <n v="783.5"/>
        <n v="96.6"/>
        <n v="1569"/>
        <n v="9168.25"/>
        <n v="5490"/>
        <n v="3585"/>
        <n v="777"/>
        <n v="19465"/>
        <n v="76970"/>
        <n v="248"/>
        <n v="268938.01"/>
        <n v="321.06"/>
        <n v="20"/>
        <n v="648.51"/>
        <n v="1497"/>
        <n v="4338"/>
        <n v="419"/>
        <n v="32973"/>
        <n v="1920"/>
        <n v="227.46"/>
        <n v="845.15"/>
        <n v="208"/>
        <n v="260"/>
        <n v="140"/>
        <n v="2091"/>
        <n v="10.36"/>
        <n v="10014"/>
        <n v="32144.69"/>
        <n v="51241"/>
        <n v="246"/>
        <n v="713"/>
        <n v="41080"/>
        <n v="150"/>
        <n v="10816"/>
        <n v="40.01"/>
        <n v="3580"/>
        <n v="460"/>
        <n v="340"/>
        <n v="13546"/>
        <n v="1922.58"/>
        <n v="2245"/>
        <n v="35510"/>
        <n v="199"/>
        <n v="670"/>
        <n v="760"/>
        <n v="15156.15"/>
        <n v="6829"/>
        <n v="33.42"/>
        <n v="81"/>
        <n v="280"/>
        <n v="227"/>
        <n v="290"/>
        <n v="310"/>
        <n v="2222.23"/>
        <n v="1250"/>
        <n v="100"/>
        <n v="48.24"/>
        <n v="18"/>
        <n v="582.8"/>
        <n v="656.25"/>
        <n v="124.1"/>
        <n v="44"/>
        <n v="135"/>
        <n v="14805.95"/>
        <n v="1135"/>
        <n v="25044.2"/>
        <n v="15505"/>
        <n v="336"/>
        <n v="3670"/>
        <n v="59"/>
        <n v="1101"/>
        <n v="48786.88"/>
        <n v="7666.34"/>
        <n v="166"/>
        <n v="263"/>
        <n v="1483"/>
        <n v="39604.8"/>
        <n v="4110"/>
        <n v="21157.25"/>
        <n v="1085"/>
        <n v="15079.5"/>
        <n v="695.76"/>
        <n v="141.3"/>
        <n v="1110"/>
        <n v="388"/>
        <n v="5468"/>
        <n v="3844.45"/>
        <n v="28203"/>
        <n v="373"/>
        <n v="31035.03"/>
        <n v="8147.95"/>
        <n v="270"/>
        <n v="845.26"/>
        <n v="3382"/>
        <n v="4464.9"/>
        <n v="89.3"/>
        <n v="130"/>
        <n v="4892"/>
        <n v="381"/>
        <n v="1610"/>
        <n v="11530"/>
        <n v="32043.03"/>
        <n v="331"/>
        <n v="6"/>
        <n v="14100.13"/>
        <n v="1280"/>
        <n v="724"/>
        <n v="12450"/>
        <n v="3555"/>
        <n v="2560"/>
        <n v="0.14"/>
        <n v="3550.5"/>
        <n v="240"/>
        <n v="78184"/>
        <n v="352"/>
        <n v="13"/>
        <n v="58404.78"/>
        <n v="160"/>
        <n v="41.8"/>
        <n v="16586"/>
        <n v="8061.19"/>
        <n v="3390"/>
        <n v="190"/>
        <n v="257.5"/>
        <n v="1816.62"/>
        <n v="37591.25"/>
        <n v="1951.4"/>
        <n v="426.63"/>
        <n v="1249"/>
        <n v="103"/>
        <n v="5954"/>
        <n v="538"/>
        <n v="3.18"/>
        <n v="4443.43"/>
        <n v="6537"/>
        <n v="843.83"/>
        <n v="5234"/>
        <n v="1064.52"/>
        <n v="32285"/>
        <n v="23503.3"/>
        <n v="2100"/>
        <n v="8230"/>
        <n v="137"/>
        <n v="65143.8"/>
        <n v="38.64"/>
        <n v="20796.6"/>
        <n v="1036.48"/>
        <n v="7820"/>
        <n v="6340.97"/>
        <n v="2872.25"/>
        <n v="57804.2"/>
        <n v="13978"/>
        <n v="3244.7"/>
        <n v="485.09"/>
        <n v="2074.69"/>
        <n v="2964"/>
        <n v="1126.65"/>
        <n v="4.25"/>
        <n v="5361.62"/>
        <n v="51713.5"/>
        <n v="11078.89"/>
        <n v="29004"/>
        <n v="10033"/>
        <n v="6000"/>
        <n v="7471.06"/>
        <n v="4590"/>
        <n v="1341"/>
        <n v="60872.1"/>
        <n v="1000.75"/>
        <n v="204"/>
        <n v="108"/>
        <n v="8124.57"/>
        <n v="2335.4"/>
        <n v="685.2"/>
        <n v="1650"/>
        <n v="305"/>
        <n v="17217"/>
        <n v="6350"/>
        <m/>
      </sharedItems>
    </cacheField>
    <cacheField name="体育ggr（本地货币）" numFmtId="0">
      <sharedItems containsString="0" containsBlank="1" containsNumber="1" minValue="-2900" maxValue="1870.27" count="35">
        <n v="0"/>
        <n v="120"/>
        <n v="95"/>
        <n v="1"/>
        <n v="-1.59"/>
        <n v="7"/>
        <n v="32"/>
        <n v="-2900"/>
        <n v="47"/>
        <n v="18"/>
        <n v="45.26"/>
        <n v="17"/>
        <n v="8.57"/>
        <n v="105"/>
        <n v="15"/>
        <n v="2"/>
        <n v="178"/>
        <n v="66.45"/>
        <n v="-1272.05"/>
        <n v="3"/>
        <n v="30"/>
        <n v="11"/>
        <n v="51"/>
        <n v="355"/>
        <n v="5.14"/>
        <n v="124"/>
        <n v="238"/>
        <n v="50"/>
        <n v="9"/>
        <n v="150"/>
        <n v="201"/>
        <n v="46"/>
        <n v="40"/>
        <n v="1870.27"/>
        <m/>
      </sharedItems>
    </cacheField>
    <cacheField name="游戏ggr（本地货币）" numFmtId="0">
      <sharedItems containsString="0" containsBlank="1" containsNumber="1" minValue="-10514.5" maxValue="144530" count="300">
        <n v="50.8"/>
        <n v="543.55"/>
        <n v="1038.75"/>
        <n v="42.75"/>
        <n v="6.4"/>
        <n v="624.4"/>
        <n v="-225.1"/>
        <n v="4167.85"/>
        <n v="0"/>
        <n v="94.05"/>
        <n v="-6313.51"/>
        <n v="817.14"/>
        <n v="106.3"/>
        <n v="586.22"/>
        <n v="260.7"/>
        <n v="91"/>
        <n v="382.3"/>
        <n v="-65.82"/>
        <n v="1460.25"/>
        <n v="4.96"/>
        <n v="381.6"/>
        <n v="189"/>
        <n v="-459.28"/>
        <n v="349.2"/>
        <n v="118.87"/>
        <n v="117.56"/>
        <n v="375.25"/>
        <n v="3525.57"/>
        <n v="1605.28"/>
        <n v="571.1"/>
        <n v="-0.22"/>
        <n v="-4998.1"/>
        <n v="285.9"/>
        <n v="4.5"/>
        <n v="90"/>
        <n v="1.76"/>
        <n v="1063.5"/>
        <n v="1579"/>
        <n v="4553.73"/>
        <n v="7808"/>
        <n v="-796.4"/>
        <n v="470.21"/>
        <n v="537.86"/>
        <n v="-200.52"/>
        <n v="3795.23"/>
        <n v="2.8"/>
        <n v="80.75"/>
        <n v="3195.25"/>
        <n v="396.1"/>
        <n v="144530"/>
        <n v="1241.49"/>
        <n v="-355"/>
        <n v="3922.8"/>
        <n v="5452.5"/>
        <n v="-3920"/>
        <n v="867"/>
        <n v="-528"/>
        <n v="211.48"/>
        <n v="530.5"/>
        <n v="9188.12"/>
        <n v="-104.1"/>
        <n v="40"/>
        <n v="625.6"/>
        <n v="98"/>
        <n v="157.89"/>
        <n v="568.8"/>
        <n v="5430.3"/>
        <n v="20.6"/>
        <n v="-173.9"/>
        <n v="127.3"/>
        <n v="140.1"/>
        <n v="-49.77"/>
        <n v="326.94"/>
        <n v="160"/>
        <n v="42.44"/>
        <n v="187.76"/>
        <n v="5442.2"/>
        <n v="263.12"/>
        <n v="-1451"/>
        <n v="370"/>
        <n v="2.47"/>
        <n v="-161.8"/>
        <n v="-945.1"/>
        <n v="54"/>
        <n v="2.55"/>
        <n v="452.3"/>
        <n v="48.13"/>
        <n v="162.13"/>
        <n v="-11.53"/>
        <n v="257"/>
        <n v="4252.8"/>
        <n v="307.5"/>
        <n v="2265.15"/>
        <n v="-140.36"/>
        <n v="3992.8"/>
        <n v="28.5"/>
        <n v="-180"/>
        <n v="93.6"/>
        <n v="-78"/>
        <n v="182.39"/>
        <n v="4940"/>
        <n v="-3792.7"/>
        <n v="371"/>
        <n v="0.7"/>
        <n v="-1314.51"/>
        <n v="1183.8"/>
        <n v="57.48"/>
        <n v="0.09"/>
        <n v="1179"/>
        <n v="-511.32"/>
        <n v="2205.6"/>
        <n v="-1940.4"/>
        <n v="5"/>
        <n v="555.5"/>
        <n v="6.53"/>
        <n v="104.54"/>
        <n v="95.77"/>
        <n v="-243.56"/>
        <n v="-3.32"/>
        <n v="94.48"/>
        <n v="-1148.9"/>
        <n v="495"/>
        <n v="413"/>
        <n v="130.39"/>
        <n v="1340"/>
        <n v="17170"/>
        <n v="197.45"/>
        <n v="22214.61"/>
        <n v="86.13"/>
        <n v="20"/>
        <n v="112"/>
        <n v="176.26"/>
        <n v="665.6"/>
        <n v="183.82"/>
        <n v="4751"/>
        <n v="94"/>
        <n v="47.49"/>
        <n v="-202.85"/>
        <n v="94.6"/>
        <n v="177.4"/>
        <n v="93"/>
        <n v="669.2"/>
        <n v="10.36"/>
        <n v="-556.4"/>
        <n v="6601.68"/>
        <n v="-1182.49"/>
        <n v="96.5"/>
        <n v="128.22"/>
        <n v="4179.36"/>
        <n v="78.2"/>
        <n v="1900.85"/>
        <n v="40.01"/>
        <n v="17.5"/>
        <n v="4"/>
        <n v="-46.8"/>
        <n v="144"/>
        <n v="90.9"/>
        <n v="-6270.19"/>
        <n v="198.34"/>
        <n v="366"/>
        <n v="1273.5"/>
        <n v="109.58"/>
        <n v="30"/>
        <n v="55"/>
        <n v="-1027.03"/>
        <n v="9.15"/>
        <n v="1267.51"/>
        <n v="1"/>
        <n v="81"/>
        <n v="185.6"/>
        <n v="92.5"/>
        <n v="187.4"/>
        <n v="266.2"/>
        <n v="536.98"/>
        <n v="1250"/>
        <n v="100"/>
        <n v="48.24"/>
        <n v="15.8"/>
        <n v="69.95"/>
        <n v="284"/>
        <n v="66.6"/>
        <n v="44"/>
        <n v="95"/>
        <n v="1514.25"/>
        <n v="669.9"/>
        <n v="2996.95"/>
        <n v="3277.1"/>
        <n v="336"/>
        <n v="2081.2"/>
        <n v="4.54"/>
        <n v="-46.44"/>
        <n v="3033.14"/>
        <n v="2194.5"/>
        <n v="166"/>
        <n v="174.91"/>
        <n v="70"/>
        <n v="866.22"/>
        <n v="11199.75"/>
        <n v="662.5"/>
        <n v="-2781.37"/>
        <n v="394.2"/>
        <n v="199.5"/>
        <n v="90.49"/>
        <n v="92.98"/>
        <n v="376"/>
        <n v="284.95"/>
        <n v="378"/>
        <n v="1821.15"/>
        <n v="1470.25"/>
        <n v="182.95"/>
        <n v="-3028.66"/>
        <n v="-592.85"/>
        <n v="440.76"/>
        <n v="-502.23"/>
        <n v="286.3"/>
        <n v="89.3"/>
        <n v="362.85"/>
        <n v="94.46"/>
        <n v="-495"/>
        <n v="1438.5"/>
        <n v="-799.8"/>
        <n v="245.6"/>
        <n v="0.22"/>
        <n v="692.3"/>
        <n v="372.5"/>
        <n v="370.52"/>
        <n v="-3019.9"/>
        <n v="-2535.58"/>
        <n v="346.6"/>
        <n v="0.14"/>
        <n v="589.38"/>
        <n v="169.5"/>
        <n v="1007"/>
        <n v="173.8"/>
        <n v="0.54"/>
        <n v="-4668.23"/>
        <n v="88"/>
        <n v="28.83"/>
        <n v="1009.81"/>
        <n v="2893.7"/>
        <n v="283.55"/>
        <n v="88.5"/>
        <n v="182.5"/>
        <n v="82.6"/>
        <n v="184.48"/>
        <n v="7638.25"/>
        <n v="244.68"/>
        <n v="171.95"/>
        <n v="379"/>
        <n v="637.24"/>
        <n v="64.87"/>
        <n v="1150"/>
        <n v="43.14"/>
        <n v="3.18"/>
        <n v="-258.8"/>
        <n v="3166.79"/>
        <n v="227.3"/>
        <n v="758"/>
        <n v="273.97"/>
        <n v="6118"/>
        <n v="7293.8"/>
        <n v="256"/>
        <n v="227"/>
        <n v="47"/>
        <n v="16364.29"/>
        <n v="38.64"/>
        <n v="15031.6"/>
        <n v="30.93"/>
        <n v="-720"/>
        <n v="1738.5"/>
        <n v="468.38"/>
        <n v="-6171.5"/>
        <n v="3956.87"/>
        <n v="665.7"/>
        <n v="138.66"/>
        <n v="604.29"/>
        <n v="30.89"/>
        <n v="266.09"/>
        <n v="4.25"/>
        <n v="882.5"/>
        <n v="-10514.5"/>
        <n v="-5231.11"/>
        <n v="945.5"/>
        <n v="-714.2"/>
        <n v="-204"/>
        <n v="1159.58"/>
        <n v="-737"/>
        <n v="376.61"/>
        <n v="7104.22"/>
        <n v="95.25"/>
        <n v="84"/>
        <n v="85.7"/>
        <n v="3271.37"/>
        <n v="-230.8"/>
        <n v="199.1"/>
        <n v="253.7"/>
        <n v="205.5"/>
        <n v="2475.35"/>
        <n v="1879"/>
        <m/>
      </sharedItems>
    </cacheField>
    <cacheField name="全部ggr（usd）" numFmtId="0">
      <sharedItems containsString="0" containsBlank="1" containsNumber="1" minValue="-79.06" maxValue="1086.69" count="246">
        <n v="0.38"/>
        <n v="4.09"/>
        <n v="7.81"/>
        <n v="0.32"/>
        <n v="0.05"/>
        <n v="4.69"/>
        <n v="-0.79"/>
        <n v="31.34"/>
        <n v="0"/>
        <n v="0.71"/>
        <n v="-47.47"/>
        <n v="6.14"/>
        <n v="0.8"/>
        <n v="4.41"/>
        <n v="1.96"/>
        <n v="0.68"/>
        <n v="2.87"/>
        <n v="-0.49"/>
        <n v="10.98"/>
        <n v="0.04"/>
        <n v="1.42"/>
        <n v="-3.45"/>
        <n v="2.63"/>
        <n v="0.9"/>
        <n v="0.88"/>
        <n v="2.82"/>
        <n v="26.51"/>
        <n v="12.07"/>
        <n v="4.29"/>
        <n v="-37.58"/>
        <n v="2.15"/>
        <n v="0.03"/>
        <n v="0.01"/>
        <n v="7.98"/>
        <n v="11.87"/>
        <n v="34.24"/>
        <n v="58.71"/>
        <n v="-5.99"/>
        <n v="3.54"/>
        <n v="4.1"/>
        <n v="-1.27"/>
        <n v="28.54"/>
        <n v="0.02"/>
        <n v="0.61"/>
        <n v="24.02"/>
        <n v="2.98"/>
        <n v="1086.69"/>
        <n v="9.33"/>
        <n v="-2.67"/>
        <n v="7.69"/>
        <n v="0.35"/>
        <n v="41"/>
        <n v="-29.47"/>
        <n v="6.52"/>
        <n v="-3.97"/>
        <n v="1.59"/>
        <n v="4.12"/>
        <n v="69.08"/>
        <n v="-0.78"/>
        <n v="0.64"/>
        <n v="4.7"/>
        <n v="0.74"/>
        <n v="1.19"/>
        <n v="4.28"/>
        <n v="40.84"/>
        <n v="0.15"/>
        <n v="-1.31"/>
        <n v="0.96"/>
        <n v="1.05"/>
        <n v="-0.37"/>
        <n v="2.46"/>
        <n v="1.2"/>
        <n v="1.41"/>
        <n v="41.05"/>
        <n v="1.98"/>
        <n v="-10.85"/>
        <n v="2.78"/>
        <n v="-1.22"/>
        <n v="-7.11"/>
        <n v="0.41"/>
        <n v="3.4"/>
        <n v="0.36"/>
        <n v="1.22"/>
        <n v="0.7"/>
        <n v="1.93"/>
        <n v="32.09"/>
        <n v="2.31"/>
        <n v="17.05"/>
        <n v="0.28"/>
        <n v="30.02"/>
        <n v="-1.35"/>
        <n v="-0.59"/>
        <n v="1.37"/>
        <n v="37.14"/>
        <n v="-28.52"/>
        <n v="2.79"/>
        <n v="-9.88"/>
        <n v="8.9"/>
        <n v="-9.13"/>
        <n v="8.86"/>
        <n v="-3.82"/>
        <n v="16.58"/>
        <n v="-14.59"/>
        <n v="4.18"/>
        <n v="0.79"/>
        <n v="0.72"/>
        <n v="-1.83"/>
        <n v="-0.02"/>
        <n v="-8.64"/>
        <n v="3.72"/>
        <n v="3.11"/>
        <n v="0.98"/>
        <n v="10.08"/>
        <n v="129.1"/>
        <n v="1.48"/>
        <n v="167.03"/>
        <n v="0.65"/>
        <n v="0.84"/>
        <n v="1.33"/>
        <n v="5"/>
        <n v="1.61"/>
        <n v="35.72"/>
        <n v="-1.53"/>
        <n v="5.03"/>
        <n v="0.08"/>
        <n v="-4.18"/>
        <n v="49.64"/>
        <n v="-8.89"/>
        <n v="0.73"/>
        <n v="31.42"/>
        <n v="0.67"/>
        <n v="14.4"/>
        <n v="0.3"/>
        <n v="0.13"/>
        <n v="-0.35"/>
        <n v="1.08"/>
        <n v="-47.14"/>
        <n v="1.49"/>
        <n v="3.14"/>
        <n v="12.24"/>
        <n v="0.82"/>
        <n v="0.23"/>
        <n v="-7.68"/>
        <n v="0.07"/>
        <n v="9.53"/>
        <n v="1.4"/>
        <n v="2"/>
        <n v="4.04"/>
        <n v="9.4"/>
        <n v="0.75"/>
        <n v="0.12"/>
        <n v="0.53"/>
        <n v="2.14"/>
        <n v="0.5"/>
        <n v="0.33"/>
        <n v="0.93"/>
        <n v="11.39"/>
        <n v="5.04"/>
        <n v="22.53"/>
        <n v="24.64"/>
        <n v="2.53"/>
        <n v="15.65"/>
        <n v="22.81"/>
        <n v="16.5"/>
        <n v="1.25"/>
        <n v="1.32"/>
        <n v="6.51"/>
        <n v="84.21"/>
        <n v="4.98"/>
        <n v="-20.91"/>
        <n v="1.5"/>
        <n v="2.83"/>
        <n v="1.79"/>
        <n v="2.84"/>
        <n v="13.69"/>
        <n v="11.05"/>
        <n v="1.38"/>
        <n v="-22.77"/>
        <n v="-4.46"/>
        <n v="3.31"/>
        <n v="-3.78"/>
        <n v="2.73"/>
        <n v="-3.72"/>
        <n v="10.82"/>
        <n v="-6.01"/>
        <n v="1.85"/>
        <n v="5.21"/>
        <n v="2.8"/>
        <n v="-22.71"/>
        <n v="-19.06"/>
        <n v="2.61"/>
        <n v="4.43"/>
        <n v="1.27"/>
        <n v="7.57"/>
        <n v="1.31"/>
        <n v="-35.09"/>
        <n v="0.66"/>
        <n v="0.78"/>
        <n v="0.22"/>
        <n v="7.59"/>
        <n v="21.76"/>
        <n v="3.26"/>
        <n v="2.13"/>
        <n v="1.39"/>
        <n v="57.43"/>
        <n v="1.84"/>
        <n v="1.29"/>
        <n v="2.85"/>
        <n v="4.79"/>
        <n v="0.49"/>
        <n v="8.65"/>
        <n v="-1.95"/>
        <n v="23.81"/>
        <n v="1.71"/>
        <n v="5.7"/>
        <n v="2.06"/>
        <n v="46"/>
        <n v="54.84"/>
        <n v="1.92"/>
        <n v="123.04"/>
        <n v="0.29"/>
        <n v="113.02"/>
        <n v="-5.41"/>
        <n v="13.07"/>
        <n v="3.52"/>
        <n v="-46.4"/>
        <n v="29.75"/>
        <n v="5.01"/>
        <n v="1.04"/>
        <n v="4.54"/>
        <n v="6.64"/>
        <n v="-79.06"/>
        <n v="-39.33"/>
        <n v="7.11"/>
        <n v="8.69"/>
        <n v="8.72"/>
        <n v="-5.54"/>
        <n v="53.42"/>
        <n v="0.63"/>
        <n v="24.6"/>
        <n v="-1.74"/>
        <n v="1.91"/>
        <n v="1.55"/>
        <n v="18.61"/>
        <n v="14.13"/>
        <m/>
      </sharedItems>
    </cacheField>
    <cacheField name="全部ggr（本地货币）" numFmtId="0">
      <sharedItems containsString="0" containsBlank="1" containsNumber="1" minValue="-10514.5" maxValue="144530" count="307">
        <n v="50.8"/>
        <n v="543.55"/>
        <n v="1038.75"/>
        <n v="42.75"/>
        <n v="6.4"/>
        <n v="624.4"/>
        <n v="-105.1"/>
        <n v="4167.85"/>
        <n v="0"/>
        <n v="95"/>
        <n v="94.05"/>
        <n v="-6313.51"/>
        <n v="817.14"/>
        <n v="106.3"/>
        <n v="586.22"/>
        <n v="260.7"/>
        <n v="91"/>
        <n v="382.3"/>
        <n v="-65.82"/>
        <n v="1460.25"/>
        <n v="4.96"/>
        <n v="381.6"/>
        <n v="189"/>
        <n v="-459.28"/>
        <n v="349.2"/>
        <n v="119.87"/>
        <n v="117.56"/>
        <n v="375.25"/>
        <n v="3525.57"/>
        <n v="1605.28"/>
        <n v="571.1"/>
        <n v="-0.22"/>
        <n v="-4998.1"/>
        <n v="285.9"/>
        <n v="4.5"/>
        <n v="90"/>
        <n v="1.76"/>
        <n v="1061.91"/>
        <n v="1579"/>
        <n v="4553.73"/>
        <n v="7809"/>
        <n v="-796.4"/>
        <n v="470.21"/>
        <n v="544.86"/>
        <n v="-168.52"/>
        <n v="3795.23"/>
        <n v="2.8"/>
        <n v="80.75"/>
        <n v="3195.25"/>
        <n v="396.1"/>
        <n v="144530"/>
        <n v="1241.49"/>
        <n v="-355"/>
        <n v="1022.8"/>
        <n v="47"/>
        <n v="5452.5"/>
        <n v="-3920"/>
        <n v="867"/>
        <n v="-528"/>
        <n v="211.48"/>
        <n v="548.5"/>
        <n v="9188.12"/>
        <n v="-104.1"/>
        <n v="85.26"/>
        <n v="625.6"/>
        <n v="98"/>
        <n v="157.89"/>
        <n v="568.8"/>
        <n v="5431.3"/>
        <n v="20.6"/>
        <n v="-173.9"/>
        <n v="127.3"/>
        <n v="140.1"/>
        <n v="-49.77"/>
        <n v="326.94"/>
        <n v="160"/>
        <n v="42.44"/>
        <n v="187.76"/>
        <n v="5459.2"/>
        <n v="263.12"/>
        <n v="-1442.43"/>
        <n v="370"/>
        <n v="2.47"/>
        <n v="-161.8"/>
        <n v="-945.1"/>
        <n v="54"/>
        <n v="2.55"/>
        <n v="452.3"/>
        <n v="48.13"/>
        <n v="162.13"/>
        <n v="93.47"/>
        <n v="257"/>
        <n v="4267.8"/>
        <n v="307.5"/>
        <n v="2267.15"/>
        <n v="37.64"/>
        <n v="3992.8"/>
        <n v="94.95"/>
        <n v="-180"/>
        <n v="93.6"/>
        <n v="-78"/>
        <n v="182.39"/>
        <n v="4940"/>
        <n v="-3792.7"/>
        <n v="371"/>
        <n v="0.7"/>
        <n v="-1314.51"/>
        <n v="1183.8"/>
        <n v="-1214.57"/>
        <n v="0.09"/>
        <n v="1179"/>
        <n v="-508.32"/>
        <n v="2205.6"/>
        <n v="-1940.4"/>
        <n v="5"/>
        <n v="555.5"/>
        <n v="6.53"/>
        <n v="104.54"/>
        <n v="95.77"/>
        <n v="-243.56"/>
        <n v="-3.32"/>
        <n v="94.48"/>
        <n v="-1148.9"/>
        <n v="495"/>
        <n v="413"/>
        <n v="130.39"/>
        <n v="1340"/>
        <n v="17170"/>
        <n v="197.45"/>
        <n v="22214.61"/>
        <n v="86.13"/>
        <n v="20"/>
        <n v="112"/>
        <n v="176.26"/>
        <n v="665.6"/>
        <n v="213.82"/>
        <n v="4751"/>
        <n v="94"/>
        <n v="47.49"/>
        <n v="-202.85"/>
        <n v="94.6"/>
        <n v="177.4"/>
        <n v="93"/>
        <n v="669.2"/>
        <n v="10.36"/>
        <n v="-556.4"/>
        <n v="6601.68"/>
        <n v="-1182.49"/>
        <n v="96.5"/>
        <n v="128.22"/>
        <n v="4179.36"/>
        <n v="89.2"/>
        <n v="1915.85"/>
        <n v="40.01"/>
        <n v="17.5"/>
        <n v="4"/>
        <n v="-46.8"/>
        <n v="144"/>
        <n v="90.9"/>
        <n v="-6270.19"/>
        <n v="198.34"/>
        <n v="417"/>
        <n v="1628.5"/>
        <n v="109.58"/>
        <n v="30"/>
        <n v="55"/>
        <n v="-1021.89"/>
        <n v="9.15"/>
        <n v="1267.51"/>
        <n v="1"/>
        <n v="81"/>
        <n v="185.6"/>
        <n v="92.5"/>
        <n v="187.4"/>
        <n v="266.2"/>
        <n v="536.98"/>
        <n v="1250"/>
        <n v="100"/>
        <n v="48.24"/>
        <n v="15.8"/>
        <n v="69.95"/>
        <n v="284"/>
        <n v="66.6"/>
        <n v="44"/>
        <n v="124"/>
        <n v="1514.25"/>
        <n v="669.9"/>
        <n v="2996.95"/>
        <n v="3277.1"/>
        <n v="336"/>
        <n v="2081.2"/>
        <n v="4.54"/>
        <n v="-46.44"/>
        <n v="3033.14"/>
        <n v="2194.5"/>
        <n v="166"/>
        <n v="174.91"/>
        <n v="70"/>
        <n v="866.22"/>
        <n v="11199.75"/>
        <n v="662.5"/>
        <n v="-2781.37"/>
        <n v="396.2"/>
        <n v="199.5"/>
        <n v="90.49"/>
        <n v="92.98"/>
        <n v="376"/>
        <n v="238"/>
        <n v="284.95"/>
        <n v="378"/>
        <n v="1821.15"/>
        <n v="1470.25"/>
        <n v="182.95"/>
        <n v="-3028.66"/>
        <n v="-592.85"/>
        <n v="50"/>
        <n v="440.76"/>
        <n v="-502.23"/>
        <n v="286.3"/>
        <n v="89.3"/>
        <n v="99"/>
        <n v="362.85"/>
        <n v="94.46"/>
        <n v="-495"/>
        <n v="1438.5"/>
        <n v="-799.8"/>
        <n v="245.6"/>
        <n v="0.22"/>
        <n v="692.3"/>
        <n v="372.5"/>
        <n v="370.52"/>
        <n v="-3019.9"/>
        <n v="-2535.58"/>
        <n v="346.6"/>
        <n v="0.14"/>
        <n v="589.38"/>
        <n v="169.5"/>
        <n v="1007"/>
        <n v="173.8"/>
        <n v="0.54"/>
        <n v="-4667.23"/>
        <n v="88"/>
        <n v="104"/>
        <n v="28.83"/>
        <n v="1009.81"/>
        <n v="2893.7"/>
        <n v="433.55"/>
        <n v="88.5"/>
        <n v="182.5"/>
        <n v="283.6"/>
        <n v="184.48"/>
        <n v="7638.25"/>
        <n v="244.68"/>
        <n v="171.95"/>
        <n v="379"/>
        <n v="637.24"/>
        <n v="64.87"/>
        <n v="1150"/>
        <n v="43.14"/>
        <n v="3.18"/>
        <n v="-258.8"/>
        <n v="3166.79"/>
        <n v="227.3"/>
        <n v="758"/>
        <n v="273.97"/>
        <n v="6118"/>
        <n v="46"/>
        <n v="7293.8"/>
        <n v="40"/>
        <n v="256"/>
        <n v="227"/>
        <n v="16364.29"/>
        <n v="38.64"/>
        <n v="15031.6"/>
        <n v="30.93"/>
        <n v="-720"/>
        <n v="1738.5"/>
        <n v="468.38"/>
        <n v="-6171.5"/>
        <n v="3956.87"/>
        <n v="665.7"/>
        <n v="138.66"/>
        <n v="604.29"/>
        <n v="30.89"/>
        <n v="266.09"/>
        <n v="4.25"/>
        <n v="882.5"/>
        <n v="-10514.5"/>
        <n v="-5231.11"/>
        <n v="945.5"/>
        <n v="1156.07"/>
        <n v="-204"/>
        <n v="1159.58"/>
        <n v="-737"/>
        <n v="376.61"/>
        <n v="7104.22"/>
        <n v="95.25"/>
        <n v="84"/>
        <n v="85.7"/>
        <n v="3271.37"/>
        <n v="-230.8"/>
        <n v="199.1"/>
        <n v="253.7"/>
        <n v="205.5"/>
        <n v="2475.35"/>
        <n v="1879"/>
        <m/>
      </sharedItems>
    </cacheField>
    <cacheField name="充值金额（usd）" numFmtId="0">
      <sharedItems containsString="0" containsBlank="1" containsNumber="1" minValue="0" maxValue="724.06" count="191">
        <n v="0.36"/>
        <n v="3.57"/>
        <n v="7.86"/>
        <n v="0.32"/>
        <n v="0"/>
        <n v="4.69"/>
        <n v="1.43"/>
        <n v="26.42"/>
        <n v="0.71"/>
        <n v="15.71"/>
        <n v="6.21"/>
        <n v="0.81"/>
        <n v="4.29"/>
        <n v="1.96"/>
        <n v="2.86"/>
        <n v="1.29"/>
        <n v="55.7"/>
        <n v="2.84"/>
        <n v="1.41"/>
        <n v="0.21"/>
        <n v="2.64"/>
        <n v="0.86"/>
        <n v="0.66"/>
        <n v="2.82"/>
        <n v="27.91"/>
        <n v="12.06"/>
        <n v="26.43"/>
        <n v="2.14"/>
        <n v="8.06"/>
        <n v="8.27"/>
        <n v="34.29"/>
        <n v="71.07"/>
        <n v="5.71"/>
        <n v="5.28"/>
        <n v="19.62"/>
        <n v="4.01"/>
        <n v="55.68"/>
        <n v="0.61"/>
        <n v="24.02"/>
        <n v="3.04"/>
        <n v="724.06"/>
        <n v="9.29"/>
        <n v="0.07"/>
        <n v="46.43"/>
        <n v="22.95"/>
        <n v="37.59"/>
        <n v="10.54"/>
        <n v="39.09"/>
        <n v="1.58"/>
        <n v="3"/>
        <n v="185.21"/>
        <n v="1.07"/>
        <n v="4.71"/>
        <n v="1.14"/>
        <n v="7.07"/>
        <n v="47.64"/>
        <n v="0.14"/>
        <n v="0.34"/>
        <n v="0.96"/>
        <n v="1.06"/>
        <n v="2.46"/>
        <n v="1.21"/>
        <n v="1.39"/>
        <n v="41.07"/>
        <n v="1.98"/>
        <n v="2.79"/>
        <n v="3.21"/>
        <n v="2.36"/>
        <n v="0.43"/>
        <n v="7.91"/>
        <n v="1.71"/>
        <n v="28.57"/>
        <n v="2.24"/>
        <n v="28.96"/>
        <n v="21.07"/>
        <n v="30"/>
        <n v="4.64"/>
        <n v="2.57"/>
        <n v="1.37"/>
        <n v="37.14"/>
        <n v="23.34"/>
        <n v="118.05"/>
        <n v="0.68"/>
        <n v="32.57"/>
        <n v="16.54"/>
        <n v="21.43"/>
        <n v="4.18"/>
        <n v="1.46"/>
        <n v="1.45"/>
        <n v="16.08"/>
        <n v="4.26"/>
        <n v="6.03"/>
        <n v="0.92"/>
        <n v="25"/>
        <n v="100"/>
        <n v="225.26"/>
        <n v="0.64"/>
        <n v="2.08"/>
        <n v="1.61"/>
        <n v="35.71"/>
        <n v="1.31"/>
        <n v="4.54"/>
        <n v="52.86"/>
        <n v="42.5"/>
        <n v="47.14"/>
        <n v="0.67"/>
        <n v="7.67"/>
        <n v="5.25"/>
        <n v="5.5"/>
        <n v="47.89"/>
        <n v="0.82"/>
        <n v="41.09"/>
        <n v="25.41"/>
        <n v="0.7"/>
        <n v="2.01"/>
        <n v="6.71"/>
        <n v="14.29"/>
        <n v="0.53"/>
        <n v="2.5"/>
        <n v="0.51"/>
        <n v="0.33"/>
        <n v="0.93"/>
        <n v="11.39"/>
        <n v="5"/>
        <n v="24.1"/>
        <n v="29.79"/>
        <n v="15.04"/>
        <n v="1.34"/>
        <n v="40.23"/>
        <n v="16.5"/>
        <n v="6.49"/>
        <n v="92.86"/>
        <n v="23"/>
        <n v="0.69"/>
        <n v="1.79"/>
        <n v="7.14"/>
        <n v="13.89"/>
        <n v="1.38"/>
        <n v="18.28"/>
        <n v="17.86"/>
        <n v="3.31"/>
        <n v="3.96"/>
        <n v="2.21"/>
        <n v="12.64"/>
        <n v="9.64"/>
        <n v="25.21"/>
        <n v="0.04"/>
        <n v="7.39"/>
        <n v="2"/>
        <n v="44.07"/>
        <n v="4.12"/>
        <n v="4.44"/>
        <n v="49"/>
        <n v="1.32"/>
        <n v="51.43"/>
        <n v="21.76"/>
        <n v="1.36"/>
        <n v="5.36"/>
        <n v="47.82"/>
        <n v="3.59"/>
        <n v="7.29"/>
        <n v="8.62"/>
        <n v="4.83"/>
        <n v="8.54"/>
        <n v="1.67"/>
        <n v="2.03"/>
        <n v="41.64"/>
        <n v="0.35"/>
        <n v="53.84"/>
        <n v="30.76"/>
        <n v="0.29"/>
        <n v="50"/>
        <n v="14.64"/>
        <n v="13.07"/>
        <n v="4.19"/>
        <n v="86.79"/>
        <n v="31.82"/>
        <n v="4.24"/>
        <n v="2.06"/>
        <n v="6.43"/>
        <n v="23.57"/>
        <n v="12.24"/>
        <n v="25.46"/>
        <n v="10"/>
        <n v="2.83"/>
        <n v="92.29"/>
        <n v="0.57"/>
        <n v="2.71"/>
        <n v="5.23"/>
        <n v="1.57"/>
        <m/>
      </sharedItems>
    </cacheField>
    <cacheField name="充值金额（本地货币）" numFmtId="0">
      <sharedItems containsString="0" containsBlank="1" containsNumber="1" minValue="0" maxValue="96300" count="197">
        <n v="47.5"/>
        <n v="475"/>
        <n v="1045"/>
        <n v="42.75"/>
        <n v="0"/>
        <n v="624.15"/>
        <n v="190"/>
        <n v="3514.05"/>
        <n v="95"/>
        <n v="94.05"/>
        <n v="2090"/>
        <n v="826.5"/>
        <n v="107.35"/>
        <n v="570"/>
        <n v="261.25"/>
        <n v="380"/>
        <n v="171.95"/>
        <n v="7408.1"/>
        <n v="377.15"/>
        <n v="188.1"/>
        <n v="28.5"/>
        <n v="351.5"/>
        <n v="114"/>
        <n v="88.35"/>
        <n v="375.25"/>
        <n v="3712.6"/>
        <n v="1604.55"/>
        <n v="3515"/>
        <n v="285"/>
        <n v="1072.55"/>
        <n v="1100"/>
        <n v="4560"/>
        <n v="9452.5"/>
        <n v="760"/>
        <n v="702.05"/>
        <n v="2609.65"/>
        <n v="533.9"/>
        <n v="7405.25"/>
        <n v="80.75"/>
        <n v="3194.85"/>
        <n v="404.7"/>
        <n v="96300"/>
        <n v="1235"/>
        <n v="9.5"/>
        <n v="6175"/>
        <n v="3052.35"/>
        <n v="5000"/>
        <n v="1401.25"/>
        <n v="5198.4"/>
        <n v="209.95"/>
        <n v="399"/>
        <n v="24633.5"/>
        <n v="171"/>
        <n v="142.5"/>
        <n v="627"/>
        <n v="152"/>
        <n v="940.5"/>
        <n v="6336.5"/>
        <n v="19"/>
        <n v="44.65"/>
        <n v="127.3"/>
        <n v="140.6"/>
        <n v="326.8"/>
        <n v="161.5"/>
        <n v="185.25"/>
        <n v="5462.5"/>
        <n v="263.15"/>
        <n v="370.5"/>
        <n v="427.5"/>
        <n v="313.5"/>
        <n v="57"/>
        <n v="1051.65"/>
        <n v="228"/>
        <n v="3800"/>
        <n v="298.3"/>
        <n v="3852.25"/>
        <n v="2802.5"/>
        <n v="3990"/>
        <n v="617.5"/>
        <n v="342"/>
        <n v="182.4"/>
        <n v="4940"/>
        <n v="3104.6"/>
        <n v="15700"/>
        <n v="90.25"/>
        <n v="4332"/>
        <n v="2200"/>
        <n v="2850"/>
        <n v="555.5"/>
        <n v="193.8"/>
        <n v="192.85"/>
        <n v="2138.45"/>
        <n v="567.15"/>
        <n v="801.8"/>
        <n v="122.55"/>
        <n v="3325"/>
        <n v="13300"/>
        <n v="29960.15"/>
        <n v="85.5"/>
        <n v="276.45"/>
        <n v="213.75"/>
        <n v="4750"/>
        <n v="174.8"/>
        <n v="603.25"/>
        <n v="7030"/>
        <n v="5652.5"/>
        <n v="6270"/>
        <n v="89.3"/>
        <n v="1020.3"/>
        <n v="141.55"/>
        <n v="698.25"/>
        <n v="616.55"/>
        <n v="731.5"/>
        <n v="6369.75"/>
        <n v="109.25"/>
        <n v="5464.4"/>
        <n v="3380.1"/>
        <n v="93.1"/>
        <n v="267.9"/>
        <n v="893"/>
        <n v="1900"/>
        <n v="70.3"/>
        <n v="332.5"/>
        <n v="68.4"/>
        <n v="43.7"/>
        <n v="123.5"/>
        <n v="1514.3"/>
        <n v="665"/>
        <n v="3205.3"/>
        <n v="3962.45"/>
        <n v="2000"/>
        <n v="178.6"/>
        <n v="5350.4"/>
        <n v="2194.5"/>
        <n v="863.55"/>
        <n v="12350"/>
        <n v="3059"/>
        <n v="92.15"/>
        <n v="237.5"/>
        <n v="950"/>
        <n v="1846.8"/>
        <n v="183.35"/>
        <n v="2431.05"/>
        <n v="2375"/>
        <n v="439.85"/>
        <n v="526.3"/>
        <n v="294.5"/>
        <n v="1681.5"/>
        <n v="1282.5"/>
        <n v="3352.55"/>
        <n v="4.75"/>
        <n v="982.3"/>
        <n v="266"/>
        <n v="5861.5"/>
        <n v="548.15"/>
        <n v="91.2"/>
        <n v="589.95"/>
        <n v="6517"/>
        <n v="175.75"/>
        <n v="6840"/>
        <n v="2893.7"/>
        <n v="180.5"/>
        <n v="713.45"/>
        <n v="6360.25"/>
        <n v="476.9"/>
        <n v="969"/>
        <n v="1146.65"/>
        <n v="642.2"/>
        <n v="1135.25"/>
        <n v="222.3"/>
        <n v="269.8"/>
        <n v="5538.5"/>
        <n v="46.55"/>
        <n v="7161.1"/>
        <n v="4090.7"/>
        <n v="38"/>
        <n v="6650"/>
        <n v="1947.5"/>
        <n v="1738.5"/>
        <n v="557.65"/>
        <n v="11542.5"/>
        <n v="4232.25"/>
        <n v="564.3"/>
        <n v="273.6"/>
        <n v="855"/>
        <n v="3135"/>
        <n v="1627.35"/>
        <n v="3385.8"/>
        <n v="1330"/>
        <n v="376"/>
        <n v="12274"/>
        <n v="76"/>
        <n v="3353.5"/>
        <n v="361"/>
        <n v="695.4"/>
        <n v="209"/>
        <m/>
      </sharedItems>
    </cacheField>
    <cacheField name="提现金额（usd）" numFmtId="0">
      <sharedItems containsString="0" containsBlank="1" containsNumber="1" minValue="0" maxValue="345.93" count="103">
        <n v="0"/>
        <n v="7.52"/>
        <n v="60.15"/>
        <n v="10.53"/>
        <n v="2.63"/>
        <n v="56.69"/>
        <n v="3.38"/>
        <n v="2.33"/>
        <n v="16.77"/>
        <n v="70.49"/>
        <n v="17.89"/>
        <n v="3.76"/>
        <n v="43.23"/>
        <n v="11.15"/>
        <n v="9.86"/>
        <n v="53.31"/>
        <n v="6.72"/>
        <n v="45.83"/>
        <n v="5.25"/>
        <n v="37.71"/>
        <n v="225.56"/>
        <n v="40"/>
        <n v="110.53"/>
        <n v="1.43"/>
        <n v="3.98"/>
        <n v="27.07"/>
        <n v="2.68"/>
        <n v="2.81"/>
        <n v="3.19"/>
        <n v="25.23"/>
        <n v="5.42"/>
        <n v="45.11"/>
        <n v="8.43"/>
        <n v="15.04"/>
        <n v="16.84"/>
        <n v="26.32"/>
        <n v="10.41"/>
        <n v="2.9"/>
        <n v="49.39"/>
        <n v="345.93"/>
        <n v="22.56"/>
        <n v="9.77"/>
        <n v="15.11"/>
        <n v="12.41"/>
        <n v="39.1"/>
        <n v="4.51"/>
        <n v="7.45"/>
        <n v="25.71"/>
        <n v="2.52"/>
        <n v="116.33"/>
        <n v="124.01"/>
        <n v="113.53"/>
        <n v="3.37"/>
        <n v="5.45"/>
        <n v="10.11"/>
        <n v="3.49"/>
        <n v="60.89"/>
        <n v="59.62"/>
        <n v="1.5"/>
        <n v="24.94"/>
        <n v="0.75"/>
        <n v="49.87"/>
        <n v="3.01"/>
        <n v="6.18"/>
        <n v="36.09"/>
        <n v="47.37"/>
        <n v="2.45"/>
        <n v="34.85"/>
        <n v="37.5"/>
        <n v="8.27"/>
        <n v="107.92"/>
        <n v="14.29"/>
        <n v="39.45"/>
        <n v="7.26"/>
        <n v="22.28"/>
        <n v="13.64"/>
        <n v="29.79"/>
        <n v="12.42"/>
        <n v="63.62"/>
        <n v="24.44"/>
        <n v="1.39"/>
        <n v="105.54"/>
        <n v="87.45"/>
        <n v="0.76"/>
        <n v="4"/>
        <n v="9.93"/>
        <n v="2.25"/>
        <n v="11.28"/>
        <n v="5.26"/>
        <n v="6.74"/>
        <n v="14.92"/>
        <n v="60.41"/>
        <n v="136.09"/>
        <n v="15.79"/>
        <n v="97.74"/>
        <n v="80.15"/>
        <n v="60.9"/>
        <n v="14.76"/>
        <n v="40.6"/>
        <n v="3.2"/>
        <n v="6.6"/>
        <n v="12.03"/>
        <m/>
      </sharedItems>
    </cacheField>
    <cacheField name="提现金额（本地货币）" numFmtId="0">
      <sharedItems containsString="0" containsBlank="1" containsNumber="1" minValue="0" maxValue="46009" count="104">
        <n v="0"/>
        <n v="1000"/>
        <n v="8000"/>
        <n v="1400"/>
        <n v="350"/>
        <n v="7539.85"/>
        <n v="450"/>
        <n v="310.03"/>
        <n v="2229.75"/>
        <n v="9375.04"/>
        <n v="2380.03"/>
        <n v="500"/>
        <n v="5750"/>
        <n v="1482.99"/>
        <n v="1311.97"/>
        <n v="7089.65"/>
        <n v="894.39"/>
        <n v="6095.83"/>
        <n v="697.68"/>
        <n v="5015.48"/>
        <n v="30000"/>
        <n v="5320"/>
        <n v="14700"/>
        <n v="190.03"/>
        <n v="528.74"/>
        <n v="3600"/>
        <n v="356.59"/>
        <n v="373.21"/>
        <n v="423.93"/>
        <n v="3356.1"/>
        <n v="721.15"/>
        <n v="6000"/>
        <n v="1121.61"/>
        <n v="2000"/>
        <n v="2239.6"/>
        <n v="3500"/>
        <n v="1384.99"/>
        <n v="385.11"/>
        <n v="6568.86"/>
        <n v="46009"/>
        <n v="3000"/>
        <n v="1300"/>
        <n v="2009.14"/>
        <n v="1650"/>
        <n v="5200"/>
        <n v="600"/>
        <n v="991"/>
        <n v="3420"/>
        <n v="335.03"/>
        <n v="15471.55"/>
        <n v="16493.81"/>
        <n v="15100"/>
        <n v="448.31"/>
        <n v="725"/>
        <n v="1343.97"/>
        <n v="464.81"/>
        <n v="8098.97"/>
        <n v="7930.03"/>
        <n v="200"/>
        <n v="3317.08"/>
        <n v="100"/>
        <n v="6632.92"/>
        <n v="400.35"/>
        <n v="821.48"/>
        <n v="4800"/>
        <n v="6300.16"/>
        <n v="325.25"/>
        <n v="4635.51"/>
        <n v="4987.86"/>
        <n v="1100"/>
        <n v="14353.21"/>
        <n v="1900"/>
        <n v="5247.19"/>
        <n v="965"/>
        <n v="2962.89"/>
        <n v="1813.77"/>
        <n v="3962.45"/>
        <n v="1652.12"/>
        <n v="8461.19"/>
        <n v="3250"/>
        <n v="184.55"/>
        <n v="14036.67"/>
        <n v="11630.84"/>
        <n v="101.31"/>
        <n v="531.84"/>
        <n v="1320.91"/>
        <n v="299.32"/>
        <n v="1500"/>
        <n v="700"/>
        <n v="896.03"/>
        <n v="2962.68"/>
        <n v="1984.09"/>
        <n v="8034.76"/>
        <n v="18100"/>
        <n v="2100"/>
        <n v="13000"/>
        <n v="10660"/>
        <n v="8100"/>
        <n v="1962.86"/>
        <n v="5400"/>
        <n v="425.93"/>
        <n v="877.65"/>
        <n v="1600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9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1"/>
    <x v="1"/>
    <x v="0"/>
    <x v="1"/>
    <x v="0"/>
    <x v="1"/>
    <x v="1"/>
    <x v="1"/>
    <x v="1"/>
    <x v="1"/>
    <x v="0"/>
    <x v="0"/>
  </r>
  <r>
    <x v="0"/>
    <x v="2"/>
    <x v="2"/>
    <x v="2"/>
    <x v="0"/>
    <x v="2"/>
    <x v="2"/>
    <x v="0"/>
    <x v="2"/>
    <x v="0"/>
    <x v="2"/>
    <x v="2"/>
    <x v="2"/>
    <x v="2"/>
    <x v="2"/>
    <x v="0"/>
    <x v="0"/>
  </r>
  <r>
    <x v="2"/>
    <x v="3"/>
    <x v="3"/>
    <x v="3"/>
    <x v="0"/>
    <x v="3"/>
    <x v="3"/>
    <x v="0"/>
    <x v="3"/>
    <x v="0"/>
    <x v="3"/>
    <x v="3"/>
    <x v="3"/>
    <x v="3"/>
    <x v="3"/>
    <x v="0"/>
    <x v="0"/>
  </r>
  <r>
    <x v="2"/>
    <x v="4"/>
    <x v="4"/>
    <x v="4"/>
    <x v="0"/>
    <x v="4"/>
    <x v="4"/>
    <x v="0"/>
    <x v="4"/>
    <x v="0"/>
    <x v="4"/>
    <x v="4"/>
    <x v="4"/>
    <x v="4"/>
    <x v="4"/>
    <x v="0"/>
    <x v="0"/>
  </r>
  <r>
    <x v="2"/>
    <x v="5"/>
    <x v="5"/>
    <x v="5"/>
    <x v="0"/>
    <x v="5"/>
    <x v="5"/>
    <x v="0"/>
    <x v="5"/>
    <x v="0"/>
    <x v="5"/>
    <x v="5"/>
    <x v="5"/>
    <x v="5"/>
    <x v="5"/>
    <x v="0"/>
    <x v="0"/>
  </r>
  <r>
    <x v="2"/>
    <x v="6"/>
    <x v="6"/>
    <x v="6"/>
    <x v="0"/>
    <x v="6"/>
    <x v="6"/>
    <x v="1"/>
    <x v="6"/>
    <x v="1"/>
    <x v="6"/>
    <x v="6"/>
    <x v="6"/>
    <x v="6"/>
    <x v="6"/>
    <x v="1"/>
    <x v="1"/>
  </r>
  <r>
    <x v="1"/>
    <x v="7"/>
    <x v="7"/>
    <x v="7"/>
    <x v="0"/>
    <x v="7"/>
    <x v="7"/>
    <x v="0"/>
    <x v="7"/>
    <x v="0"/>
    <x v="7"/>
    <x v="7"/>
    <x v="7"/>
    <x v="7"/>
    <x v="7"/>
    <x v="0"/>
    <x v="0"/>
  </r>
  <r>
    <x v="2"/>
    <x v="8"/>
    <x v="8"/>
    <x v="8"/>
    <x v="1"/>
    <x v="8"/>
    <x v="8"/>
    <x v="0"/>
    <x v="8"/>
    <x v="0"/>
    <x v="8"/>
    <x v="8"/>
    <x v="8"/>
    <x v="4"/>
    <x v="4"/>
    <x v="0"/>
    <x v="0"/>
  </r>
  <r>
    <x v="0"/>
    <x v="9"/>
    <x v="9"/>
    <x v="9"/>
    <x v="1"/>
    <x v="8"/>
    <x v="8"/>
    <x v="0"/>
    <x v="8"/>
    <x v="0"/>
    <x v="8"/>
    <x v="8"/>
    <x v="8"/>
    <x v="4"/>
    <x v="4"/>
    <x v="0"/>
    <x v="0"/>
  </r>
  <r>
    <x v="1"/>
    <x v="10"/>
    <x v="10"/>
    <x v="10"/>
    <x v="0"/>
    <x v="9"/>
    <x v="9"/>
    <x v="2"/>
    <x v="8"/>
    <x v="2"/>
    <x v="8"/>
    <x v="9"/>
    <x v="9"/>
    <x v="8"/>
    <x v="8"/>
    <x v="0"/>
    <x v="0"/>
  </r>
  <r>
    <x v="2"/>
    <x v="11"/>
    <x v="11"/>
    <x v="11"/>
    <x v="1"/>
    <x v="8"/>
    <x v="8"/>
    <x v="0"/>
    <x v="8"/>
    <x v="0"/>
    <x v="8"/>
    <x v="8"/>
    <x v="8"/>
    <x v="4"/>
    <x v="4"/>
    <x v="0"/>
    <x v="0"/>
  </r>
  <r>
    <x v="0"/>
    <x v="12"/>
    <x v="12"/>
    <x v="12"/>
    <x v="0"/>
    <x v="10"/>
    <x v="10"/>
    <x v="0"/>
    <x v="9"/>
    <x v="0"/>
    <x v="9"/>
    <x v="9"/>
    <x v="10"/>
    <x v="8"/>
    <x v="9"/>
    <x v="0"/>
    <x v="0"/>
  </r>
  <r>
    <x v="0"/>
    <x v="13"/>
    <x v="13"/>
    <x v="13"/>
    <x v="0"/>
    <x v="11"/>
    <x v="11"/>
    <x v="0"/>
    <x v="10"/>
    <x v="0"/>
    <x v="10"/>
    <x v="10"/>
    <x v="11"/>
    <x v="9"/>
    <x v="10"/>
    <x v="2"/>
    <x v="2"/>
  </r>
  <r>
    <x v="2"/>
    <x v="14"/>
    <x v="14"/>
    <x v="14"/>
    <x v="0"/>
    <x v="12"/>
    <x v="12"/>
    <x v="0"/>
    <x v="11"/>
    <x v="0"/>
    <x v="11"/>
    <x v="11"/>
    <x v="12"/>
    <x v="10"/>
    <x v="11"/>
    <x v="3"/>
    <x v="3"/>
  </r>
  <r>
    <x v="2"/>
    <x v="15"/>
    <x v="15"/>
    <x v="15"/>
    <x v="1"/>
    <x v="8"/>
    <x v="8"/>
    <x v="0"/>
    <x v="8"/>
    <x v="0"/>
    <x v="8"/>
    <x v="8"/>
    <x v="8"/>
    <x v="4"/>
    <x v="4"/>
    <x v="0"/>
    <x v="0"/>
  </r>
  <r>
    <x v="2"/>
    <x v="16"/>
    <x v="16"/>
    <x v="16"/>
    <x v="0"/>
    <x v="13"/>
    <x v="13"/>
    <x v="0"/>
    <x v="12"/>
    <x v="0"/>
    <x v="12"/>
    <x v="12"/>
    <x v="13"/>
    <x v="11"/>
    <x v="12"/>
    <x v="0"/>
    <x v="0"/>
  </r>
  <r>
    <x v="0"/>
    <x v="17"/>
    <x v="17"/>
    <x v="17"/>
    <x v="0"/>
    <x v="14"/>
    <x v="14"/>
    <x v="0"/>
    <x v="13"/>
    <x v="0"/>
    <x v="13"/>
    <x v="13"/>
    <x v="14"/>
    <x v="12"/>
    <x v="13"/>
    <x v="0"/>
    <x v="0"/>
  </r>
  <r>
    <x v="2"/>
    <x v="18"/>
    <x v="18"/>
    <x v="18"/>
    <x v="0"/>
    <x v="15"/>
    <x v="15"/>
    <x v="0"/>
    <x v="14"/>
    <x v="0"/>
    <x v="14"/>
    <x v="14"/>
    <x v="15"/>
    <x v="13"/>
    <x v="14"/>
    <x v="0"/>
    <x v="0"/>
  </r>
  <r>
    <x v="0"/>
    <x v="19"/>
    <x v="19"/>
    <x v="19"/>
    <x v="0"/>
    <x v="16"/>
    <x v="16"/>
    <x v="0"/>
    <x v="15"/>
    <x v="0"/>
    <x v="15"/>
    <x v="15"/>
    <x v="16"/>
    <x v="8"/>
    <x v="9"/>
    <x v="0"/>
    <x v="0"/>
  </r>
  <r>
    <x v="2"/>
    <x v="20"/>
    <x v="20"/>
    <x v="20"/>
    <x v="1"/>
    <x v="8"/>
    <x v="8"/>
    <x v="0"/>
    <x v="8"/>
    <x v="0"/>
    <x v="8"/>
    <x v="8"/>
    <x v="8"/>
    <x v="4"/>
    <x v="4"/>
    <x v="0"/>
    <x v="0"/>
  </r>
  <r>
    <x v="0"/>
    <x v="21"/>
    <x v="21"/>
    <x v="21"/>
    <x v="0"/>
    <x v="17"/>
    <x v="17"/>
    <x v="0"/>
    <x v="16"/>
    <x v="0"/>
    <x v="16"/>
    <x v="16"/>
    <x v="17"/>
    <x v="14"/>
    <x v="15"/>
    <x v="0"/>
    <x v="0"/>
  </r>
  <r>
    <x v="0"/>
    <x v="22"/>
    <x v="22"/>
    <x v="22"/>
    <x v="1"/>
    <x v="8"/>
    <x v="8"/>
    <x v="0"/>
    <x v="8"/>
    <x v="0"/>
    <x v="8"/>
    <x v="8"/>
    <x v="8"/>
    <x v="4"/>
    <x v="4"/>
    <x v="0"/>
    <x v="0"/>
  </r>
  <r>
    <x v="2"/>
    <x v="23"/>
    <x v="23"/>
    <x v="23"/>
    <x v="1"/>
    <x v="8"/>
    <x v="8"/>
    <x v="0"/>
    <x v="8"/>
    <x v="0"/>
    <x v="8"/>
    <x v="8"/>
    <x v="8"/>
    <x v="4"/>
    <x v="4"/>
    <x v="0"/>
    <x v="0"/>
  </r>
  <r>
    <x v="0"/>
    <x v="24"/>
    <x v="24"/>
    <x v="24"/>
    <x v="1"/>
    <x v="8"/>
    <x v="8"/>
    <x v="0"/>
    <x v="8"/>
    <x v="0"/>
    <x v="8"/>
    <x v="8"/>
    <x v="8"/>
    <x v="4"/>
    <x v="4"/>
    <x v="0"/>
    <x v="0"/>
  </r>
  <r>
    <x v="1"/>
    <x v="25"/>
    <x v="25"/>
    <x v="25"/>
    <x v="1"/>
    <x v="8"/>
    <x v="8"/>
    <x v="0"/>
    <x v="8"/>
    <x v="0"/>
    <x v="8"/>
    <x v="8"/>
    <x v="8"/>
    <x v="4"/>
    <x v="4"/>
    <x v="0"/>
    <x v="0"/>
  </r>
  <r>
    <x v="1"/>
    <x v="26"/>
    <x v="26"/>
    <x v="26"/>
    <x v="0"/>
    <x v="18"/>
    <x v="18"/>
    <x v="0"/>
    <x v="17"/>
    <x v="0"/>
    <x v="17"/>
    <x v="17"/>
    <x v="18"/>
    <x v="15"/>
    <x v="16"/>
    <x v="4"/>
    <x v="4"/>
  </r>
  <r>
    <x v="0"/>
    <x v="27"/>
    <x v="27"/>
    <x v="27"/>
    <x v="1"/>
    <x v="8"/>
    <x v="8"/>
    <x v="0"/>
    <x v="8"/>
    <x v="0"/>
    <x v="8"/>
    <x v="8"/>
    <x v="8"/>
    <x v="4"/>
    <x v="4"/>
    <x v="0"/>
    <x v="0"/>
  </r>
  <r>
    <x v="0"/>
    <x v="28"/>
    <x v="28"/>
    <x v="28"/>
    <x v="1"/>
    <x v="8"/>
    <x v="8"/>
    <x v="0"/>
    <x v="8"/>
    <x v="0"/>
    <x v="8"/>
    <x v="8"/>
    <x v="8"/>
    <x v="4"/>
    <x v="4"/>
    <x v="0"/>
    <x v="0"/>
  </r>
  <r>
    <x v="0"/>
    <x v="29"/>
    <x v="29"/>
    <x v="29"/>
    <x v="1"/>
    <x v="8"/>
    <x v="8"/>
    <x v="0"/>
    <x v="8"/>
    <x v="0"/>
    <x v="8"/>
    <x v="8"/>
    <x v="8"/>
    <x v="4"/>
    <x v="4"/>
    <x v="0"/>
    <x v="0"/>
  </r>
  <r>
    <x v="2"/>
    <x v="30"/>
    <x v="30"/>
    <x v="30"/>
    <x v="1"/>
    <x v="8"/>
    <x v="8"/>
    <x v="0"/>
    <x v="8"/>
    <x v="0"/>
    <x v="8"/>
    <x v="8"/>
    <x v="8"/>
    <x v="4"/>
    <x v="4"/>
    <x v="0"/>
    <x v="0"/>
  </r>
  <r>
    <x v="0"/>
    <x v="31"/>
    <x v="31"/>
    <x v="31"/>
    <x v="1"/>
    <x v="8"/>
    <x v="8"/>
    <x v="0"/>
    <x v="8"/>
    <x v="0"/>
    <x v="8"/>
    <x v="8"/>
    <x v="8"/>
    <x v="4"/>
    <x v="4"/>
    <x v="0"/>
    <x v="0"/>
  </r>
  <r>
    <x v="2"/>
    <x v="32"/>
    <x v="32"/>
    <x v="32"/>
    <x v="1"/>
    <x v="8"/>
    <x v="8"/>
    <x v="0"/>
    <x v="8"/>
    <x v="0"/>
    <x v="8"/>
    <x v="8"/>
    <x v="8"/>
    <x v="4"/>
    <x v="4"/>
    <x v="0"/>
    <x v="0"/>
  </r>
  <r>
    <x v="2"/>
    <x v="33"/>
    <x v="33"/>
    <x v="33"/>
    <x v="0"/>
    <x v="19"/>
    <x v="19"/>
    <x v="0"/>
    <x v="18"/>
    <x v="0"/>
    <x v="18"/>
    <x v="18"/>
    <x v="19"/>
    <x v="16"/>
    <x v="17"/>
    <x v="5"/>
    <x v="5"/>
  </r>
  <r>
    <x v="0"/>
    <x v="34"/>
    <x v="34"/>
    <x v="34"/>
    <x v="1"/>
    <x v="8"/>
    <x v="8"/>
    <x v="0"/>
    <x v="8"/>
    <x v="0"/>
    <x v="8"/>
    <x v="8"/>
    <x v="8"/>
    <x v="4"/>
    <x v="4"/>
    <x v="0"/>
    <x v="0"/>
  </r>
  <r>
    <x v="2"/>
    <x v="35"/>
    <x v="35"/>
    <x v="35"/>
    <x v="1"/>
    <x v="8"/>
    <x v="8"/>
    <x v="0"/>
    <x v="8"/>
    <x v="0"/>
    <x v="8"/>
    <x v="8"/>
    <x v="8"/>
    <x v="4"/>
    <x v="4"/>
    <x v="0"/>
    <x v="0"/>
  </r>
  <r>
    <x v="0"/>
    <x v="36"/>
    <x v="36"/>
    <x v="36"/>
    <x v="1"/>
    <x v="8"/>
    <x v="8"/>
    <x v="0"/>
    <x v="8"/>
    <x v="0"/>
    <x v="8"/>
    <x v="8"/>
    <x v="8"/>
    <x v="4"/>
    <x v="4"/>
    <x v="0"/>
    <x v="0"/>
  </r>
  <r>
    <x v="2"/>
    <x v="37"/>
    <x v="37"/>
    <x v="37"/>
    <x v="0"/>
    <x v="20"/>
    <x v="20"/>
    <x v="0"/>
    <x v="19"/>
    <x v="0"/>
    <x v="19"/>
    <x v="19"/>
    <x v="20"/>
    <x v="4"/>
    <x v="4"/>
    <x v="0"/>
    <x v="0"/>
  </r>
  <r>
    <x v="0"/>
    <x v="38"/>
    <x v="38"/>
    <x v="38"/>
    <x v="1"/>
    <x v="8"/>
    <x v="8"/>
    <x v="0"/>
    <x v="8"/>
    <x v="0"/>
    <x v="8"/>
    <x v="8"/>
    <x v="8"/>
    <x v="4"/>
    <x v="4"/>
    <x v="0"/>
    <x v="0"/>
  </r>
  <r>
    <x v="2"/>
    <x v="39"/>
    <x v="39"/>
    <x v="39"/>
    <x v="1"/>
    <x v="8"/>
    <x v="8"/>
    <x v="0"/>
    <x v="8"/>
    <x v="0"/>
    <x v="8"/>
    <x v="8"/>
    <x v="8"/>
    <x v="4"/>
    <x v="4"/>
    <x v="0"/>
    <x v="0"/>
  </r>
  <r>
    <x v="1"/>
    <x v="40"/>
    <x v="40"/>
    <x v="40"/>
    <x v="0"/>
    <x v="21"/>
    <x v="21"/>
    <x v="0"/>
    <x v="20"/>
    <x v="0"/>
    <x v="20"/>
    <x v="16"/>
    <x v="21"/>
    <x v="17"/>
    <x v="18"/>
    <x v="0"/>
    <x v="0"/>
  </r>
  <r>
    <x v="0"/>
    <x v="41"/>
    <x v="41"/>
    <x v="41"/>
    <x v="1"/>
    <x v="8"/>
    <x v="8"/>
    <x v="0"/>
    <x v="8"/>
    <x v="0"/>
    <x v="8"/>
    <x v="8"/>
    <x v="8"/>
    <x v="4"/>
    <x v="4"/>
    <x v="0"/>
    <x v="0"/>
  </r>
  <r>
    <x v="2"/>
    <x v="42"/>
    <x v="42"/>
    <x v="42"/>
    <x v="1"/>
    <x v="8"/>
    <x v="8"/>
    <x v="0"/>
    <x v="8"/>
    <x v="0"/>
    <x v="8"/>
    <x v="8"/>
    <x v="8"/>
    <x v="4"/>
    <x v="4"/>
    <x v="0"/>
    <x v="0"/>
  </r>
  <r>
    <x v="2"/>
    <x v="43"/>
    <x v="43"/>
    <x v="43"/>
    <x v="0"/>
    <x v="22"/>
    <x v="22"/>
    <x v="0"/>
    <x v="21"/>
    <x v="0"/>
    <x v="21"/>
    <x v="20"/>
    <x v="22"/>
    <x v="18"/>
    <x v="19"/>
    <x v="0"/>
    <x v="0"/>
  </r>
  <r>
    <x v="2"/>
    <x v="44"/>
    <x v="44"/>
    <x v="44"/>
    <x v="1"/>
    <x v="8"/>
    <x v="8"/>
    <x v="0"/>
    <x v="8"/>
    <x v="0"/>
    <x v="8"/>
    <x v="8"/>
    <x v="8"/>
    <x v="4"/>
    <x v="4"/>
    <x v="0"/>
    <x v="0"/>
  </r>
  <r>
    <x v="0"/>
    <x v="45"/>
    <x v="45"/>
    <x v="45"/>
    <x v="1"/>
    <x v="8"/>
    <x v="8"/>
    <x v="0"/>
    <x v="8"/>
    <x v="0"/>
    <x v="8"/>
    <x v="8"/>
    <x v="8"/>
    <x v="4"/>
    <x v="4"/>
    <x v="0"/>
    <x v="0"/>
  </r>
  <r>
    <x v="2"/>
    <x v="46"/>
    <x v="46"/>
    <x v="46"/>
    <x v="0"/>
    <x v="23"/>
    <x v="23"/>
    <x v="0"/>
    <x v="22"/>
    <x v="0"/>
    <x v="22"/>
    <x v="21"/>
    <x v="23"/>
    <x v="19"/>
    <x v="20"/>
    <x v="6"/>
    <x v="6"/>
  </r>
  <r>
    <x v="2"/>
    <x v="47"/>
    <x v="47"/>
    <x v="47"/>
    <x v="1"/>
    <x v="8"/>
    <x v="8"/>
    <x v="0"/>
    <x v="8"/>
    <x v="0"/>
    <x v="8"/>
    <x v="8"/>
    <x v="8"/>
    <x v="4"/>
    <x v="4"/>
    <x v="0"/>
    <x v="0"/>
  </r>
  <r>
    <x v="2"/>
    <x v="48"/>
    <x v="48"/>
    <x v="48"/>
    <x v="1"/>
    <x v="8"/>
    <x v="8"/>
    <x v="0"/>
    <x v="8"/>
    <x v="0"/>
    <x v="8"/>
    <x v="8"/>
    <x v="8"/>
    <x v="4"/>
    <x v="4"/>
    <x v="0"/>
    <x v="0"/>
  </r>
  <r>
    <x v="2"/>
    <x v="49"/>
    <x v="49"/>
    <x v="49"/>
    <x v="0"/>
    <x v="24"/>
    <x v="24"/>
    <x v="0"/>
    <x v="23"/>
    <x v="0"/>
    <x v="23"/>
    <x v="22"/>
    <x v="24"/>
    <x v="20"/>
    <x v="21"/>
    <x v="0"/>
    <x v="0"/>
  </r>
  <r>
    <x v="2"/>
    <x v="50"/>
    <x v="50"/>
    <x v="50"/>
    <x v="1"/>
    <x v="8"/>
    <x v="8"/>
    <x v="0"/>
    <x v="8"/>
    <x v="0"/>
    <x v="8"/>
    <x v="8"/>
    <x v="8"/>
    <x v="4"/>
    <x v="4"/>
    <x v="0"/>
    <x v="0"/>
  </r>
  <r>
    <x v="2"/>
    <x v="51"/>
    <x v="51"/>
    <x v="51"/>
    <x v="1"/>
    <x v="8"/>
    <x v="8"/>
    <x v="0"/>
    <x v="8"/>
    <x v="0"/>
    <x v="8"/>
    <x v="8"/>
    <x v="8"/>
    <x v="4"/>
    <x v="4"/>
    <x v="0"/>
    <x v="0"/>
  </r>
  <r>
    <x v="2"/>
    <x v="52"/>
    <x v="52"/>
    <x v="52"/>
    <x v="1"/>
    <x v="8"/>
    <x v="8"/>
    <x v="0"/>
    <x v="8"/>
    <x v="0"/>
    <x v="8"/>
    <x v="8"/>
    <x v="8"/>
    <x v="4"/>
    <x v="4"/>
    <x v="0"/>
    <x v="0"/>
  </r>
  <r>
    <x v="2"/>
    <x v="53"/>
    <x v="53"/>
    <x v="53"/>
    <x v="1"/>
    <x v="8"/>
    <x v="8"/>
    <x v="0"/>
    <x v="8"/>
    <x v="0"/>
    <x v="8"/>
    <x v="8"/>
    <x v="8"/>
    <x v="4"/>
    <x v="4"/>
    <x v="0"/>
    <x v="0"/>
  </r>
  <r>
    <x v="1"/>
    <x v="54"/>
    <x v="54"/>
    <x v="54"/>
    <x v="1"/>
    <x v="8"/>
    <x v="8"/>
    <x v="0"/>
    <x v="8"/>
    <x v="0"/>
    <x v="8"/>
    <x v="8"/>
    <x v="8"/>
    <x v="4"/>
    <x v="4"/>
    <x v="0"/>
    <x v="0"/>
  </r>
  <r>
    <x v="2"/>
    <x v="55"/>
    <x v="55"/>
    <x v="55"/>
    <x v="0"/>
    <x v="25"/>
    <x v="25"/>
    <x v="3"/>
    <x v="24"/>
    <x v="3"/>
    <x v="24"/>
    <x v="23"/>
    <x v="25"/>
    <x v="21"/>
    <x v="22"/>
    <x v="0"/>
    <x v="0"/>
  </r>
  <r>
    <x v="2"/>
    <x v="56"/>
    <x v="56"/>
    <x v="56"/>
    <x v="1"/>
    <x v="8"/>
    <x v="8"/>
    <x v="0"/>
    <x v="8"/>
    <x v="0"/>
    <x v="8"/>
    <x v="8"/>
    <x v="8"/>
    <x v="4"/>
    <x v="4"/>
    <x v="0"/>
    <x v="0"/>
  </r>
  <r>
    <x v="2"/>
    <x v="57"/>
    <x v="57"/>
    <x v="57"/>
    <x v="0"/>
    <x v="8"/>
    <x v="8"/>
    <x v="0"/>
    <x v="8"/>
    <x v="0"/>
    <x v="8"/>
    <x v="8"/>
    <x v="8"/>
    <x v="8"/>
    <x v="8"/>
    <x v="0"/>
    <x v="0"/>
  </r>
  <r>
    <x v="2"/>
    <x v="58"/>
    <x v="58"/>
    <x v="58"/>
    <x v="1"/>
    <x v="8"/>
    <x v="8"/>
    <x v="0"/>
    <x v="8"/>
    <x v="0"/>
    <x v="8"/>
    <x v="8"/>
    <x v="8"/>
    <x v="4"/>
    <x v="4"/>
    <x v="0"/>
    <x v="0"/>
  </r>
  <r>
    <x v="0"/>
    <x v="59"/>
    <x v="59"/>
    <x v="59"/>
    <x v="1"/>
    <x v="8"/>
    <x v="8"/>
    <x v="0"/>
    <x v="8"/>
    <x v="0"/>
    <x v="8"/>
    <x v="8"/>
    <x v="8"/>
    <x v="4"/>
    <x v="4"/>
    <x v="0"/>
    <x v="0"/>
  </r>
  <r>
    <x v="2"/>
    <x v="60"/>
    <x v="60"/>
    <x v="60"/>
    <x v="0"/>
    <x v="26"/>
    <x v="26"/>
    <x v="0"/>
    <x v="25"/>
    <x v="0"/>
    <x v="25"/>
    <x v="24"/>
    <x v="26"/>
    <x v="22"/>
    <x v="23"/>
    <x v="7"/>
    <x v="7"/>
  </r>
  <r>
    <x v="0"/>
    <x v="61"/>
    <x v="61"/>
    <x v="61"/>
    <x v="1"/>
    <x v="8"/>
    <x v="8"/>
    <x v="0"/>
    <x v="8"/>
    <x v="0"/>
    <x v="8"/>
    <x v="8"/>
    <x v="8"/>
    <x v="4"/>
    <x v="4"/>
    <x v="0"/>
    <x v="0"/>
  </r>
  <r>
    <x v="2"/>
    <x v="62"/>
    <x v="62"/>
    <x v="62"/>
    <x v="0"/>
    <x v="27"/>
    <x v="27"/>
    <x v="0"/>
    <x v="26"/>
    <x v="0"/>
    <x v="26"/>
    <x v="25"/>
    <x v="27"/>
    <x v="23"/>
    <x v="24"/>
    <x v="0"/>
    <x v="0"/>
  </r>
  <r>
    <x v="2"/>
    <x v="63"/>
    <x v="63"/>
    <x v="63"/>
    <x v="1"/>
    <x v="8"/>
    <x v="8"/>
    <x v="0"/>
    <x v="8"/>
    <x v="0"/>
    <x v="8"/>
    <x v="8"/>
    <x v="8"/>
    <x v="4"/>
    <x v="4"/>
    <x v="0"/>
    <x v="0"/>
  </r>
  <r>
    <x v="1"/>
    <x v="64"/>
    <x v="64"/>
    <x v="64"/>
    <x v="1"/>
    <x v="8"/>
    <x v="8"/>
    <x v="0"/>
    <x v="8"/>
    <x v="0"/>
    <x v="8"/>
    <x v="8"/>
    <x v="8"/>
    <x v="4"/>
    <x v="4"/>
    <x v="0"/>
    <x v="0"/>
  </r>
  <r>
    <x v="2"/>
    <x v="65"/>
    <x v="65"/>
    <x v="65"/>
    <x v="1"/>
    <x v="8"/>
    <x v="8"/>
    <x v="0"/>
    <x v="8"/>
    <x v="0"/>
    <x v="8"/>
    <x v="8"/>
    <x v="8"/>
    <x v="4"/>
    <x v="4"/>
    <x v="0"/>
    <x v="0"/>
  </r>
  <r>
    <x v="2"/>
    <x v="66"/>
    <x v="66"/>
    <x v="66"/>
    <x v="1"/>
    <x v="8"/>
    <x v="8"/>
    <x v="0"/>
    <x v="8"/>
    <x v="0"/>
    <x v="8"/>
    <x v="8"/>
    <x v="8"/>
    <x v="4"/>
    <x v="4"/>
    <x v="0"/>
    <x v="0"/>
  </r>
  <r>
    <x v="0"/>
    <x v="67"/>
    <x v="67"/>
    <x v="67"/>
    <x v="1"/>
    <x v="8"/>
    <x v="8"/>
    <x v="0"/>
    <x v="8"/>
    <x v="0"/>
    <x v="8"/>
    <x v="8"/>
    <x v="8"/>
    <x v="4"/>
    <x v="4"/>
    <x v="0"/>
    <x v="0"/>
  </r>
  <r>
    <x v="2"/>
    <x v="68"/>
    <x v="68"/>
    <x v="68"/>
    <x v="1"/>
    <x v="8"/>
    <x v="8"/>
    <x v="0"/>
    <x v="8"/>
    <x v="0"/>
    <x v="8"/>
    <x v="8"/>
    <x v="8"/>
    <x v="4"/>
    <x v="4"/>
    <x v="0"/>
    <x v="0"/>
  </r>
  <r>
    <x v="2"/>
    <x v="69"/>
    <x v="69"/>
    <x v="69"/>
    <x v="1"/>
    <x v="8"/>
    <x v="8"/>
    <x v="0"/>
    <x v="8"/>
    <x v="0"/>
    <x v="8"/>
    <x v="8"/>
    <x v="8"/>
    <x v="4"/>
    <x v="4"/>
    <x v="0"/>
    <x v="0"/>
  </r>
  <r>
    <x v="2"/>
    <x v="70"/>
    <x v="70"/>
    <x v="70"/>
    <x v="0"/>
    <x v="28"/>
    <x v="28"/>
    <x v="0"/>
    <x v="27"/>
    <x v="0"/>
    <x v="27"/>
    <x v="26"/>
    <x v="28"/>
    <x v="24"/>
    <x v="25"/>
    <x v="8"/>
    <x v="8"/>
  </r>
  <r>
    <x v="0"/>
    <x v="71"/>
    <x v="71"/>
    <x v="71"/>
    <x v="1"/>
    <x v="8"/>
    <x v="8"/>
    <x v="0"/>
    <x v="8"/>
    <x v="0"/>
    <x v="8"/>
    <x v="8"/>
    <x v="8"/>
    <x v="4"/>
    <x v="4"/>
    <x v="0"/>
    <x v="0"/>
  </r>
  <r>
    <x v="0"/>
    <x v="72"/>
    <x v="72"/>
    <x v="72"/>
    <x v="0"/>
    <x v="29"/>
    <x v="29"/>
    <x v="0"/>
    <x v="28"/>
    <x v="0"/>
    <x v="28"/>
    <x v="27"/>
    <x v="29"/>
    <x v="25"/>
    <x v="26"/>
    <x v="0"/>
    <x v="0"/>
  </r>
  <r>
    <x v="0"/>
    <x v="73"/>
    <x v="73"/>
    <x v="73"/>
    <x v="1"/>
    <x v="8"/>
    <x v="8"/>
    <x v="0"/>
    <x v="8"/>
    <x v="0"/>
    <x v="8"/>
    <x v="8"/>
    <x v="8"/>
    <x v="4"/>
    <x v="4"/>
    <x v="0"/>
    <x v="0"/>
  </r>
  <r>
    <x v="1"/>
    <x v="74"/>
    <x v="74"/>
    <x v="74"/>
    <x v="1"/>
    <x v="8"/>
    <x v="8"/>
    <x v="0"/>
    <x v="8"/>
    <x v="0"/>
    <x v="8"/>
    <x v="8"/>
    <x v="8"/>
    <x v="4"/>
    <x v="4"/>
    <x v="0"/>
    <x v="0"/>
  </r>
  <r>
    <x v="2"/>
    <x v="75"/>
    <x v="75"/>
    <x v="75"/>
    <x v="0"/>
    <x v="30"/>
    <x v="30"/>
    <x v="0"/>
    <x v="29"/>
    <x v="0"/>
    <x v="29"/>
    <x v="28"/>
    <x v="30"/>
    <x v="12"/>
    <x v="13"/>
    <x v="0"/>
    <x v="0"/>
  </r>
  <r>
    <x v="2"/>
    <x v="76"/>
    <x v="76"/>
    <x v="76"/>
    <x v="1"/>
    <x v="8"/>
    <x v="8"/>
    <x v="0"/>
    <x v="8"/>
    <x v="0"/>
    <x v="8"/>
    <x v="8"/>
    <x v="8"/>
    <x v="4"/>
    <x v="4"/>
    <x v="0"/>
    <x v="0"/>
  </r>
  <r>
    <x v="0"/>
    <x v="77"/>
    <x v="77"/>
    <x v="77"/>
    <x v="1"/>
    <x v="8"/>
    <x v="8"/>
    <x v="0"/>
    <x v="8"/>
    <x v="0"/>
    <x v="8"/>
    <x v="8"/>
    <x v="8"/>
    <x v="4"/>
    <x v="4"/>
    <x v="0"/>
    <x v="0"/>
  </r>
  <r>
    <x v="2"/>
    <x v="78"/>
    <x v="78"/>
    <x v="78"/>
    <x v="1"/>
    <x v="8"/>
    <x v="8"/>
    <x v="0"/>
    <x v="8"/>
    <x v="0"/>
    <x v="8"/>
    <x v="8"/>
    <x v="8"/>
    <x v="4"/>
    <x v="4"/>
    <x v="0"/>
    <x v="0"/>
  </r>
  <r>
    <x v="2"/>
    <x v="79"/>
    <x v="79"/>
    <x v="79"/>
    <x v="1"/>
    <x v="8"/>
    <x v="8"/>
    <x v="0"/>
    <x v="8"/>
    <x v="0"/>
    <x v="8"/>
    <x v="8"/>
    <x v="8"/>
    <x v="4"/>
    <x v="4"/>
    <x v="0"/>
    <x v="0"/>
  </r>
  <r>
    <x v="0"/>
    <x v="80"/>
    <x v="80"/>
    <x v="80"/>
    <x v="1"/>
    <x v="8"/>
    <x v="8"/>
    <x v="0"/>
    <x v="8"/>
    <x v="0"/>
    <x v="8"/>
    <x v="8"/>
    <x v="8"/>
    <x v="4"/>
    <x v="4"/>
    <x v="0"/>
    <x v="0"/>
  </r>
  <r>
    <x v="0"/>
    <x v="81"/>
    <x v="81"/>
    <x v="81"/>
    <x v="0"/>
    <x v="31"/>
    <x v="31"/>
    <x v="0"/>
    <x v="30"/>
    <x v="0"/>
    <x v="30"/>
    <x v="8"/>
    <x v="31"/>
    <x v="4"/>
    <x v="4"/>
    <x v="0"/>
    <x v="0"/>
  </r>
  <r>
    <x v="2"/>
    <x v="82"/>
    <x v="82"/>
    <x v="82"/>
    <x v="1"/>
    <x v="8"/>
    <x v="8"/>
    <x v="0"/>
    <x v="8"/>
    <x v="0"/>
    <x v="8"/>
    <x v="8"/>
    <x v="8"/>
    <x v="4"/>
    <x v="4"/>
    <x v="0"/>
    <x v="0"/>
  </r>
  <r>
    <x v="0"/>
    <x v="83"/>
    <x v="83"/>
    <x v="83"/>
    <x v="1"/>
    <x v="8"/>
    <x v="8"/>
    <x v="0"/>
    <x v="8"/>
    <x v="0"/>
    <x v="8"/>
    <x v="8"/>
    <x v="8"/>
    <x v="4"/>
    <x v="4"/>
    <x v="0"/>
    <x v="0"/>
  </r>
  <r>
    <x v="0"/>
    <x v="84"/>
    <x v="84"/>
    <x v="84"/>
    <x v="1"/>
    <x v="8"/>
    <x v="8"/>
    <x v="0"/>
    <x v="8"/>
    <x v="0"/>
    <x v="8"/>
    <x v="8"/>
    <x v="8"/>
    <x v="4"/>
    <x v="4"/>
    <x v="0"/>
    <x v="0"/>
  </r>
  <r>
    <x v="2"/>
    <x v="85"/>
    <x v="85"/>
    <x v="85"/>
    <x v="1"/>
    <x v="8"/>
    <x v="8"/>
    <x v="0"/>
    <x v="8"/>
    <x v="0"/>
    <x v="8"/>
    <x v="8"/>
    <x v="8"/>
    <x v="4"/>
    <x v="4"/>
    <x v="0"/>
    <x v="0"/>
  </r>
  <r>
    <x v="1"/>
    <x v="86"/>
    <x v="86"/>
    <x v="86"/>
    <x v="1"/>
    <x v="8"/>
    <x v="8"/>
    <x v="0"/>
    <x v="8"/>
    <x v="0"/>
    <x v="8"/>
    <x v="8"/>
    <x v="8"/>
    <x v="4"/>
    <x v="4"/>
    <x v="0"/>
    <x v="0"/>
  </r>
  <r>
    <x v="0"/>
    <x v="87"/>
    <x v="87"/>
    <x v="87"/>
    <x v="1"/>
    <x v="8"/>
    <x v="8"/>
    <x v="0"/>
    <x v="8"/>
    <x v="0"/>
    <x v="8"/>
    <x v="8"/>
    <x v="8"/>
    <x v="4"/>
    <x v="4"/>
    <x v="0"/>
    <x v="0"/>
  </r>
  <r>
    <x v="2"/>
    <x v="88"/>
    <x v="88"/>
    <x v="88"/>
    <x v="1"/>
    <x v="8"/>
    <x v="8"/>
    <x v="0"/>
    <x v="8"/>
    <x v="0"/>
    <x v="8"/>
    <x v="8"/>
    <x v="8"/>
    <x v="4"/>
    <x v="4"/>
    <x v="0"/>
    <x v="0"/>
  </r>
  <r>
    <x v="2"/>
    <x v="89"/>
    <x v="89"/>
    <x v="89"/>
    <x v="1"/>
    <x v="8"/>
    <x v="8"/>
    <x v="0"/>
    <x v="8"/>
    <x v="0"/>
    <x v="8"/>
    <x v="8"/>
    <x v="8"/>
    <x v="4"/>
    <x v="4"/>
    <x v="0"/>
    <x v="0"/>
  </r>
  <r>
    <x v="0"/>
    <x v="90"/>
    <x v="90"/>
    <x v="90"/>
    <x v="1"/>
    <x v="8"/>
    <x v="8"/>
    <x v="0"/>
    <x v="8"/>
    <x v="0"/>
    <x v="8"/>
    <x v="8"/>
    <x v="8"/>
    <x v="4"/>
    <x v="4"/>
    <x v="0"/>
    <x v="0"/>
  </r>
  <r>
    <x v="0"/>
    <x v="91"/>
    <x v="91"/>
    <x v="91"/>
    <x v="1"/>
    <x v="8"/>
    <x v="8"/>
    <x v="0"/>
    <x v="8"/>
    <x v="0"/>
    <x v="8"/>
    <x v="8"/>
    <x v="8"/>
    <x v="4"/>
    <x v="4"/>
    <x v="0"/>
    <x v="0"/>
  </r>
  <r>
    <x v="2"/>
    <x v="92"/>
    <x v="92"/>
    <x v="92"/>
    <x v="0"/>
    <x v="32"/>
    <x v="32"/>
    <x v="0"/>
    <x v="31"/>
    <x v="0"/>
    <x v="31"/>
    <x v="29"/>
    <x v="32"/>
    <x v="26"/>
    <x v="27"/>
    <x v="9"/>
    <x v="9"/>
  </r>
  <r>
    <x v="0"/>
    <x v="93"/>
    <x v="93"/>
    <x v="93"/>
    <x v="1"/>
    <x v="8"/>
    <x v="8"/>
    <x v="0"/>
    <x v="8"/>
    <x v="0"/>
    <x v="8"/>
    <x v="8"/>
    <x v="8"/>
    <x v="4"/>
    <x v="4"/>
    <x v="0"/>
    <x v="0"/>
  </r>
  <r>
    <x v="2"/>
    <x v="94"/>
    <x v="94"/>
    <x v="94"/>
    <x v="0"/>
    <x v="33"/>
    <x v="33"/>
    <x v="0"/>
    <x v="32"/>
    <x v="0"/>
    <x v="32"/>
    <x v="30"/>
    <x v="33"/>
    <x v="27"/>
    <x v="28"/>
    <x v="0"/>
    <x v="0"/>
  </r>
  <r>
    <x v="0"/>
    <x v="95"/>
    <x v="95"/>
    <x v="95"/>
    <x v="0"/>
    <x v="31"/>
    <x v="34"/>
    <x v="0"/>
    <x v="33"/>
    <x v="0"/>
    <x v="33"/>
    <x v="31"/>
    <x v="34"/>
    <x v="4"/>
    <x v="4"/>
    <x v="0"/>
    <x v="0"/>
  </r>
  <r>
    <x v="2"/>
    <x v="96"/>
    <x v="96"/>
    <x v="96"/>
    <x v="1"/>
    <x v="8"/>
    <x v="8"/>
    <x v="0"/>
    <x v="8"/>
    <x v="0"/>
    <x v="8"/>
    <x v="8"/>
    <x v="8"/>
    <x v="4"/>
    <x v="4"/>
    <x v="0"/>
    <x v="0"/>
  </r>
  <r>
    <x v="2"/>
    <x v="97"/>
    <x v="97"/>
    <x v="97"/>
    <x v="1"/>
    <x v="8"/>
    <x v="8"/>
    <x v="0"/>
    <x v="8"/>
    <x v="0"/>
    <x v="8"/>
    <x v="8"/>
    <x v="8"/>
    <x v="4"/>
    <x v="4"/>
    <x v="0"/>
    <x v="0"/>
  </r>
  <r>
    <x v="2"/>
    <x v="98"/>
    <x v="98"/>
    <x v="98"/>
    <x v="0"/>
    <x v="34"/>
    <x v="35"/>
    <x v="0"/>
    <x v="34"/>
    <x v="0"/>
    <x v="34"/>
    <x v="15"/>
    <x v="35"/>
    <x v="8"/>
    <x v="8"/>
    <x v="0"/>
    <x v="0"/>
  </r>
  <r>
    <x v="2"/>
    <x v="99"/>
    <x v="99"/>
    <x v="99"/>
    <x v="0"/>
    <x v="35"/>
    <x v="36"/>
    <x v="0"/>
    <x v="35"/>
    <x v="0"/>
    <x v="35"/>
    <x v="32"/>
    <x v="36"/>
    <x v="4"/>
    <x v="4"/>
    <x v="0"/>
    <x v="0"/>
  </r>
  <r>
    <x v="2"/>
    <x v="100"/>
    <x v="100"/>
    <x v="100"/>
    <x v="0"/>
    <x v="36"/>
    <x v="37"/>
    <x v="4"/>
    <x v="36"/>
    <x v="4"/>
    <x v="36"/>
    <x v="33"/>
    <x v="37"/>
    <x v="28"/>
    <x v="29"/>
    <x v="10"/>
    <x v="10"/>
  </r>
  <r>
    <x v="2"/>
    <x v="101"/>
    <x v="101"/>
    <x v="101"/>
    <x v="1"/>
    <x v="8"/>
    <x v="8"/>
    <x v="0"/>
    <x v="8"/>
    <x v="0"/>
    <x v="8"/>
    <x v="8"/>
    <x v="8"/>
    <x v="4"/>
    <x v="4"/>
    <x v="0"/>
    <x v="0"/>
  </r>
  <r>
    <x v="0"/>
    <x v="102"/>
    <x v="102"/>
    <x v="102"/>
    <x v="1"/>
    <x v="8"/>
    <x v="8"/>
    <x v="0"/>
    <x v="8"/>
    <x v="0"/>
    <x v="8"/>
    <x v="8"/>
    <x v="8"/>
    <x v="4"/>
    <x v="4"/>
    <x v="0"/>
    <x v="0"/>
  </r>
  <r>
    <x v="2"/>
    <x v="103"/>
    <x v="103"/>
    <x v="103"/>
    <x v="0"/>
    <x v="37"/>
    <x v="38"/>
    <x v="0"/>
    <x v="37"/>
    <x v="0"/>
    <x v="37"/>
    <x v="34"/>
    <x v="38"/>
    <x v="29"/>
    <x v="30"/>
    <x v="11"/>
    <x v="11"/>
  </r>
  <r>
    <x v="2"/>
    <x v="104"/>
    <x v="104"/>
    <x v="104"/>
    <x v="1"/>
    <x v="8"/>
    <x v="8"/>
    <x v="0"/>
    <x v="8"/>
    <x v="0"/>
    <x v="8"/>
    <x v="8"/>
    <x v="8"/>
    <x v="4"/>
    <x v="4"/>
    <x v="0"/>
    <x v="0"/>
  </r>
  <r>
    <x v="0"/>
    <x v="105"/>
    <x v="105"/>
    <x v="105"/>
    <x v="1"/>
    <x v="8"/>
    <x v="8"/>
    <x v="0"/>
    <x v="8"/>
    <x v="0"/>
    <x v="8"/>
    <x v="8"/>
    <x v="8"/>
    <x v="4"/>
    <x v="4"/>
    <x v="0"/>
    <x v="0"/>
  </r>
  <r>
    <x v="1"/>
    <x v="106"/>
    <x v="106"/>
    <x v="106"/>
    <x v="0"/>
    <x v="38"/>
    <x v="39"/>
    <x v="0"/>
    <x v="38"/>
    <x v="0"/>
    <x v="38"/>
    <x v="35"/>
    <x v="39"/>
    <x v="30"/>
    <x v="31"/>
    <x v="0"/>
    <x v="0"/>
  </r>
  <r>
    <x v="2"/>
    <x v="107"/>
    <x v="107"/>
    <x v="107"/>
    <x v="0"/>
    <x v="39"/>
    <x v="40"/>
    <x v="3"/>
    <x v="39"/>
    <x v="3"/>
    <x v="39"/>
    <x v="36"/>
    <x v="40"/>
    <x v="31"/>
    <x v="32"/>
    <x v="12"/>
    <x v="12"/>
  </r>
  <r>
    <x v="0"/>
    <x v="108"/>
    <x v="108"/>
    <x v="108"/>
    <x v="1"/>
    <x v="8"/>
    <x v="8"/>
    <x v="0"/>
    <x v="8"/>
    <x v="0"/>
    <x v="8"/>
    <x v="8"/>
    <x v="8"/>
    <x v="4"/>
    <x v="4"/>
    <x v="0"/>
    <x v="0"/>
  </r>
  <r>
    <x v="2"/>
    <x v="109"/>
    <x v="109"/>
    <x v="109"/>
    <x v="1"/>
    <x v="8"/>
    <x v="8"/>
    <x v="0"/>
    <x v="8"/>
    <x v="0"/>
    <x v="8"/>
    <x v="8"/>
    <x v="8"/>
    <x v="4"/>
    <x v="4"/>
    <x v="0"/>
    <x v="0"/>
  </r>
  <r>
    <x v="2"/>
    <x v="110"/>
    <x v="110"/>
    <x v="110"/>
    <x v="0"/>
    <x v="40"/>
    <x v="41"/>
    <x v="0"/>
    <x v="40"/>
    <x v="0"/>
    <x v="40"/>
    <x v="37"/>
    <x v="41"/>
    <x v="32"/>
    <x v="33"/>
    <x v="13"/>
    <x v="13"/>
  </r>
  <r>
    <x v="2"/>
    <x v="111"/>
    <x v="111"/>
    <x v="111"/>
    <x v="0"/>
    <x v="41"/>
    <x v="42"/>
    <x v="0"/>
    <x v="41"/>
    <x v="0"/>
    <x v="41"/>
    <x v="38"/>
    <x v="42"/>
    <x v="33"/>
    <x v="34"/>
    <x v="14"/>
    <x v="14"/>
  </r>
  <r>
    <x v="2"/>
    <x v="112"/>
    <x v="112"/>
    <x v="112"/>
    <x v="1"/>
    <x v="8"/>
    <x v="8"/>
    <x v="0"/>
    <x v="8"/>
    <x v="0"/>
    <x v="8"/>
    <x v="8"/>
    <x v="8"/>
    <x v="4"/>
    <x v="4"/>
    <x v="0"/>
    <x v="0"/>
  </r>
  <r>
    <x v="0"/>
    <x v="113"/>
    <x v="113"/>
    <x v="113"/>
    <x v="1"/>
    <x v="8"/>
    <x v="8"/>
    <x v="0"/>
    <x v="8"/>
    <x v="0"/>
    <x v="8"/>
    <x v="8"/>
    <x v="8"/>
    <x v="4"/>
    <x v="4"/>
    <x v="0"/>
    <x v="0"/>
  </r>
  <r>
    <x v="2"/>
    <x v="114"/>
    <x v="114"/>
    <x v="114"/>
    <x v="0"/>
    <x v="42"/>
    <x v="43"/>
    <x v="5"/>
    <x v="42"/>
    <x v="5"/>
    <x v="42"/>
    <x v="39"/>
    <x v="43"/>
    <x v="34"/>
    <x v="35"/>
    <x v="15"/>
    <x v="15"/>
  </r>
  <r>
    <x v="0"/>
    <x v="115"/>
    <x v="115"/>
    <x v="115"/>
    <x v="1"/>
    <x v="8"/>
    <x v="8"/>
    <x v="0"/>
    <x v="8"/>
    <x v="0"/>
    <x v="8"/>
    <x v="8"/>
    <x v="8"/>
    <x v="4"/>
    <x v="4"/>
    <x v="0"/>
    <x v="0"/>
  </r>
  <r>
    <x v="0"/>
    <x v="116"/>
    <x v="116"/>
    <x v="116"/>
    <x v="1"/>
    <x v="8"/>
    <x v="8"/>
    <x v="0"/>
    <x v="8"/>
    <x v="0"/>
    <x v="8"/>
    <x v="8"/>
    <x v="8"/>
    <x v="4"/>
    <x v="4"/>
    <x v="0"/>
    <x v="0"/>
  </r>
  <r>
    <x v="2"/>
    <x v="117"/>
    <x v="117"/>
    <x v="117"/>
    <x v="1"/>
    <x v="8"/>
    <x v="8"/>
    <x v="0"/>
    <x v="8"/>
    <x v="0"/>
    <x v="8"/>
    <x v="8"/>
    <x v="8"/>
    <x v="4"/>
    <x v="4"/>
    <x v="0"/>
    <x v="0"/>
  </r>
  <r>
    <x v="2"/>
    <x v="118"/>
    <x v="118"/>
    <x v="118"/>
    <x v="1"/>
    <x v="8"/>
    <x v="8"/>
    <x v="0"/>
    <x v="8"/>
    <x v="0"/>
    <x v="8"/>
    <x v="8"/>
    <x v="8"/>
    <x v="4"/>
    <x v="4"/>
    <x v="0"/>
    <x v="0"/>
  </r>
  <r>
    <x v="0"/>
    <x v="119"/>
    <x v="119"/>
    <x v="119"/>
    <x v="1"/>
    <x v="8"/>
    <x v="8"/>
    <x v="0"/>
    <x v="8"/>
    <x v="0"/>
    <x v="8"/>
    <x v="8"/>
    <x v="8"/>
    <x v="4"/>
    <x v="4"/>
    <x v="0"/>
    <x v="0"/>
  </r>
  <r>
    <x v="1"/>
    <x v="120"/>
    <x v="120"/>
    <x v="120"/>
    <x v="0"/>
    <x v="43"/>
    <x v="44"/>
    <x v="6"/>
    <x v="43"/>
    <x v="6"/>
    <x v="43"/>
    <x v="40"/>
    <x v="44"/>
    <x v="35"/>
    <x v="36"/>
    <x v="16"/>
    <x v="16"/>
  </r>
  <r>
    <x v="2"/>
    <x v="121"/>
    <x v="121"/>
    <x v="121"/>
    <x v="0"/>
    <x v="44"/>
    <x v="45"/>
    <x v="0"/>
    <x v="44"/>
    <x v="0"/>
    <x v="44"/>
    <x v="41"/>
    <x v="45"/>
    <x v="36"/>
    <x v="37"/>
    <x v="17"/>
    <x v="17"/>
  </r>
  <r>
    <x v="1"/>
    <x v="122"/>
    <x v="122"/>
    <x v="122"/>
    <x v="0"/>
    <x v="45"/>
    <x v="46"/>
    <x v="0"/>
    <x v="45"/>
    <x v="0"/>
    <x v="45"/>
    <x v="42"/>
    <x v="46"/>
    <x v="4"/>
    <x v="4"/>
    <x v="0"/>
    <x v="0"/>
  </r>
  <r>
    <x v="0"/>
    <x v="123"/>
    <x v="123"/>
    <x v="123"/>
    <x v="1"/>
    <x v="8"/>
    <x v="8"/>
    <x v="0"/>
    <x v="8"/>
    <x v="0"/>
    <x v="8"/>
    <x v="8"/>
    <x v="8"/>
    <x v="4"/>
    <x v="4"/>
    <x v="0"/>
    <x v="0"/>
  </r>
  <r>
    <x v="2"/>
    <x v="124"/>
    <x v="124"/>
    <x v="124"/>
    <x v="1"/>
    <x v="8"/>
    <x v="8"/>
    <x v="0"/>
    <x v="8"/>
    <x v="0"/>
    <x v="8"/>
    <x v="8"/>
    <x v="8"/>
    <x v="4"/>
    <x v="4"/>
    <x v="0"/>
    <x v="0"/>
  </r>
  <r>
    <x v="2"/>
    <x v="125"/>
    <x v="125"/>
    <x v="125"/>
    <x v="0"/>
    <x v="46"/>
    <x v="47"/>
    <x v="0"/>
    <x v="46"/>
    <x v="0"/>
    <x v="46"/>
    <x v="43"/>
    <x v="47"/>
    <x v="37"/>
    <x v="38"/>
    <x v="0"/>
    <x v="0"/>
  </r>
  <r>
    <x v="0"/>
    <x v="126"/>
    <x v="126"/>
    <x v="126"/>
    <x v="0"/>
    <x v="47"/>
    <x v="48"/>
    <x v="0"/>
    <x v="47"/>
    <x v="0"/>
    <x v="47"/>
    <x v="44"/>
    <x v="48"/>
    <x v="38"/>
    <x v="39"/>
    <x v="0"/>
    <x v="0"/>
  </r>
  <r>
    <x v="2"/>
    <x v="127"/>
    <x v="127"/>
    <x v="127"/>
    <x v="1"/>
    <x v="8"/>
    <x v="8"/>
    <x v="0"/>
    <x v="8"/>
    <x v="0"/>
    <x v="8"/>
    <x v="8"/>
    <x v="8"/>
    <x v="4"/>
    <x v="4"/>
    <x v="0"/>
    <x v="0"/>
  </r>
  <r>
    <x v="2"/>
    <x v="128"/>
    <x v="128"/>
    <x v="128"/>
    <x v="1"/>
    <x v="8"/>
    <x v="8"/>
    <x v="0"/>
    <x v="8"/>
    <x v="0"/>
    <x v="8"/>
    <x v="8"/>
    <x v="8"/>
    <x v="4"/>
    <x v="4"/>
    <x v="0"/>
    <x v="0"/>
  </r>
  <r>
    <x v="0"/>
    <x v="129"/>
    <x v="129"/>
    <x v="129"/>
    <x v="1"/>
    <x v="8"/>
    <x v="8"/>
    <x v="0"/>
    <x v="8"/>
    <x v="0"/>
    <x v="8"/>
    <x v="8"/>
    <x v="8"/>
    <x v="4"/>
    <x v="4"/>
    <x v="0"/>
    <x v="0"/>
  </r>
  <r>
    <x v="2"/>
    <x v="130"/>
    <x v="130"/>
    <x v="130"/>
    <x v="1"/>
    <x v="8"/>
    <x v="8"/>
    <x v="0"/>
    <x v="8"/>
    <x v="0"/>
    <x v="8"/>
    <x v="8"/>
    <x v="8"/>
    <x v="4"/>
    <x v="4"/>
    <x v="0"/>
    <x v="0"/>
  </r>
  <r>
    <x v="0"/>
    <x v="131"/>
    <x v="131"/>
    <x v="131"/>
    <x v="1"/>
    <x v="8"/>
    <x v="8"/>
    <x v="0"/>
    <x v="8"/>
    <x v="0"/>
    <x v="8"/>
    <x v="8"/>
    <x v="8"/>
    <x v="4"/>
    <x v="4"/>
    <x v="0"/>
    <x v="0"/>
  </r>
  <r>
    <x v="2"/>
    <x v="132"/>
    <x v="132"/>
    <x v="132"/>
    <x v="1"/>
    <x v="8"/>
    <x v="8"/>
    <x v="0"/>
    <x v="8"/>
    <x v="0"/>
    <x v="8"/>
    <x v="8"/>
    <x v="8"/>
    <x v="4"/>
    <x v="4"/>
    <x v="0"/>
    <x v="0"/>
  </r>
  <r>
    <x v="0"/>
    <x v="133"/>
    <x v="133"/>
    <x v="133"/>
    <x v="1"/>
    <x v="8"/>
    <x v="8"/>
    <x v="0"/>
    <x v="8"/>
    <x v="0"/>
    <x v="8"/>
    <x v="8"/>
    <x v="8"/>
    <x v="4"/>
    <x v="4"/>
    <x v="0"/>
    <x v="0"/>
  </r>
  <r>
    <x v="1"/>
    <x v="134"/>
    <x v="134"/>
    <x v="134"/>
    <x v="0"/>
    <x v="48"/>
    <x v="49"/>
    <x v="0"/>
    <x v="48"/>
    <x v="0"/>
    <x v="48"/>
    <x v="45"/>
    <x v="49"/>
    <x v="39"/>
    <x v="40"/>
    <x v="0"/>
    <x v="0"/>
  </r>
  <r>
    <x v="0"/>
    <x v="135"/>
    <x v="135"/>
    <x v="135"/>
    <x v="1"/>
    <x v="8"/>
    <x v="8"/>
    <x v="0"/>
    <x v="8"/>
    <x v="0"/>
    <x v="8"/>
    <x v="8"/>
    <x v="8"/>
    <x v="4"/>
    <x v="4"/>
    <x v="0"/>
    <x v="0"/>
  </r>
  <r>
    <x v="0"/>
    <x v="136"/>
    <x v="136"/>
    <x v="136"/>
    <x v="1"/>
    <x v="8"/>
    <x v="8"/>
    <x v="0"/>
    <x v="8"/>
    <x v="0"/>
    <x v="8"/>
    <x v="8"/>
    <x v="8"/>
    <x v="4"/>
    <x v="4"/>
    <x v="0"/>
    <x v="0"/>
  </r>
  <r>
    <x v="0"/>
    <x v="137"/>
    <x v="137"/>
    <x v="137"/>
    <x v="1"/>
    <x v="8"/>
    <x v="8"/>
    <x v="0"/>
    <x v="8"/>
    <x v="0"/>
    <x v="8"/>
    <x v="8"/>
    <x v="8"/>
    <x v="4"/>
    <x v="4"/>
    <x v="0"/>
    <x v="0"/>
  </r>
  <r>
    <x v="2"/>
    <x v="138"/>
    <x v="138"/>
    <x v="138"/>
    <x v="1"/>
    <x v="8"/>
    <x v="8"/>
    <x v="0"/>
    <x v="8"/>
    <x v="0"/>
    <x v="8"/>
    <x v="8"/>
    <x v="8"/>
    <x v="4"/>
    <x v="4"/>
    <x v="0"/>
    <x v="0"/>
  </r>
  <r>
    <x v="0"/>
    <x v="139"/>
    <x v="139"/>
    <x v="139"/>
    <x v="0"/>
    <x v="49"/>
    <x v="50"/>
    <x v="0"/>
    <x v="49"/>
    <x v="0"/>
    <x v="49"/>
    <x v="46"/>
    <x v="50"/>
    <x v="40"/>
    <x v="41"/>
    <x v="0"/>
    <x v="0"/>
  </r>
  <r>
    <x v="2"/>
    <x v="140"/>
    <x v="140"/>
    <x v="140"/>
    <x v="0"/>
    <x v="50"/>
    <x v="51"/>
    <x v="0"/>
    <x v="50"/>
    <x v="0"/>
    <x v="50"/>
    <x v="47"/>
    <x v="51"/>
    <x v="41"/>
    <x v="42"/>
    <x v="0"/>
    <x v="0"/>
  </r>
  <r>
    <x v="2"/>
    <x v="141"/>
    <x v="141"/>
    <x v="141"/>
    <x v="1"/>
    <x v="8"/>
    <x v="8"/>
    <x v="0"/>
    <x v="8"/>
    <x v="0"/>
    <x v="8"/>
    <x v="8"/>
    <x v="8"/>
    <x v="4"/>
    <x v="4"/>
    <x v="0"/>
    <x v="0"/>
  </r>
  <r>
    <x v="0"/>
    <x v="142"/>
    <x v="142"/>
    <x v="142"/>
    <x v="1"/>
    <x v="8"/>
    <x v="8"/>
    <x v="0"/>
    <x v="8"/>
    <x v="0"/>
    <x v="8"/>
    <x v="8"/>
    <x v="8"/>
    <x v="4"/>
    <x v="4"/>
    <x v="0"/>
    <x v="0"/>
  </r>
  <r>
    <x v="0"/>
    <x v="143"/>
    <x v="143"/>
    <x v="143"/>
    <x v="0"/>
    <x v="51"/>
    <x v="52"/>
    <x v="0"/>
    <x v="51"/>
    <x v="0"/>
    <x v="51"/>
    <x v="48"/>
    <x v="52"/>
    <x v="14"/>
    <x v="15"/>
    <x v="18"/>
    <x v="18"/>
  </r>
  <r>
    <x v="1"/>
    <x v="144"/>
    <x v="144"/>
    <x v="144"/>
    <x v="1"/>
    <x v="8"/>
    <x v="8"/>
    <x v="0"/>
    <x v="8"/>
    <x v="0"/>
    <x v="8"/>
    <x v="8"/>
    <x v="8"/>
    <x v="4"/>
    <x v="4"/>
    <x v="0"/>
    <x v="0"/>
  </r>
  <r>
    <x v="0"/>
    <x v="145"/>
    <x v="145"/>
    <x v="145"/>
    <x v="0"/>
    <x v="8"/>
    <x v="8"/>
    <x v="0"/>
    <x v="8"/>
    <x v="0"/>
    <x v="8"/>
    <x v="8"/>
    <x v="8"/>
    <x v="42"/>
    <x v="43"/>
    <x v="0"/>
    <x v="0"/>
  </r>
  <r>
    <x v="2"/>
    <x v="146"/>
    <x v="146"/>
    <x v="146"/>
    <x v="0"/>
    <x v="52"/>
    <x v="53"/>
    <x v="7"/>
    <x v="52"/>
    <x v="7"/>
    <x v="52"/>
    <x v="49"/>
    <x v="53"/>
    <x v="43"/>
    <x v="44"/>
    <x v="19"/>
    <x v="19"/>
  </r>
  <r>
    <x v="0"/>
    <x v="147"/>
    <x v="147"/>
    <x v="147"/>
    <x v="1"/>
    <x v="8"/>
    <x v="8"/>
    <x v="0"/>
    <x v="8"/>
    <x v="0"/>
    <x v="8"/>
    <x v="8"/>
    <x v="8"/>
    <x v="4"/>
    <x v="4"/>
    <x v="0"/>
    <x v="0"/>
  </r>
  <r>
    <x v="0"/>
    <x v="148"/>
    <x v="148"/>
    <x v="148"/>
    <x v="1"/>
    <x v="8"/>
    <x v="8"/>
    <x v="0"/>
    <x v="8"/>
    <x v="0"/>
    <x v="8"/>
    <x v="8"/>
    <x v="8"/>
    <x v="4"/>
    <x v="4"/>
    <x v="0"/>
    <x v="0"/>
  </r>
  <r>
    <x v="0"/>
    <x v="149"/>
    <x v="149"/>
    <x v="149"/>
    <x v="1"/>
    <x v="8"/>
    <x v="8"/>
    <x v="0"/>
    <x v="8"/>
    <x v="0"/>
    <x v="8"/>
    <x v="8"/>
    <x v="8"/>
    <x v="4"/>
    <x v="4"/>
    <x v="0"/>
    <x v="0"/>
  </r>
  <r>
    <x v="0"/>
    <x v="150"/>
    <x v="150"/>
    <x v="150"/>
    <x v="1"/>
    <x v="8"/>
    <x v="8"/>
    <x v="0"/>
    <x v="8"/>
    <x v="0"/>
    <x v="8"/>
    <x v="8"/>
    <x v="8"/>
    <x v="4"/>
    <x v="4"/>
    <x v="0"/>
    <x v="0"/>
  </r>
  <r>
    <x v="1"/>
    <x v="151"/>
    <x v="151"/>
    <x v="151"/>
    <x v="0"/>
    <x v="53"/>
    <x v="54"/>
    <x v="8"/>
    <x v="8"/>
    <x v="8"/>
    <x v="8"/>
    <x v="50"/>
    <x v="54"/>
    <x v="0"/>
    <x v="0"/>
    <x v="0"/>
    <x v="0"/>
  </r>
  <r>
    <x v="2"/>
    <x v="152"/>
    <x v="152"/>
    <x v="152"/>
    <x v="1"/>
    <x v="8"/>
    <x v="8"/>
    <x v="0"/>
    <x v="8"/>
    <x v="0"/>
    <x v="8"/>
    <x v="8"/>
    <x v="8"/>
    <x v="4"/>
    <x v="4"/>
    <x v="0"/>
    <x v="0"/>
  </r>
  <r>
    <x v="0"/>
    <x v="153"/>
    <x v="153"/>
    <x v="153"/>
    <x v="1"/>
    <x v="8"/>
    <x v="8"/>
    <x v="0"/>
    <x v="8"/>
    <x v="0"/>
    <x v="8"/>
    <x v="8"/>
    <x v="8"/>
    <x v="4"/>
    <x v="4"/>
    <x v="0"/>
    <x v="0"/>
  </r>
  <r>
    <x v="2"/>
    <x v="154"/>
    <x v="154"/>
    <x v="154"/>
    <x v="1"/>
    <x v="8"/>
    <x v="8"/>
    <x v="0"/>
    <x v="8"/>
    <x v="0"/>
    <x v="8"/>
    <x v="8"/>
    <x v="8"/>
    <x v="4"/>
    <x v="4"/>
    <x v="0"/>
    <x v="0"/>
  </r>
  <r>
    <x v="2"/>
    <x v="155"/>
    <x v="155"/>
    <x v="155"/>
    <x v="1"/>
    <x v="8"/>
    <x v="8"/>
    <x v="0"/>
    <x v="8"/>
    <x v="0"/>
    <x v="8"/>
    <x v="8"/>
    <x v="8"/>
    <x v="4"/>
    <x v="4"/>
    <x v="0"/>
    <x v="0"/>
  </r>
  <r>
    <x v="2"/>
    <x v="156"/>
    <x v="156"/>
    <x v="156"/>
    <x v="0"/>
    <x v="54"/>
    <x v="55"/>
    <x v="0"/>
    <x v="53"/>
    <x v="0"/>
    <x v="53"/>
    <x v="51"/>
    <x v="55"/>
    <x v="44"/>
    <x v="45"/>
    <x v="0"/>
    <x v="0"/>
  </r>
  <r>
    <x v="0"/>
    <x v="157"/>
    <x v="157"/>
    <x v="157"/>
    <x v="1"/>
    <x v="8"/>
    <x v="8"/>
    <x v="0"/>
    <x v="8"/>
    <x v="0"/>
    <x v="8"/>
    <x v="8"/>
    <x v="8"/>
    <x v="4"/>
    <x v="4"/>
    <x v="0"/>
    <x v="0"/>
  </r>
  <r>
    <x v="2"/>
    <x v="158"/>
    <x v="158"/>
    <x v="158"/>
    <x v="1"/>
    <x v="8"/>
    <x v="8"/>
    <x v="0"/>
    <x v="8"/>
    <x v="0"/>
    <x v="8"/>
    <x v="8"/>
    <x v="8"/>
    <x v="4"/>
    <x v="4"/>
    <x v="0"/>
    <x v="0"/>
  </r>
  <r>
    <x v="2"/>
    <x v="159"/>
    <x v="159"/>
    <x v="159"/>
    <x v="1"/>
    <x v="8"/>
    <x v="8"/>
    <x v="0"/>
    <x v="8"/>
    <x v="0"/>
    <x v="8"/>
    <x v="8"/>
    <x v="8"/>
    <x v="4"/>
    <x v="4"/>
    <x v="0"/>
    <x v="0"/>
  </r>
  <r>
    <x v="0"/>
    <x v="160"/>
    <x v="160"/>
    <x v="160"/>
    <x v="1"/>
    <x v="8"/>
    <x v="8"/>
    <x v="0"/>
    <x v="8"/>
    <x v="0"/>
    <x v="8"/>
    <x v="8"/>
    <x v="8"/>
    <x v="4"/>
    <x v="4"/>
    <x v="0"/>
    <x v="0"/>
  </r>
  <r>
    <x v="2"/>
    <x v="161"/>
    <x v="161"/>
    <x v="161"/>
    <x v="0"/>
    <x v="55"/>
    <x v="56"/>
    <x v="0"/>
    <x v="54"/>
    <x v="0"/>
    <x v="54"/>
    <x v="52"/>
    <x v="56"/>
    <x v="45"/>
    <x v="46"/>
    <x v="20"/>
    <x v="20"/>
  </r>
  <r>
    <x v="0"/>
    <x v="162"/>
    <x v="162"/>
    <x v="162"/>
    <x v="0"/>
    <x v="56"/>
    <x v="57"/>
    <x v="0"/>
    <x v="55"/>
    <x v="0"/>
    <x v="55"/>
    <x v="53"/>
    <x v="57"/>
    <x v="46"/>
    <x v="47"/>
    <x v="6"/>
    <x v="6"/>
  </r>
  <r>
    <x v="2"/>
    <x v="163"/>
    <x v="163"/>
    <x v="163"/>
    <x v="1"/>
    <x v="8"/>
    <x v="8"/>
    <x v="0"/>
    <x v="8"/>
    <x v="0"/>
    <x v="8"/>
    <x v="8"/>
    <x v="8"/>
    <x v="4"/>
    <x v="4"/>
    <x v="0"/>
    <x v="0"/>
  </r>
  <r>
    <x v="2"/>
    <x v="164"/>
    <x v="164"/>
    <x v="164"/>
    <x v="1"/>
    <x v="8"/>
    <x v="8"/>
    <x v="0"/>
    <x v="8"/>
    <x v="0"/>
    <x v="8"/>
    <x v="8"/>
    <x v="8"/>
    <x v="4"/>
    <x v="4"/>
    <x v="0"/>
    <x v="0"/>
  </r>
  <r>
    <x v="0"/>
    <x v="165"/>
    <x v="165"/>
    <x v="165"/>
    <x v="1"/>
    <x v="8"/>
    <x v="8"/>
    <x v="0"/>
    <x v="8"/>
    <x v="0"/>
    <x v="8"/>
    <x v="8"/>
    <x v="8"/>
    <x v="4"/>
    <x v="4"/>
    <x v="0"/>
    <x v="0"/>
  </r>
  <r>
    <x v="1"/>
    <x v="166"/>
    <x v="166"/>
    <x v="166"/>
    <x v="0"/>
    <x v="57"/>
    <x v="58"/>
    <x v="0"/>
    <x v="56"/>
    <x v="0"/>
    <x v="56"/>
    <x v="54"/>
    <x v="58"/>
    <x v="47"/>
    <x v="48"/>
    <x v="21"/>
    <x v="21"/>
  </r>
  <r>
    <x v="0"/>
    <x v="167"/>
    <x v="167"/>
    <x v="167"/>
    <x v="0"/>
    <x v="58"/>
    <x v="59"/>
    <x v="0"/>
    <x v="57"/>
    <x v="0"/>
    <x v="57"/>
    <x v="55"/>
    <x v="59"/>
    <x v="48"/>
    <x v="49"/>
    <x v="0"/>
    <x v="0"/>
  </r>
  <r>
    <x v="2"/>
    <x v="168"/>
    <x v="168"/>
    <x v="168"/>
    <x v="1"/>
    <x v="8"/>
    <x v="8"/>
    <x v="0"/>
    <x v="8"/>
    <x v="0"/>
    <x v="8"/>
    <x v="8"/>
    <x v="8"/>
    <x v="4"/>
    <x v="4"/>
    <x v="0"/>
    <x v="0"/>
  </r>
  <r>
    <x v="1"/>
    <x v="169"/>
    <x v="169"/>
    <x v="169"/>
    <x v="0"/>
    <x v="59"/>
    <x v="60"/>
    <x v="9"/>
    <x v="58"/>
    <x v="9"/>
    <x v="58"/>
    <x v="56"/>
    <x v="60"/>
    <x v="49"/>
    <x v="50"/>
    <x v="0"/>
    <x v="0"/>
  </r>
  <r>
    <x v="0"/>
    <x v="170"/>
    <x v="170"/>
    <x v="170"/>
    <x v="1"/>
    <x v="8"/>
    <x v="8"/>
    <x v="0"/>
    <x v="8"/>
    <x v="0"/>
    <x v="8"/>
    <x v="8"/>
    <x v="8"/>
    <x v="4"/>
    <x v="4"/>
    <x v="0"/>
    <x v="0"/>
  </r>
  <r>
    <x v="2"/>
    <x v="171"/>
    <x v="171"/>
    <x v="171"/>
    <x v="1"/>
    <x v="8"/>
    <x v="8"/>
    <x v="0"/>
    <x v="8"/>
    <x v="0"/>
    <x v="8"/>
    <x v="8"/>
    <x v="8"/>
    <x v="4"/>
    <x v="4"/>
    <x v="0"/>
    <x v="0"/>
  </r>
  <r>
    <x v="0"/>
    <x v="172"/>
    <x v="172"/>
    <x v="172"/>
    <x v="1"/>
    <x v="8"/>
    <x v="8"/>
    <x v="0"/>
    <x v="8"/>
    <x v="0"/>
    <x v="8"/>
    <x v="8"/>
    <x v="8"/>
    <x v="4"/>
    <x v="4"/>
    <x v="0"/>
    <x v="0"/>
  </r>
  <r>
    <x v="2"/>
    <x v="173"/>
    <x v="173"/>
    <x v="173"/>
    <x v="0"/>
    <x v="60"/>
    <x v="61"/>
    <x v="0"/>
    <x v="59"/>
    <x v="0"/>
    <x v="59"/>
    <x v="57"/>
    <x v="61"/>
    <x v="50"/>
    <x v="51"/>
    <x v="22"/>
    <x v="22"/>
  </r>
  <r>
    <x v="2"/>
    <x v="174"/>
    <x v="174"/>
    <x v="174"/>
    <x v="0"/>
    <x v="61"/>
    <x v="62"/>
    <x v="0"/>
    <x v="60"/>
    <x v="0"/>
    <x v="60"/>
    <x v="58"/>
    <x v="62"/>
    <x v="15"/>
    <x v="52"/>
    <x v="23"/>
    <x v="23"/>
  </r>
  <r>
    <x v="0"/>
    <x v="175"/>
    <x v="175"/>
    <x v="175"/>
    <x v="1"/>
    <x v="8"/>
    <x v="8"/>
    <x v="0"/>
    <x v="8"/>
    <x v="0"/>
    <x v="8"/>
    <x v="8"/>
    <x v="8"/>
    <x v="4"/>
    <x v="4"/>
    <x v="0"/>
    <x v="0"/>
  </r>
  <r>
    <x v="1"/>
    <x v="176"/>
    <x v="176"/>
    <x v="176"/>
    <x v="1"/>
    <x v="8"/>
    <x v="8"/>
    <x v="0"/>
    <x v="8"/>
    <x v="0"/>
    <x v="8"/>
    <x v="8"/>
    <x v="8"/>
    <x v="4"/>
    <x v="4"/>
    <x v="0"/>
    <x v="0"/>
  </r>
  <r>
    <x v="0"/>
    <x v="177"/>
    <x v="177"/>
    <x v="177"/>
    <x v="1"/>
    <x v="8"/>
    <x v="8"/>
    <x v="0"/>
    <x v="8"/>
    <x v="0"/>
    <x v="8"/>
    <x v="8"/>
    <x v="8"/>
    <x v="4"/>
    <x v="4"/>
    <x v="0"/>
    <x v="0"/>
  </r>
  <r>
    <x v="0"/>
    <x v="178"/>
    <x v="178"/>
    <x v="178"/>
    <x v="1"/>
    <x v="8"/>
    <x v="8"/>
    <x v="0"/>
    <x v="8"/>
    <x v="0"/>
    <x v="8"/>
    <x v="8"/>
    <x v="8"/>
    <x v="4"/>
    <x v="4"/>
    <x v="0"/>
    <x v="0"/>
  </r>
  <r>
    <x v="0"/>
    <x v="179"/>
    <x v="179"/>
    <x v="179"/>
    <x v="1"/>
    <x v="8"/>
    <x v="8"/>
    <x v="0"/>
    <x v="8"/>
    <x v="0"/>
    <x v="8"/>
    <x v="8"/>
    <x v="8"/>
    <x v="4"/>
    <x v="4"/>
    <x v="0"/>
    <x v="0"/>
  </r>
  <r>
    <x v="0"/>
    <x v="180"/>
    <x v="180"/>
    <x v="180"/>
    <x v="1"/>
    <x v="8"/>
    <x v="8"/>
    <x v="0"/>
    <x v="8"/>
    <x v="0"/>
    <x v="8"/>
    <x v="8"/>
    <x v="8"/>
    <x v="4"/>
    <x v="4"/>
    <x v="0"/>
    <x v="0"/>
  </r>
  <r>
    <x v="2"/>
    <x v="181"/>
    <x v="181"/>
    <x v="181"/>
    <x v="0"/>
    <x v="62"/>
    <x v="63"/>
    <x v="10"/>
    <x v="61"/>
    <x v="10"/>
    <x v="61"/>
    <x v="59"/>
    <x v="63"/>
    <x v="51"/>
    <x v="53"/>
    <x v="0"/>
    <x v="0"/>
  </r>
  <r>
    <x v="2"/>
    <x v="182"/>
    <x v="182"/>
    <x v="182"/>
    <x v="0"/>
    <x v="63"/>
    <x v="64"/>
    <x v="0"/>
    <x v="62"/>
    <x v="0"/>
    <x v="62"/>
    <x v="60"/>
    <x v="64"/>
    <x v="52"/>
    <x v="54"/>
    <x v="0"/>
    <x v="0"/>
  </r>
  <r>
    <x v="0"/>
    <x v="183"/>
    <x v="183"/>
    <x v="183"/>
    <x v="0"/>
    <x v="46"/>
    <x v="65"/>
    <x v="0"/>
    <x v="63"/>
    <x v="0"/>
    <x v="63"/>
    <x v="61"/>
    <x v="65"/>
    <x v="8"/>
    <x v="8"/>
    <x v="0"/>
    <x v="0"/>
  </r>
  <r>
    <x v="1"/>
    <x v="184"/>
    <x v="184"/>
    <x v="184"/>
    <x v="1"/>
    <x v="8"/>
    <x v="8"/>
    <x v="0"/>
    <x v="8"/>
    <x v="0"/>
    <x v="8"/>
    <x v="8"/>
    <x v="8"/>
    <x v="4"/>
    <x v="4"/>
    <x v="0"/>
    <x v="0"/>
  </r>
  <r>
    <x v="2"/>
    <x v="185"/>
    <x v="185"/>
    <x v="185"/>
    <x v="0"/>
    <x v="64"/>
    <x v="66"/>
    <x v="0"/>
    <x v="64"/>
    <x v="0"/>
    <x v="64"/>
    <x v="62"/>
    <x v="66"/>
    <x v="53"/>
    <x v="55"/>
    <x v="0"/>
    <x v="0"/>
  </r>
  <r>
    <x v="2"/>
    <x v="186"/>
    <x v="186"/>
    <x v="186"/>
    <x v="0"/>
    <x v="65"/>
    <x v="67"/>
    <x v="0"/>
    <x v="65"/>
    <x v="0"/>
    <x v="65"/>
    <x v="63"/>
    <x v="67"/>
    <x v="54"/>
    <x v="56"/>
    <x v="24"/>
    <x v="24"/>
  </r>
  <r>
    <x v="0"/>
    <x v="187"/>
    <x v="187"/>
    <x v="187"/>
    <x v="1"/>
    <x v="8"/>
    <x v="8"/>
    <x v="0"/>
    <x v="8"/>
    <x v="0"/>
    <x v="8"/>
    <x v="8"/>
    <x v="8"/>
    <x v="4"/>
    <x v="4"/>
    <x v="0"/>
    <x v="0"/>
  </r>
  <r>
    <x v="2"/>
    <x v="188"/>
    <x v="188"/>
    <x v="188"/>
    <x v="1"/>
    <x v="8"/>
    <x v="8"/>
    <x v="0"/>
    <x v="8"/>
    <x v="0"/>
    <x v="8"/>
    <x v="8"/>
    <x v="8"/>
    <x v="4"/>
    <x v="4"/>
    <x v="0"/>
    <x v="0"/>
  </r>
  <r>
    <x v="0"/>
    <x v="189"/>
    <x v="189"/>
    <x v="189"/>
    <x v="1"/>
    <x v="8"/>
    <x v="8"/>
    <x v="0"/>
    <x v="8"/>
    <x v="0"/>
    <x v="8"/>
    <x v="8"/>
    <x v="8"/>
    <x v="4"/>
    <x v="4"/>
    <x v="0"/>
    <x v="0"/>
  </r>
  <r>
    <x v="0"/>
    <x v="190"/>
    <x v="190"/>
    <x v="190"/>
    <x v="1"/>
    <x v="8"/>
    <x v="8"/>
    <x v="0"/>
    <x v="8"/>
    <x v="0"/>
    <x v="8"/>
    <x v="8"/>
    <x v="8"/>
    <x v="4"/>
    <x v="4"/>
    <x v="0"/>
    <x v="0"/>
  </r>
  <r>
    <x v="1"/>
    <x v="191"/>
    <x v="191"/>
    <x v="191"/>
    <x v="1"/>
    <x v="8"/>
    <x v="8"/>
    <x v="0"/>
    <x v="8"/>
    <x v="0"/>
    <x v="8"/>
    <x v="8"/>
    <x v="8"/>
    <x v="4"/>
    <x v="4"/>
    <x v="0"/>
    <x v="0"/>
  </r>
  <r>
    <x v="0"/>
    <x v="192"/>
    <x v="192"/>
    <x v="192"/>
    <x v="1"/>
    <x v="8"/>
    <x v="8"/>
    <x v="0"/>
    <x v="8"/>
    <x v="0"/>
    <x v="8"/>
    <x v="8"/>
    <x v="8"/>
    <x v="4"/>
    <x v="4"/>
    <x v="0"/>
    <x v="0"/>
  </r>
  <r>
    <x v="1"/>
    <x v="193"/>
    <x v="193"/>
    <x v="193"/>
    <x v="1"/>
    <x v="8"/>
    <x v="8"/>
    <x v="0"/>
    <x v="8"/>
    <x v="0"/>
    <x v="8"/>
    <x v="8"/>
    <x v="8"/>
    <x v="4"/>
    <x v="4"/>
    <x v="0"/>
    <x v="0"/>
  </r>
  <r>
    <x v="2"/>
    <x v="194"/>
    <x v="194"/>
    <x v="194"/>
    <x v="1"/>
    <x v="8"/>
    <x v="8"/>
    <x v="0"/>
    <x v="8"/>
    <x v="0"/>
    <x v="8"/>
    <x v="8"/>
    <x v="8"/>
    <x v="4"/>
    <x v="4"/>
    <x v="0"/>
    <x v="0"/>
  </r>
  <r>
    <x v="1"/>
    <x v="195"/>
    <x v="195"/>
    <x v="195"/>
    <x v="1"/>
    <x v="8"/>
    <x v="8"/>
    <x v="0"/>
    <x v="8"/>
    <x v="0"/>
    <x v="8"/>
    <x v="8"/>
    <x v="8"/>
    <x v="4"/>
    <x v="4"/>
    <x v="0"/>
    <x v="0"/>
  </r>
  <r>
    <x v="0"/>
    <x v="196"/>
    <x v="196"/>
    <x v="196"/>
    <x v="1"/>
    <x v="8"/>
    <x v="8"/>
    <x v="0"/>
    <x v="8"/>
    <x v="0"/>
    <x v="8"/>
    <x v="8"/>
    <x v="8"/>
    <x v="4"/>
    <x v="4"/>
    <x v="0"/>
    <x v="0"/>
  </r>
  <r>
    <x v="2"/>
    <x v="197"/>
    <x v="197"/>
    <x v="197"/>
    <x v="0"/>
    <x v="66"/>
    <x v="68"/>
    <x v="3"/>
    <x v="66"/>
    <x v="3"/>
    <x v="66"/>
    <x v="64"/>
    <x v="68"/>
    <x v="55"/>
    <x v="57"/>
    <x v="25"/>
    <x v="25"/>
  </r>
  <r>
    <x v="0"/>
    <x v="198"/>
    <x v="198"/>
    <x v="198"/>
    <x v="0"/>
    <x v="67"/>
    <x v="69"/>
    <x v="0"/>
    <x v="67"/>
    <x v="0"/>
    <x v="67"/>
    <x v="65"/>
    <x v="69"/>
    <x v="56"/>
    <x v="58"/>
    <x v="0"/>
    <x v="0"/>
  </r>
  <r>
    <x v="2"/>
    <x v="199"/>
    <x v="199"/>
    <x v="199"/>
    <x v="1"/>
    <x v="8"/>
    <x v="8"/>
    <x v="0"/>
    <x v="8"/>
    <x v="0"/>
    <x v="8"/>
    <x v="8"/>
    <x v="8"/>
    <x v="4"/>
    <x v="4"/>
    <x v="0"/>
    <x v="0"/>
  </r>
  <r>
    <x v="2"/>
    <x v="200"/>
    <x v="200"/>
    <x v="200"/>
    <x v="0"/>
    <x v="68"/>
    <x v="70"/>
    <x v="0"/>
    <x v="68"/>
    <x v="0"/>
    <x v="68"/>
    <x v="66"/>
    <x v="70"/>
    <x v="57"/>
    <x v="59"/>
    <x v="26"/>
    <x v="26"/>
  </r>
  <r>
    <x v="2"/>
    <x v="201"/>
    <x v="201"/>
    <x v="201"/>
    <x v="1"/>
    <x v="8"/>
    <x v="8"/>
    <x v="0"/>
    <x v="8"/>
    <x v="0"/>
    <x v="8"/>
    <x v="8"/>
    <x v="8"/>
    <x v="4"/>
    <x v="4"/>
    <x v="0"/>
    <x v="0"/>
  </r>
  <r>
    <x v="2"/>
    <x v="202"/>
    <x v="202"/>
    <x v="202"/>
    <x v="0"/>
    <x v="69"/>
    <x v="71"/>
    <x v="0"/>
    <x v="69"/>
    <x v="0"/>
    <x v="69"/>
    <x v="67"/>
    <x v="71"/>
    <x v="58"/>
    <x v="60"/>
    <x v="0"/>
    <x v="0"/>
  </r>
  <r>
    <x v="1"/>
    <x v="203"/>
    <x v="203"/>
    <x v="203"/>
    <x v="0"/>
    <x v="70"/>
    <x v="72"/>
    <x v="0"/>
    <x v="70"/>
    <x v="0"/>
    <x v="70"/>
    <x v="68"/>
    <x v="72"/>
    <x v="59"/>
    <x v="61"/>
    <x v="0"/>
    <x v="0"/>
  </r>
  <r>
    <x v="1"/>
    <x v="204"/>
    <x v="204"/>
    <x v="204"/>
    <x v="0"/>
    <x v="71"/>
    <x v="73"/>
    <x v="0"/>
    <x v="71"/>
    <x v="0"/>
    <x v="71"/>
    <x v="69"/>
    <x v="73"/>
    <x v="20"/>
    <x v="21"/>
    <x v="27"/>
    <x v="27"/>
  </r>
  <r>
    <x v="2"/>
    <x v="205"/>
    <x v="205"/>
    <x v="205"/>
    <x v="0"/>
    <x v="72"/>
    <x v="74"/>
    <x v="0"/>
    <x v="72"/>
    <x v="0"/>
    <x v="72"/>
    <x v="70"/>
    <x v="74"/>
    <x v="60"/>
    <x v="62"/>
    <x v="28"/>
    <x v="28"/>
  </r>
  <r>
    <x v="2"/>
    <x v="206"/>
    <x v="206"/>
    <x v="206"/>
    <x v="0"/>
    <x v="73"/>
    <x v="75"/>
    <x v="0"/>
    <x v="73"/>
    <x v="0"/>
    <x v="73"/>
    <x v="71"/>
    <x v="75"/>
    <x v="61"/>
    <x v="63"/>
    <x v="0"/>
    <x v="0"/>
  </r>
  <r>
    <x v="0"/>
    <x v="207"/>
    <x v="207"/>
    <x v="207"/>
    <x v="1"/>
    <x v="8"/>
    <x v="8"/>
    <x v="0"/>
    <x v="8"/>
    <x v="0"/>
    <x v="8"/>
    <x v="8"/>
    <x v="8"/>
    <x v="4"/>
    <x v="4"/>
    <x v="0"/>
    <x v="0"/>
  </r>
  <r>
    <x v="0"/>
    <x v="208"/>
    <x v="208"/>
    <x v="208"/>
    <x v="1"/>
    <x v="8"/>
    <x v="8"/>
    <x v="0"/>
    <x v="8"/>
    <x v="0"/>
    <x v="8"/>
    <x v="8"/>
    <x v="8"/>
    <x v="4"/>
    <x v="4"/>
    <x v="0"/>
    <x v="0"/>
  </r>
  <r>
    <x v="0"/>
    <x v="209"/>
    <x v="209"/>
    <x v="209"/>
    <x v="1"/>
    <x v="8"/>
    <x v="8"/>
    <x v="0"/>
    <x v="8"/>
    <x v="0"/>
    <x v="8"/>
    <x v="8"/>
    <x v="8"/>
    <x v="4"/>
    <x v="4"/>
    <x v="0"/>
    <x v="0"/>
  </r>
  <r>
    <x v="1"/>
    <x v="210"/>
    <x v="210"/>
    <x v="210"/>
    <x v="1"/>
    <x v="8"/>
    <x v="8"/>
    <x v="0"/>
    <x v="8"/>
    <x v="0"/>
    <x v="8"/>
    <x v="8"/>
    <x v="8"/>
    <x v="4"/>
    <x v="4"/>
    <x v="0"/>
    <x v="0"/>
  </r>
  <r>
    <x v="2"/>
    <x v="211"/>
    <x v="211"/>
    <x v="211"/>
    <x v="0"/>
    <x v="74"/>
    <x v="76"/>
    <x v="0"/>
    <x v="74"/>
    <x v="0"/>
    <x v="74"/>
    <x v="3"/>
    <x v="76"/>
    <x v="3"/>
    <x v="3"/>
    <x v="0"/>
    <x v="0"/>
  </r>
  <r>
    <x v="2"/>
    <x v="212"/>
    <x v="212"/>
    <x v="212"/>
    <x v="1"/>
    <x v="8"/>
    <x v="8"/>
    <x v="0"/>
    <x v="8"/>
    <x v="0"/>
    <x v="8"/>
    <x v="8"/>
    <x v="8"/>
    <x v="4"/>
    <x v="4"/>
    <x v="0"/>
    <x v="0"/>
  </r>
  <r>
    <x v="1"/>
    <x v="213"/>
    <x v="213"/>
    <x v="213"/>
    <x v="1"/>
    <x v="8"/>
    <x v="8"/>
    <x v="0"/>
    <x v="8"/>
    <x v="0"/>
    <x v="8"/>
    <x v="8"/>
    <x v="8"/>
    <x v="4"/>
    <x v="4"/>
    <x v="0"/>
    <x v="0"/>
  </r>
  <r>
    <x v="2"/>
    <x v="214"/>
    <x v="214"/>
    <x v="214"/>
    <x v="1"/>
    <x v="8"/>
    <x v="8"/>
    <x v="0"/>
    <x v="8"/>
    <x v="0"/>
    <x v="8"/>
    <x v="8"/>
    <x v="8"/>
    <x v="4"/>
    <x v="4"/>
    <x v="0"/>
    <x v="0"/>
  </r>
  <r>
    <x v="2"/>
    <x v="215"/>
    <x v="215"/>
    <x v="215"/>
    <x v="1"/>
    <x v="8"/>
    <x v="8"/>
    <x v="0"/>
    <x v="8"/>
    <x v="0"/>
    <x v="8"/>
    <x v="8"/>
    <x v="8"/>
    <x v="4"/>
    <x v="4"/>
    <x v="0"/>
    <x v="0"/>
  </r>
  <r>
    <x v="0"/>
    <x v="216"/>
    <x v="216"/>
    <x v="216"/>
    <x v="1"/>
    <x v="8"/>
    <x v="8"/>
    <x v="0"/>
    <x v="8"/>
    <x v="0"/>
    <x v="8"/>
    <x v="8"/>
    <x v="8"/>
    <x v="4"/>
    <x v="4"/>
    <x v="0"/>
    <x v="0"/>
  </r>
  <r>
    <x v="0"/>
    <x v="217"/>
    <x v="217"/>
    <x v="217"/>
    <x v="1"/>
    <x v="8"/>
    <x v="8"/>
    <x v="0"/>
    <x v="8"/>
    <x v="0"/>
    <x v="8"/>
    <x v="8"/>
    <x v="8"/>
    <x v="4"/>
    <x v="4"/>
    <x v="0"/>
    <x v="0"/>
  </r>
  <r>
    <x v="2"/>
    <x v="218"/>
    <x v="218"/>
    <x v="218"/>
    <x v="1"/>
    <x v="8"/>
    <x v="8"/>
    <x v="0"/>
    <x v="8"/>
    <x v="0"/>
    <x v="8"/>
    <x v="8"/>
    <x v="8"/>
    <x v="4"/>
    <x v="4"/>
    <x v="0"/>
    <x v="0"/>
  </r>
  <r>
    <x v="1"/>
    <x v="219"/>
    <x v="219"/>
    <x v="219"/>
    <x v="1"/>
    <x v="8"/>
    <x v="8"/>
    <x v="0"/>
    <x v="8"/>
    <x v="0"/>
    <x v="8"/>
    <x v="8"/>
    <x v="8"/>
    <x v="4"/>
    <x v="4"/>
    <x v="0"/>
    <x v="0"/>
  </r>
  <r>
    <x v="0"/>
    <x v="220"/>
    <x v="220"/>
    <x v="220"/>
    <x v="0"/>
    <x v="75"/>
    <x v="77"/>
    <x v="0"/>
    <x v="75"/>
    <x v="0"/>
    <x v="75"/>
    <x v="72"/>
    <x v="77"/>
    <x v="62"/>
    <x v="64"/>
    <x v="0"/>
    <x v="0"/>
  </r>
  <r>
    <x v="2"/>
    <x v="221"/>
    <x v="221"/>
    <x v="221"/>
    <x v="0"/>
    <x v="76"/>
    <x v="78"/>
    <x v="11"/>
    <x v="76"/>
    <x v="11"/>
    <x v="76"/>
    <x v="73"/>
    <x v="78"/>
    <x v="63"/>
    <x v="65"/>
    <x v="0"/>
    <x v="0"/>
  </r>
  <r>
    <x v="2"/>
    <x v="222"/>
    <x v="222"/>
    <x v="222"/>
    <x v="0"/>
    <x v="77"/>
    <x v="79"/>
    <x v="0"/>
    <x v="77"/>
    <x v="0"/>
    <x v="77"/>
    <x v="74"/>
    <x v="79"/>
    <x v="64"/>
    <x v="66"/>
    <x v="0"/>
    <x v="0"/>
  </r>
  <r>
    <x v="2"/>
    <x v="223"/>
    <x v="223"/>
    <x v="223"/>
    <x v="0"/>
    <x v="78"/>
    <x v="80"/>
    <x v="12"/>
    <x v="78"/>
    <x v="12"/>
    <x v="78"/>
    <x v="75"/>
    <x v="80"/>
    <x v="32"/>
    <x v="33"/>
    <x v="29"/>
    <x v="29"/>
  </r>
  <r>
    <x v="0"/>
    <x v="224"/>
    <x v="224"/>
    <x v="224"/>
    <x v="1"/>
    <x v="8"/>
    <x v="8"/>
    <x v="0"/>
    <x v="8"/>
    <x v="0"/>
    <x v="8"/>
    <x v="8"/>
    <x v="8"/>
    <x v="4"/>
    <x v="4"/>
    <x v="0"/>
    <x v="0"/>
  </r>
  <r>
    <x v="0"/>
    <x v="225"/>
    <x v="225"/>
    <x v="225"/>
    <x v="0"/>
    <x v="79"/>
    <x v="81"/>
    <x v="0"/>
    <x v="79"/>
    <x v="0"/>
    <x v="79"/>
    <x v="76"/>
    <x v="81"/>
    <x v="65"/>
    <x v="67"/>
    <x v="0"/>
    <x v="0"/>
  </r>
  <r>
    <x v="1"/>
    <x v="226"/>
    <x v="226"/>
    <x v="226"/>
    <x v="1"/>
    <x v="8"/>
    <x v="8"/>
    <x v="0"/>
    <x v="8"/>
    <x v="0"/>
    <x v="8"/>
    <x v="8"/>
    <x v="8"/>
    <x v="4"/>
    <x v="4"/>
    <x v="0"/>
    <x v="0"/>
  </r>
  <r>
    <x v="2"/>
    <x v="227"/>
    <x v="227"/>
    <x v="227"/>
    <x v="0"/>
    <x v="80"/>
    <x v="82"/>
    <x v="0"/>
    <x v="80"/>
    <x v="0"/>
    <x v="80"/>
    <x v="42"/>
    <x v="82"/>
    <x v="4"/>
    <x v="4"/>
    <x v="0"/>
    <x v="0"/>
  </r>
  <r>
    <x v="1"/>
    <x v="228"/>
    <x v="228"/>
    <x v="228"/>
    <x v="0"/>
    <x v="81"/>
    <x v="83"/>
    <x v="0"/>
    <x v="81"/>
    <x v="0"/>
    <x v="81"/>
    <x v="77"/>
    <x v="83"/>
    <x v="66"/>
    <x v="68"/>
    <x v="30"/>
    <x v="30"/>
  </r>
  <r>
    <x v="0"/>
    <x v="229"/>
    <x v="229"/>
    <x v="229"/>
    <x v="1"/>
    <x v="8"/>
    <x v="8"/>
    <x v="0"/>
    <x v="8"/>
    <x v="0"/>
    <x v="8"/>
    <x v="8"/>
    <x v="8"/>
    <x v="4"/>
    <x v="4"/>
    <x v="0"/>
    <x v="0"/>
  </r>
  <r>
    <x v="2"/>
    <x v="230"/>
    <x v="230"/>
    <x v="230"/>
    <x v="1"/>
    <x v="8"/>
    <x v="8"/>
    <x v="0"/>
    <x v="8"/>
    <x v="0"/>
    <x v="8"/>
    <x v="8"/>
    <x v="8"/>
    <x v="4"/>
    <x v="4"/>
    <x v="0"/>
    <x v="0"/>
  </r>
  <r>
    <x v="1"/>
    <x v="231"/>
    <x v="231"/>
    <x v="231"/>
    <x v="1"/>
    <x v="8"/>
    <x v="8"/>
    <x v="0"/>
    <x v="8"/>
    <x v="0"/>
    <x v="8"/>
    <x v="8"/>
    <x v="8"/>
    <x v="4"/>
    <x v="4"/>
    <x v="0"/>
    <x v="0"/>
  </r>
  <r>
    <x v="1"/>
    <x v="232"/>
    <x v="232"/>
    <x v="232"/>
    <x v="1"/>
    <x v="8"/>
    <x v="8"/>
    <x v="0"/>
    <x v="8"/>
    <x v="0"/>
    <x v="8"/>
    <x v="8"/>
    <x v="8"/>
    <x v="4"/>
    <x v="4"/>
    <x v="0"/>
    <x v="0"/>
  </r>
  <r>
    <x v="2"/>
    <x v="233"/>
    <x v="233"/>
    <x v="233"/>
    <x v="0"/>
    <x v="82"/>
    <x v="84"/>
    <x v="0"/>
    <x v="82"/>
    <x v="0"/>
    <x v="82"/>
    <x v="78"/>
    <x v="84"/>
    <x v="67"/>
    <x v="69"/>
    <x v="31"/>
    <x v="31"/>
  </r>
  <r>
    <x v="2"/>
    <x v="234"/>
    <x v="234"/>
    <x v="234"/>
    <x v="0"/>
    <x v="83"/>
    <x v="85"/>
    <x v="0"/>
    <x v="83"/>
    <x v="0"/>
    <x v="83"/>
    <x v="79"/>
    <x v="85"/>
    <x v="68"/>
    <x v="70"/>
    <x v="0"/>
    <x v="0"/>
  </r>
  <r>
    <x v="2"/>
    <x v="235"/>
    <x v="235"/>
    <x v="235"/>
    <x v="0"/>
    <x v="84"/>
    <x v="86"/>
    <x v="0"/>
    <x v="84"/>
    <x v="0"/>
    <x v="84"/>
    <x v="42"/>
    <x v="86"/>
    <x v="8"/>
    <x v="8"/>
    <x v="0"/>
    <x v="0"/>
  </r>
  <r>
    <x v="2"/>
    <x v="236"/>
    <x v="236"/>
    <x v="236"/>
    <x v="1"/>
    <x v="8"/>
    <x v="8"/>
    <x v="0"/>
    <x v="8"/>
    <x v="0"/>
    <x v="8"/>
    <x v="8"/>
    <x v="8"/>
    <x v="4"/>
    <x v="4"/>
    <x v="0"/>
    <x v="0"/>
  </r>
  <r>
    <x v="0"/>
    <x v="237"/>
    <x v="237"/>
    <x v="237"/>
    <x v="1"/>
    <x v="8"/>
    <x v="8"/>
    <x v="0"/>
    <x v="8"/>
    <x v="0"/>
    <x v="8"/>
    <x v="8"/>
    <x v="8"/>
    <x v="4"/>
    <x v="4"/>
    <x v="0"/>
    <x v="0"/>
  </r>
  <r>
    <x v="2"/>
    <x v="238"/>
    <x v="238"/>
    <x v="238"/>
    <x v="0"/>
    <x v="85"/>
    <x v="87"/>
    <x v="0"/>
    <x v="85"/>
    <x v="0"/>
    <x v="85"/>
    <x v="80"/>
    <x v="87"/>
    <x v="1"/>
    <x v="1"/>
    <x v="0"/>
    <x v="0"/>
  </r>
  <r>
    <x v="2"/>
    <x v="239"/>
    <x v="239"/>
    <x v="239"/>
    <x v="0"/>
    <x v="86"/>
    <x v="88"/>
    <x v="0"/>
    <x v="86"/>
    <x v="0"/>
    <x v="86"/>
    <x v="81"/>
    <x v="88"/>
    <x v="0"/>
    <x v="0"/>
    <x v="0"/>
    <x v="0"/>
  </r>
  <r>
    <x v="2"/>
    <x v="240"/>
    <x v="240"/>
    <x v="240"/>
    <x v="0"/>
    <x v="87"/>
    <x v="89"/>
    <x v="0"/>
    <x v="87"/>
    <x v="0"/>
    <x v="87"/>
    <x v="82"/>
    <x v="89"/>
    <x v="69"/>
    <x v="71"/>
    <x v="32"/>
    <x v="32"/>
  </r>
  <r>
    <x v="1"/>
    <x v="241"/>
    <x v="241"/>
    <x v="241"/>
    <x v="0"/>
    <x v="9"/>
    <x v="9"/>
    <x v="2"/>
    <x v="8"/>
    <x v="2"/>
    <x v="8"/>
    <x v="9"/>
    <x v="9"/>
    <x v="8"/>
    <x v="8"/>
    <x v="0"/>
    <x v="0"/>
  </r>
  <r>
    <x v="2"/>
    <x v="242"/>
    <x v="242"/>
    <x v="242"/>
    <x v="1"/>
    <x v="8"/>
    <x v="8"/>
    <x v="0"/>
    <x v="8"/>
    <x v="0"/>
    <x v="8"/>
    <x v="8"/>
    <x v="8"/>
    <x v="4"/>
    <x v="4"/>
    <x v="0"/>
    <x v="0"/>
  </r>
  <r>
    <x v="2"/>
    <x v="243"/>
    <x v="243"/>
    <x v="243"/>
    <x v="1"/>
    <x v="8"/>
    <x v="8"/>
    <x v="0"/>
    <x v="8"/>
    <x v="0"/>
    <x v="8"/>
    <x v="8"/>
    <x v="8"/>
    <x v="4"/>
    <x v="4"/>
    <x v="0"/>
    <x v="0"/>
  </r>
  <r>
    <x v="0"/>
    <x v="244"/>
    <x v="244"/>
    <x v="244"/>
    <x v="1"/>
    <x v="8"/>
    <x v="8"/>
    <x v="0"/>
    <x v="8"/>
    <x v="0"/>
    <x v="8"/>
    <x v="8"/>
    <x v="8"/>
    <x v="4"/>
    <x v="4"/>
    <x v="0"/>
    <x v="0"/>
  </r>
  <r>
    <x v="0"/>
    <x v="245"/>
    <x v="245"/>
    <x v="245"/>
    <x v="0"/>
    <x v="88"/>
    <x v="90"/>
    <x v="13"/>
    <x v="88"/>
    <x v="13"/>
    <x v="88"/>
    <x v="83"/>
    <x v="90"/>
    <x v="8"/>
    <x v="9"/>
    <x v="0"/>
    <x v="0"/>
  </r>
  <r>
    <x v="2"/>
    <x v="246"/>
    <x v="246"/>
    <x v="246"/>
    <x v="1"/>
    <x v="8"/>
    <x v="8"/>
    <x v="0"/>
    <x v="8"/>
    <x v="0"/>
    <x v="8"/>
    <x v="8"/>
    <x v="8"/>
    <x v="4"/>
    <x v="4"/>
    <x v="0"/>
    <x v="0"/>
  </r>
  <r>
    <x v="1"/>
    <x v="247"/>
    <x v="247"/>
    <x v="247"/>
    <x v="0"/>
    <x v="89"/>
    <x v="91"/>
    <x v="0"/>
    <x v="89"/>
    <x v="0"/>
    <x v="89"/>
    <x v="84"/>
    <x v="91"/>
    <x v="70"/>
    <x v="72"/>
    <x v="1"/>
    <x v="1"/>
  </r>
  <r>
    <x v="2"/>
    <x v="248"/>
    <x v="248"/>
    <x v="248"/>
    <x v="1"/>
    <x v="8"/>
    <x v="8"/>
    <x v="0"/>
    <x v="8"/>
    <x v="0"/>
    <x v="8"/>
    <x v="8"/>
    <x v="8"/>
    <x v="4"/>
    <x v="4"/>
    <x v="0"/>
    <x v="0"/>
  </r>
  <r>
    <x v="0"/>
    <x v="249"/>
    <x v="249"/>
    <x v="249"/>
    <x v="1"/>
    <x v="8"/>
    <x v="8"/>
    <x v="0"/>
    <x v="8"/>
    <x v="0"/>
    <x v="8"/>
    <x v="8"/>
    <x v="8"/>
    <x v="4"/>
    <x v="4"/>
    <x v="0"/>
    <x v="0"/>
  </r>
  <r>
    <x v="0"/>
    <x v="250"/>
    <x v="250"/>
    <x v="250"/>
    <x v="1"/>
    <x v="8"/>
    <x v="8"/>
    <x v="0"/>
    <x v="8"/>
    <x v="0"/>
    <x v="8"/>
    <x v="8"/>
    <x v="8"/>
    <x v="4"/>
    <x v="4"/>
    <x v="0"/>
    <x v="0"/>
  </r>
  <r>
    <x v="0"/>
    <x v="251"/>
    <x v="251"/>
    <x v="251"/>
    <x v="1"/>
    <x v="8"/>
    <x v="8"/>
    <x v="0"/>
    <x v="8"/>
    <x v="0"/>
    <x v="8"/>
    <x v="8"/>
    <x v="8"/>
    <x v="4"/>
    <x v="4"/>
    <x v="0"/>
    <x v="0"/>
  </r>
  <r>
    <x v="2"/>
    <x v="252"/>
    <x v="252"/>
    <x v="252"/>
    <x v="1"/>
    <x v="8"/>
    <x v="8"/>
    <x v="0"/>
    <x v="8"/>
    <x v="0"/>
    <x v="8"/>
    <x v="8"/>
    <x v="8"/>
    <x v="4"/>
    <x v="4"/>
    <x v="0"/>
    <x v="0"/>
  </r>
  <r>
    <x v="2"/>
    <x v="253"/>
    <x v="253"/>
    <x v="253"/>
    <x v="1"/>
    <x v="8"/>
    <x v="8"/>
    <x v="0"/>
    <x v="8"/>
    <x v="0"/>
    <x v="8"/>
    <x v="8"/>
    <x v="8"/>
    <x v="4"/>
    <x v="4"/>
    <x v="0"/>
    <x v="0"/>
  </r>
  <r>
    <x v="2"/>
    <x v="254"/>
    <x v="254"/>
    <x v="254"/>
    <x v="1"/>
    <x v="8"/>
    <x v="8"/>
    <x v="0"/>
    <x v="8"/>
    <x v="0"/>
    <x v="8"/>
    <x v="8"/>
    <x v="8"/>
    <x v="4"/>
    <x v="4"/>
    <x v="0"/>
    <x v="0"/>
  </r>
  <r>
    <x v="2"/>
    <x v="255"/>
    <x v="255"/>
    <x v="255"/>
    <x v="0"/>
    <x v="90"/>
    <x v="92"/>
    <x v="14"/>
    <x v="90"/>
    <x v="14"/>
    <x v="90"/>
    <x v="85"/>
    <x v="92"/>
    <x v="71"/>
    <x v="73"/>
    <x v="33"/>
    <x v="33"/>
  </r>
  <r>
    <x v="0"/>
    <x v="256"/>
    <x v="256"/>
    <x v="256"/>
    <x v="1"/>
    <x v="8"/>
    <x v="8"/>
    <x v="0"/>
    <x v="8"/>
    <x v="0"/>
    <x v="8"/>
    <x v="8"/>
    <x v="8"/>
    <x v="4"/>
    <x v="4"/>
    <x v="0"/>
    <x v="0"/>
  </r>
  <r>
    <x v="2"/>
    <x v="257"/>
    <x v="257"/>
    <x v="257"/>
    <x v="0"/>
    <x v="91"/>
    <x v="93"/>
    <x v="0"/>
    <x v="91"/>
    <x v="0"/>
    <x v="91"/>
    <x v="86"/>
    <x v="93"/>
    <x v="72"/>
    <x v="74"/>
    <x v="0"/>
    <x v="0"/>
  </r>
  <r>
    <x v="2"/>
    <x v="258"/>
    <x v="258"/>
    <x v="258"/>
    <x v="1"/>
    <x v="8"/>
    <x v="8"/>
    <x v="0"/>
    <x v="8"/>
    <x v="0"/>
    <x v="8"/>
    <x v="8"/>
    <x v="8"/>
    <x v="4"/>
    <x v="4"/>
    <x v="0"/>
    <x v="0"/>
  </r>
  <r>
    <x v="2"/>
    <x v="259"/>
    <x v="259"/>
    <x v="259"/>
    <x v="0"/>
    <x v="92"/>
    <x v="94"/>
    <x v="15"/>
    <x v="92"/>
    <x v="15"/>
    <x v="92"/>
    <x v="87"/>
    <x v="94"/>
    <x v="73"/>
    <x v="75"/>
    <x v="34"/>
    <x v="34"/>
  </r>
  <r>
    <x v="2"/>
    <x v="260"/>
    <x v="260"/>
    <x v="260"/>
    <x v="1"/>
    <x v="8"/>
    <x v="8"/>
    <x v="0"/>
    <x v="8"/>
    <x v="0"/>
    <x v="8"/>
    <x v="8"/>
    <x v="8"/>
    <x v="4"/>
    <x v="4"/>
    <x v="0"/>
    <x v="0"/>
  </r>
  <r>
    <x v="2"/>
    <x v="261"/>
    <x v="261"/>
    <x v="261"/>
    <x v="0"/>
    <x v="93"/>
    <x v="95"/>
    <x v="16"/>
    <x v="93"/>
    <x v="16"/>
    <x v="93"/>
    <x v="88"/>
    <x v="95"/>
    <x v="74"/>
    <x v="76"/>
    <x v="35"/>
    <x v="35"/>
  </r>
  <r>
    <x v="0"/>
    <x v="262"/>
    <x v="262"/>
    <x v="262"/>
    <x v="0"/>
    <x v="94"/>
    <x v="96"/>
    <x v="0"/>
    <x v="94"/>
    <x v="0"/>
    <x v="94"/>
    <x v="89"/>
    <x v="96"/>
    <x v="75"/>
    <x v="77"/>
    <x v="0"/>
    <x v="0"/>
  </r>
  <r>
    <x v="2"/>
    <x v="263"/>
    <x v="263"/>
    <x v="263"/>
    <x v="0"/>
    <x v="95"/>
    <x v="97"/>
    <x v="17"/>
    <x v="95"/>
    <x v="17"/>
    <x v="95"/>
    <x v="9"/>
    <x v="97"/>
    <x v="8"/>
    <x v="8"/>
    <x v="0"/>
    <x v="0"/>
  </r>
  <r>
    <x v="2"/>
    <x v="264"/>
    <x v="264"/>
    <x v="264"/>
    <x v="1"/>
    <x v="8"/>
    <x v="8"/>
    <x v="0"/>
    <x v="8"/>
    <x v="0"/>
    <x v="8"/>
    <x v="8"/>
    <x v="8"/>
    <x v="4"/>
    <x v="4"/>
    <x v="0"/>
    <x v="0"/>
  </r>
  <r>
    <x v="2"/>
    <x v="265"/>
    <x v="265"/>
    <x v="265"/>
    <x v="0"/>
    <x v="96"/>
    <x v="98"/>
    <x v="0"/>
    <x v="96"/>
    <x v="0"/>
    <x v="96"/>
    <x v="90"/>
    <x v="98"/>
    <x v="76"/>
    <x v="78"/>
    <x v="36"/>
    <x v="36"/>
  </r>
  <r>
    <x v="0"/>
    <x v="266"/>
    <x v="266"/>
    <x v="266"/>
    <x v="1"/>
    <x v="8"/>
    <x v="8"/>
    <x v="0"/>
    <x v="8"/>
    <x v="0"/>
    <x v="8"/>
    <x v="8"/>
    <x v="8"/>
    <x v="4"/>
    <x v="4"/>
    <x v="0"/>
    <x v="0"/>
  </r>
  <r>
    <x v="2"/>
    <x v="267"/>
    <x v="267"/>
    <x v="267"/>
    <x v="1"/>
    <x v="8"/>
    <x v="8"/>
    <x v="0"/>
    <x v="8"/>
    <x v="0"/>
    <x v="8"/>
    <x v="8"/>
    <x v="8"/>
    <x v="4"/>
    <x v="4"/>
    <x v="0"/>
    <x v="0"/>
  </r>
  <r>
    <x v="1"/>
    <x v="268"/>
    <x v="268"/>
    <x v="268"/>
    <x v="0"/>
    <x v="97"/>
    <x v="99"/>
    <x v="0"/>
    <x v="97"/>
    <x v="0"/>
    <x v="97"/>
    <x v="83"/>
    <x v="99"/>
    <x v="8"/>
    <x v="8"/>
    <x v="0"/>
    <x v="0"/>
  </r>
  <r>
    <x v="0"/>
    <x v="269"/>
    <x v="269"/>
    <x v="269"/>
    <x v="1"/>
    <x v="8"/>
    <x v="8"/>
    <x v="0"/>
    <x v="8"/>
    <x v="0"/>
    <x v="8"/>
    <x v="8"/>
    <x v="8"/>
    <x v="4"/>
    <x v="4"/>
    <x v="0"/>
    <x v="0"/>
  </r>
  <r>
    <x v="0"/>
    <x v="270"/>
    <x v="270"/>
    <x v="270"/>
    <x v="1"/>
    <x v="8"/>
    <x v="8"/>
    <x v="0"/>
    <x v="8"/>
    <x v="0"/>
    <x v="8"/>
    <x v="8"/>
    <x v="8"/>
    <x v="4"/>
    <x v="4"/>
    <x v="0"/>
    <x v="0"/>
  </r>
  <r>
    <x v="0"/>
    <x v="271"/>
    <x v="271"/>
    <x v="271"/>
    <x v="0"/>
    <x v="98"/>
    <x v="100"/>
    <x v="0"/>
    <x v="98"/>
    <x v="0"/>
    <x v="98"/>
    <x v="91"/>
    <x v="100"/>
    <x v="77"/>
    <x v="79"/>
    <x v="37"/>
    <x v="37"/>
  </r>
  <r>
    <x v="2"/>
    <x v="272"/>
    <x v="272"/>
    <x v="272"/>
    <x v="0"/>
    <x v="99"/>
    <x v="101"/>
    <x v="0"/>
    <x v="99"/>
    <x v="0"/>
    <x v="99"/>
    <x v="92"/>
    <x v="101"/>
    <x v="78"/>
    <x v="80"/>
    <x v="0"/>
    <x v="0"/>
  </r>
  <r>
    <x v="0"/>
    <x v="273"/>
    <x v="273"/>
    <x v="273"/>
    <x v="0"/>
    <x v="100"/>
    <x v="102"/>
    <x v="0"/>
    <x v="100"/>
    <x v="0"/>
    <x v="100"/>
    <x v="93"/>
    <x v="102"/>
    <x v="79"/>
    <x v="81"/>
    <x v="0"/>
    <x v="0"/>
  </r>
  <r>
    <x v="2"/>
    <x v="274"/>
    <x v="274"/>
    <x v="274"/>
    <x v="0"/>
    <x v="101"/>
    <x v="103"/>
    <x v="0"/>
    <x v="101"/>
    <x v="0"/>
    <x v="101"/>
    <x v="94"/>
    <x v="103"/>
    <x v="80"/>
    <x v="82"/>
    <x v="38"/>
    <x v="38"/>
  </r>
  <r>
    <x v="0"/>
    <x v="275"/>
    <x v="275"/>
    <x v="275"/>
    <x v="1"/>
    <x v="8"/>
    <x v="8"/>
    <x v="0"/>
    <x v="8"/>
    <x v="0"/>
    <x v="8"/>
    <x v="8"/>
    <x v="8"/>
    <x v="4"/>
    <x v="4"/>
    <x v="0"/>
    <x v="0"/>
  </r>
  <r>
    <x v="0"/>
    <x v="276"/>
    <x v="276"/>
    <x v="276"/>
    <x v="1"/>
    <x v="8"/>
    <x v="8"/>
    <x v="0"/>
    <x v="8"/>
    <x v="0"/>
    <x v="8"/>
    <x v="8"/>
    <x v="8"/>
    <x v="4"/>
    <x v="4"/>
    <x v="0"/>
    <x v="0"/>
  </r>
  <r>
    <x v="2"/>
    <x v="277"/>
    <x v="277"/>
    <x v="277"/>
    <x v="1"/>
    <x v="8"/>
    <x v="8"/>
    <x v="0"/>
    <x v="8"/>
    <x v="0"/>
    <x v="8"/>
    <x v="8"/>
    <x v="8"/>
    <x v="4"/>
    <x v="4"/>
    <x v="0"/>
    <x v="0"/>
  </r>
  <r>
    <x v="2"/>
    <x v="278"/>
    <x v="278"/>
    <x v="278"/>
    <x v="0"/>
    <x v="102"/>
    <x v="104"/>
    <x v="0"/>
    <x v="102"/>
    <x v="0"/>
    <x v="102"/>
    <x v="95"/>
    <x v="104"/>
    <x v="14"/>
    <x v="15"/>
    <x v="0"/>
    <x v="0"/>
  </r>
  <r>
    <x v="2"/>
    <x v="279"/>
    <x v="279"/>
    <x v="279"/>
    <x v="1"/>
    <x v="8"/>
    <x v="8"/>
    <x v="0"/>
    <x v="8"/>
    <x v="0"/>
    <x v="8"/>
    <x v="8"/>
    <x v="8"/>
    <x v="4"/>
    <x v="4"/>
    <x v="0"/>
    <x v="0"/>
  </r>
  <r>
    <x v="1"/>
    <x v="280"/>
    <x v="280"/>
    <x v="280"/>
    <x v="0"/>
    <x v="84"/>
    <x v="105"/>
    <x v="0"/>
    <x v="103"/>
    <x v="0"/>
    <x v="103"/>
    <x v="32"/>
    <x v="105"/>
    <x v="4"/>
    <x v="4"/>
    <x v="0"/>
    <x v="0"/>
  </r>
  <r>
    <x v="2"/>
    <x v="281"/>
    <x v="281"/>
    <x v="281"/>
    <x v="0"/>
    <x v="103"/>
    <x v="106"/>
    <x v="0"/>
    <x v="104"/>
    <x v="0"/>
    <x v="104"/>
    <x v="96"/>
    <x v="106"/>
    <x v="81"/>
    <x v="83"/>
    <x v="39"/>
    <x v="39"/>
  </r>
  <r>
    <x v="2"/>
    <x v="282"/>
    <x v="282"/>
    <x v="282"/>
    <x v="1"/>
    <x v="8"/>
    <x v="8"/>
    <x v="0"/>
    <x v="8"/>
    <x v="0"/>
    <x v="8"/>
    <x v="8"/>
    <x v="8"/>
    <x v="4"/>
    <x v="4"/>
    <x v="0"/>
    <x v="0"/>
  </r>
  <r>
    <x v="0"/>
    <x v="283"/>
    <x v="283"/>
    <x v="283"/>
    <x v="1"/>
    <x v="8"/>
    <x v="8"/>
    <x v="0"/>
    <x v="8"/>
    <x v="0"/>
    <x v="8"/>
    <x v="8"/>
    <x v="8"/>
    <x v="4"/>
    <x v="4"/>
    <x v="0"/>
    <x v="0"/>
  </r>
  <r>
    <x v="0"/>
    <x v="284"/>
    <x v="284"/>
    <x v="284"/>
    <x v="1"/>
    <x v="8"/>
    <x v="8"/>
    <x v="0"/>
    <x v="8"/>
    <x v="0"/>
    <x v="8"/>
    <x v="8"/>
    <x v="8"/>
    <x v="4"/>
    <x v="4"/>
    <x v="0"/>
    <x v="0"/>
  </r>
  <r>
    <x v="2"/>
    <x v="285"/>
    <x v="285"/>
    <x v="285"/>
    <x v="1"/>
    <x v="8"/>
    <x v="8"/>
    <x v="0"/>
    <x v="8"/>
    <x v="0"/>
    <x v="8"/>
    <x v="8"/>
    <x v="8"/>
    <x v="4"/>
    <x v="4"/>
    <x v="0"/>
    <x v="0"/>
  </r>
  <r>
    <x v="2"/>
    <x v="286"/>
    <x v="286"/>
    <x v="286"/>
    <x v="1"/>
    <x v="8"/>
    <x v="8"/>
    <x v="0"/>
    <x v="8"/>
    <x v="0"/>
    <x v="8"/>
    <x v="8"/>
    <x v="8"/>
    <x v="4"/>
    <x v="4"/>
    <x v="0"/>
    <x v="0"/>
  </r>
  <r>
    <x v="2"/>
    <x v="287"/>
    <x v="287"/>
    <x v="287"/>
    <x v="1"/>
    <x v="8"/>
    <x v="8"/>
    <x v="0"/>
    <x v="8"/>
    <x v="0"/>
    <x v="8"/>
    <x v="8"/>
    <x v="8"/>
    <x v="4"/>
    <x v="4"/>
    <x v="0"/>
    <x v="0"/>
  </r>
  <r>
    <x v="0"/>
    <x v="288"/>
    <x v="288"/>
    <x v="288"/>
    <x v="1"/>
    <x v="8"/>
    <x v="8"/>
    <x v="0"/>
    <x v="8"/>
    <x v="0"/>
    <x v="8"/>
    <x v="8"/>
    <x v="8"/>
    <x v="4"/>
    <x v="4"/>
    <x v="0"/>
    <x v="0"/>
  </r>
  <r>
    <x v="2"/>
    <x v="289"/>
    <x v="289"/>
    <x v="289"/>
    <x v="1"/>
    <x v="8"/>
    <x v="8"/>
    <x v="0"/>
    <x v="8"/>
    <x v="0"/>
    <x v="8"/>
    <x v="8"/>
    <x v="8"/>
    <x v="4"/>
    <x v="4"/>
    <x v="0"/>
    <x v="0"/>
  </r>
  <r>
    <x v="1"/>
    <x v="290"/>
    <x v="290"/>
    <x v="290"/>
    <x v="1"/>
    <x v="8"/>
    <x v="8"/>
    <x v="0"/>
    <x v="8"/>
    <x v="0"/>
    <x v="8"/>
    <x v="8"/>
    <x v="8"/>
    <x v="4"/>
    <x v="4"/>
    <x v="0"/>
    <x v="0"/>
  </r>
  <r>
    <x v="2"/>
    <x v="291"/>
    <x v="291"/>
    <x v="291"/>
    <x v="1"/>
    <x v="8"/>
    <x v="8"/>
    <x v="0"/>
    <x v="8"/>
    <x v="0"/>
    <x v="8"/>
    <x v="8"/>
    <x v="8"/>
    <x v="4"/>
    <x v="4"/>
    <x v="0"/>
    <x v="0"/>
  </r>
  <r>
    <x v="2"/>
    <x v="292"/>
    <x v="292"/>
    <x v="292"/>
    <x v="1"/>
    <x v="8"/>
    <x v="8"/>
    <x v="0"/>
    <x v="8"/>
    <x v="0"/>
    <x v="8"/>
    <x v="8"/>
    <x v="8"/>
    <x v="4"/>
    <x v="4"/>
    <x v="0"/>
    <x v="0"/>
  </r>
  <r>
    <x v="2"/>
    <x v="293"/>
    <x v="293"/>
    <x v="293"/>
    <x v="0"/>
    <x v="83"/>
    <x v="85"/>
    <x v="0"/>
    <x v="83"/>
    <x v="0"/>
    <x v="34"/>
    <x v="15"/>
    <x v="35"/>
    <x v="82"/>
    <x v="84"/>
    <x v="0"/>
    <x v="0"/>
  </r>
  <r>
    <x v="2"/>
    <x v="294"/>
    <x v="294"/>
    <x v="294"/>
    <x v="0"/>
    <x v="104"/>
    <x v="107"/>
    <x v="0"/>
    <x v="105"/>
    <x v="0"/>
    <x v="105"/>
    <x v="97"/>
    <x v="107"/>
    <x v="83"/>
    <x v="85"/>
    <x v="40"/>
    <x v="40"/>
  </r>
  <r>
    <x v="0"/>
    <x v="295"/>
    <x v="295"/>
    <x v="295"/>
    <x v="0"/>
    <x v="105"/>
    <x v="108"/>
    <x v="18"/>
    <x v="106"/>
    <x v="18"/>
    <x v="106"/>
    <x v="98"/>
    <x v="108"/>
    <x v="4"/>
    <x v="4"/>
    <x v="41"/>
    <x v="41"/>
  </r>
  <r>
    <x v="2"/>
    <x v="296"/>
    <x v="296"/>
    <x v="296"/>
    <x v="0"/>
    <x v="8"/>
    <x v="109"/>
    <x v="0"/>
    <x v="107"/>
    <x v="0"/>
    <x v="107"/>
    <x v="8"/>
    <x v="109"/>
    <x v="4"/>
    <x v="4"/>
    <x v="0"/>
    <x v="0"/>
  </r>
  <r>
    <x v="1"/>
    <x v="297"/>
    <x v="297"/>
    <x v="297"/>
    <x v="0"/>
    <x v="106"/>
    <x v="110"/>
    <x v="0"/>
    <x v="108"/>
    <x v="0"/>
    <x v="108"/>
    <x v="99"/>
    <x v="110"/>
    <x v="9"/>
    <x v="10"/>
    <x v="42"/>
    <x v="42"/>
  </r>
  <r>
    <x v="2"/>
    <x v="298"/>
    <x v="298"/>
    <x v="298"/>
    <x v="1"/>
    <x v="8"/>
    <x v="8"/>
    <x v="0"/>
    <x v="8"/>
    <x v="0"/>
    <x v="8"/>
    <x v="8"/>
    <x v="8"/>
    <x v="4"/>
    <x v="4"/>
    <x v="0"/>
    <x v="0"/>
  </r>
  <r>
    <x v="2"/>
    <x v="299"/>
    <x v="299"/>
    <x v="299"/>
    <x v="0"/>
    <x v="107"/>
    <x v="111"/>
    <x v="4"/>
    <x v="109"/>
    <x v="19"/>
    <x v="109"/>
    <x v="100"/>
    <x v="111"/>
    <x v="41"/>
    <x v="42"/>
    <x v="43"/>
    <x v="43"/>
  </r>
  <r>
    <x v="2"/>
    <x v="300"/>
    <x v="300"/>
    <x v="300"/>
    <x v="0"/>
    <x v="108"/>
    <x v="112"/>
    <x v="0"/>
    <x v="110"/>
    <x v="0"/>
    <x v="110"/>
    <x v="101"/>
    <x v="112"/>
    <x v="84"/>
    <x v="86"/>
    <x v="0"/>
    <x v="0"/>
  </r>
  <r>
    <x v="0"/>
    <x v="301"/>
    <x v="301"/>
    <x v="301"/>
    <x v="1"/>
    <x v="8"/>
    <x v="8"/>
    <x v="0"/>
    <x v="8"/>
    <x v="0"/>
    <x v="8"/>
    <x v="8"/>
    <x v="8"/>
    <x v="4"/>
    <x v="4"/>
    <x v="0"/>
    <x v="0"/>
  </r>
  <r>
    <x v="0"/>
    <x v="302"/>
    <x v="302"/>
    <x v="302"/>
    <x v="1"/>
    <x v="8"/>
    <x v="8"/>
    <x v="0"/>
    <x v="8"/>
    <x v="0"/>
    <x v="8"/>
    <x v="8"/>
    <x v="8"/>
    <x v="4"/>
    <x v="4"/>
    <x v="0"/>
    <x v="0"/>
  </r>
  <r>
    <x v="2"/>
    <x v="303"/>
    <x v="303"/>
    <x v="303"/>
    <x v="1"/>
    <x v="8"/>
    <x v="8"/>
    <x v="0"/>
    <x v="8"/>
    <x v="0"/>
    <x v="8"/>
    <x v="8"/>
    <x v="8"/>
    <x v="4"/>
    <x v="4"/>
    <x v="0"/>
    <x v="0"/>
  </r>
  <r>
    <x v="1"/>
    <x v="304"/>
    <x v="304"/>
    <x v="304"/>
    <x v="1"/>
    <x v="8"/>
    <x v="8"/>
    <x v="0"/>
    <x v="8"/>
    <x v="0"/>
    <x v="8"/>
    <x v="8"/>
    <x v="8"/>
    <x v="4"/>
    <x v="4"/>
    <x v="0"/>
    <x v="0"/>
  </r>
  <r>
    <x v="2"/>
    <x v="305"/>
    <x v="305"/>
    <x v="305"/>
    <x v="0"/>
    <x v="109"/>
    <x v="113"/>
    <x v="0"/>
    <x v="111"/>
    <x v="0"/>
    <x v="111"/>
    <x v="102"/>
    <x v="113"/>
    <x v="85"/>
    <x v="87"/>
    <x v="44"/>
    <x v="44"/>
  </r>
  <r>
    <x v="0"/>
    <x v="306"/>
    <x v="306"/>
    <x v="306"/>
    <x v="1"/>
    <x v="8"/>
    <x v="8"/>
    <x v="0"/>
    <x v="8"/>
    <x v="0"/>
    <x v="8"/>
    <x v="8"/>
    <x v="8"/>
    <x v="4"/>
    <x v="4"/>
    <x v="0"/>
    <x v="0"/>
  </r>
  <r>
    <x v="2"/>
    <x v="307"/>
    <x v="307"/>
    <x v="307"/>
    <x v="0"/>
    <x v="20"/>
    <x v="114"/>
    <x v="0"/>
    <x v="112"/>
    <x v="0"/>
    <x v="112"/>
    <x v="19"/>
    <x v="114"/>
    <x v="4"/>
    <x v="4"/>
    <x v="0"/>
    <x v="0"/>
  </r>
  <r>
    <x v="2"/>
    <x v="308"/>
    <x v="308"/>
    <x v="308"/>
    <x v="0"/>
    <x v="110"/>
    <x v="115"/>
    <x v="0"/>
    <x v="113"/>
    <x v="0"/>
    <x v="113"/>
    <x v="103"/>
    <x v="115"/>
    <x v="86"/>
    <x v="88"/>
    <x v="0"/>
    <x v="0"/>
  </r>
  <r>
    <x v="2"/>
    <x v="309"/>
    <x v="309"/>
    <x v="309"/>
    <x v="1"/>
    <x v="8"/>
    <x v="8"/>
    <x v="0"/>
    <x v="8"/>
    <x v="0"/>
    <x v="8"/>
    <x v="8"/>
    <x v="8"/>
    <x v="4"/>
    <x v="4"/>
    <x v="0"/>
    <x v="0"/>
  </r>
  <r>
    <x v="2"/>
    <x v="310"/>
    <x v="310"/>
    <x v="310"/>
    <x v="1"/>
    <x v="8"/>
    <x v="8"/>
    <x v="0"/>
    <x v="8"/>
    <x v="0"/>
    <x v="8"/>
    <x v="8"/>
    <x v="8"/>
    <x v="4"/>
    <x v="4"/>
    <x v="0"/>
    <x v="0"/>
  </r>
  <r>
    <x v="2"/>
    <x v="311"/>
    <x v="311"/>
    <x v="311"/>
    <x v="1"/>
    <x v="8"/>
    <x v="8"/>
    <x v="0"/>
    <x v="8"/>
    <x v="0"/>
    <x v="8"/>
    <x v="8"/>
    <x v="8"/>
    <x v="4"/>
    <x v="4"/>
    <x v="0"/>
    <x v="0"/>
  </r>
  <r>
    <x v="2"/>
    <x v="312"/>
    <x v="312"/>
    <x v="312"/>
    <x v="1"/>
    <x v="8"/>
    <x v="8"/>
    <x v="0"/>
    <x v="8"/>
    <x v="0"/>
    <x v="8"/>
    <x v="8"/>
    <x v="8"/>
    <x v="4"/>
    <x v="4"/>
    <x v="0"/>
    <x v="0"/>
  </r>
  <r>
    <x v="2"/>
    <x v="313"/>
    <x v="313"/>
    <x v="313"/>
    <x v="1"/>
    <x v="8"/>
    <x v="8"/>
    <x v="0"/>
    <x v="8"/>
    <x v="0"/>
    <x v="8"/>
    <x v="8"/>
    <x v="8"/>
    <x v="4"/>
    <x v="4"/>
    <x v="0"/>
    <x v="0"/>
  </r>
  <r>
    <x v="0"/>
    <x v="314"/>
    <x v="314"/>
    <x v="314"/>
    <x v="1"/>
    <x v="8"/>
    <x v="8"/>
    <x v="0"/>
    <x v="8"/>
    <x v="0"/>
    <x v="8"/>
    <x v="8"/>
    <x v="8"/>
    <x v="4"/>
    <x v="4"/>
    <x v="0"/>
    <x v="0"/>
  </r>
  <r>
    <x v="2"/>
    <x v="315"/>
    <x v="315"/>
    <x v="315"/>
    <x v="0"/>
    <x v="111"/>
    <x v="116"/>
    <x v="0"/>
    <x v="114"/>
    <x v="0"/>
    <x v="114"/>
    <x v="4"/>
    <x v="116"/>
    <x v="4"/>
    <x v="4"/>
    <x v="0"/>
    <x v="0"/>
  </r>
  <r>
    <x v="2"/>
    <x v="316"/>
    <x v="316"/>
    <x v="316"/>
    <x v="1"/>
    <x v="8"/>
    <x v="8"/>
    <x v="0"/>
    <x v="8"/>
    <x v="0"/>
    <x v="8"/>
    <x v="8"/>
    <x v="8"/>
    <x v="4"/>
    <x v="4"/>
    <x v="0"/>
    <x v="0"/>
  </r>
  <r>
    <x v="2"/>
    <x v="317"/>
    <x v="317"/>
    <x v="317"/>
    <x v="0"/>
    <x v="112"/>
    <x v="117"/>
    <x v="0"/>
    <x v="115"/>
    <x v="0"/>
    <x v="115"/>
    <x v="104"/>
    <x v="117"/>
    <x v="87"/>
    <x v="89"/>
    <x v="45"/>
    <x v="45"/>
  </r>
  <r>
    <x v="1"/>
    <x v="318"/>
    <x v="318"/>
    <x v="318"/>
    <x v="1"/>
    <x v="8"/>
    <x v="8"/>
    <x v="0"/>
    <x v="8"/>
    <x v="0"/>
    <x v="8"/>
    <x v="8"/>
    <x v="8"/>
    <x v="4"/>
    <x v="4"/>
    <x v="0"/>
    <x v="0"/>
  </r>
  <r>
    <x v="0"/>
    <x v="319"/>
    <x v="319"/>
    <x v="319"/>
    <x v="0"/>
    <x v="113"/>
    <x v="118"/>
    <x v="0"/>
    <x v="116"/>
    <x v="0"/>
    <x v="116"/>
    <x v="105"/>
    <x v="118"/>
    <x v="8"/>
    <x v="8"/>
    <x v="0"/>
    <x v="0"/>
  </r>
  <r>
    <x v="2"/>
    <x v="320"/>
    <x v="320"/>
    <x v="320"/>
    <x v="0"/>
    <x v="114"/>
    <x v="119"/>
    <x v="0"/>
    <x v="117"/>
    <x v="0"/>
    <x v="117"/>
    <x v="106"/>
    <x v="119"/>
    <x v="88"/>
    <x v="90"/>
    <x v="46"/>
    <x v="46"/>
  </r>
  <r>
    <x v="0"/>
    <x v="321"/>
    <x v="321"/>
    <x v="321"/>
    <x v="1"/>
    <x v="8"/>
    <x v="8"/>
    <x v="0"/>
    <x v="8"/>
    <x v="0"/>
    <x v="8"/>
    <x v="8"/>
    <x v="8"/>
    <x v="4"/>
    <x v="4"/>
    <x v="0"/>
    <x v="0"/>
  </r>
  <r>
    <x v="1"/>
    <x v="322"/>
    <x v="322"/>
    <x v="322"/>
    <x v="0"/>
    <x v="115"/>
    <x v="120"/>
    <x v="0"/>
    <x v="118"/>
    <x v="0"/>
    <x v="118"/>
    <x v="107"/>
    <x v="120"/>
    <x v="4"/>
    <x v="4"/>
    <x v="0"/>
    <x v="0"/>
  </r>
  <r>
    <x v="1"/>
    <x v="323"/>
    <x v="323"/>
    <x v="323"/>
    <x v="0"/>
    <x v="116"/>
    <x v="121"/>
    <x v="0"/>
    <x v="119"/>
    <x v="0"/>
    <x v="119"/>
    <x v="9"/>
    <x v="121"/>
    <x v="8"/>
    <x v="8"/>
    <x v="0"/>
    <x v="0"/>
  </r>
  <r>
    <x v="2"/>
    <x v="324"/>
    <x v="324"/>
    <x v="324"/>
    <x v="1"/>
    <x v="8"/>
    <x v="8"/>
    <x v="0"/>
    <x v="8"/>
    <x v="0"/>
    <x v="8"/>
    <x v="8"/>
    <x v="8"/>
    <x v="4"/>
    <x v="4"/>
    <x v="0"/>
    <x v="0"/>
  </r>
  <r>
    <x v="0"/>
    <x v="325"/>
    <x v="325"/>
    <x v="325"/>
    <x v="1"/>
    <x v="8"/>
    <x v="8"/>
    <x v="0"/>
    <x v="8"/>
    <x v="0"/>
    <x v="8"/>
    <x v="8"/>
    <x v="8"/>
    <x v="4"/>
    <x v="4"/>
    <x v="0"/>
    <x v="0"/>
  </r>
  <r>
    <x v="2"/>
    <x v="326"/>
    <x v="326"/>
    <x v="326"/>
    <x v="1"/>
    <x v="8"/>
    <x v="8"/>
    <x v="0"/>
    <x v="8"/>
    <x v="0"/>
    <x v="8"/>
    <x v="8"/>
    <x v="8"/>
    <x v="4"/>
    <x v="4"/>
    <x v="0"/>
    <x v="0"/>
  </r>
  <r>
    <x v="1"/>
    <x v="327"/>
    <x v="327"/>
    <x v="327"/>
    <x v="0"/>
    <x v="117"/>
    <x v="122"/>
    <x v="0"/>
    <x v="120"/>
    <x v="0"/>
    <x v="120"/>
    <x v="108"/>
    <x v="122"/>
    <x v="89"/>
    <x v="91"/>
    <x v="47"/>
    <x v="47"/>
  </r>
  <r>
    <x v="0"/>
    <x v="328"/>
    <x v="328"/>
    <x v="328"/>
    <x v="0"/>
    <x v="118"/>
    <x v="123"/>
    <x v="0"/>
    <x v="121"/>
    <x v="0"/>
    <x v="121"/>
    <x v="109"/>
    <x v="123"/>
    <x v="90"/>
    <x v="92"/>
    <x v="48"/>
    <x v="48"/>
  </r>
  <r>
    <x v="0"/>
    <x v="329"/>
    <x v="329"/>
    <x v="329"/>
    <x v="1"/>
    <x v="8"/>
    <x v="8"/>
    <x v="0"/>
    <x v="8"/>
    <x v="0"/>
    <x v="8"/>
    <x v="8"/>
    <x v="8"/>
    <x v="4"/>
    <x v="4"/>
    <x v="0"/>
    <x v="0"/>
  </r>
  <r>
    <x v="0"/>
    <x v="330"/>
    <x v="330"/>
    <x v="330"/>
    <x v="1"/>
    <x v="8"/>
    <x v="8"/>
    <x v="0"/>
    <x v="8"/>
    <x v="0"/>
    <x v="8"/>
    <x v="8"/>
    <x v="8"/>
    <x v="4"/>
    <x v="4"/>
    <x v="0"/>
    <x v="0"/>
  </r>
  <r>
    <x v="1"/>
    <x v="331"/>
    <x v="331"/>
    <x v="331"/>
    <x v="1"/>
    <x v="8"/>
    <x v="8"/>
    <x v="0"/>
    <x v="8"/>
    <x v="0"/>
    <x v="8"/>
    <x v="8"/>
    <x v="8"/>
    <x v="4"/>
    <x v="4"/>
    <x v="0"/>
    <x v="0"/>
  </r>
  <r>
    <x v="2"/>
    <x v="332"/>
    <x v="332"/>
    <x v="332"/>
    <x v="0"/>
    <x v="119"/>
    <x v="124"/>
    <x v="0"/>
    <x v="122"/>
    <x v="0"/>
    <x v="122"/>
    <x v="110"/>
    <x v="124"/>
    <x v="91"/>
    <x v="93"/>
    <x v="4"/>
    <x v="4"/>
  </r>
  <r>
    <x v="2"/>
    <x v="333"/>
    <x v="333"/>
    <x v="333"/>
    <x v="1"/>
    <x v="8"/>
    <x v="8"/>
    <x v="0"/>
    <x v="8"/>
    <x v="0"/>
    <x v="8"/>
    <x v="8"/>
    <x v="8"/>
    <x v="4"/>
    <x v="4"/>
    <x v="0"/>
    <x v="0"/>
  </r>
  <r>
    <x v="1"/>
    <x v="334"/>
    <x v="334"/>
    <x v="334"/>
    <x v="0"/>
    <x v="120"/>
    <x v="125"/>
    <x v="0"/>
    <x v="123"/>
    <x v="0"/>
    <x v="123"/>
    <x v="111"/>
    <x v="125"/>
    <x v="92"/>
    <x v="94"/>
    <x v="0"/>
    <x v="0"/>
  </r>
  <r>
    <x v="0"/>
    <x v="335"/>
    <x v="335"/>
    <x v="335"/>
    <x v="1"/>
    <x v="8"/>
    <x v="8"/>
    <x v="0"/>
    <x v="8"/>
    <x v="0"/>
    <x v="8"/>
    <x v="8"/>
    <x v="8"/>
    <x v="4"/>
    <x v="4"/>
    <x v="0"/>
    <x v="0"/>
  </r>
  <r>
    <x v="1"/>
    <x v="336"/>
    <x v="336"/>
    <x v="336"/>
    <x v="1"/>
    <x v="8"/>
    <x v="8"/>
    <x v="0"/>
    <x v="8"/>
    <x v="0"/>
    <x v="8"/>
    <x v="8"/>
    <x v="8"/>
    <x v="4"/>
    <x v="4"/>
    <x v="0"/>
    <x v="0"/>
  </r>
  <r>
    <x v="2"/>
    <x v="337"/>
    <x v="337"/>
    <x v="337"/>
    <x v="0"/>
    <x v="121"/>
    <x v="126"/>
    <x v="0"/>
    <x v="124"/>
    <x v="0"/>
    <x v="124"/>
    <x v="112"/>
    <x v="126"/>
    <x v="93"/>
    <x v="95"/>
    <x v="49"/>
    <x v="49"/>
  </r>
  <r>
    <x v="0"/>
    <x v="338"/>
    <x v="338"/>
    <x v="338"/>
    <x v="1"/>
    <x v="8"/>
    <x v="8"/>
    <x v="0"/>
    <x v="8"/>
    <x v="0"/>
    <x v="8"/>
    <x v="8"/>
    <x v="8"/>
    <x v="4"/>
    <x v="4"/>
    <x v="0"/>
    <x v="0"/>
  </r>
  <r>
    <x v="2"/>
    <x v="339"/>
    <x v="339"/>
    <x v="339"/>
    <x v="1"/>
    <x v="8"/>
    <x v="8"/>
    <x v="0"/>
    <x v="8"/>
    <x v="0"/>
    <x v="8"/>
    <x v="8"/>
    <x v="8"/>
    <x v="4"/>
    <x v="4"/>
    <x v="0"/>
    <x v="0"/>
  </r>
  <r>
    <x v="2"/>
    <x v="340"/>
    <x v="340"/>
    <x v="340"/>
    <x v="0"/>
    <x v="122"/>
    <x v="127"/>
    <x v="0"/>
    <x v="125"/>
    <x v="0"/>
    <x v="125"/>
    <x v="113"/>
    <x v="127"/>
    <x v="94"/>
    <x v="96"/>
    <x v="50"/>
    <x v="50"/>
  </r>
  <r>
    <x v="0"/>
    <x v="341"/>
    <x v="341"/>
    <x v="341"/>
    <x v="1"/>
    <x v="8"/>
    <x v="8"/>
    <x v="0"/>
    <x v="8"/>
    <x v="0"/>
    <x v="8"/>
    <x v="8"/>
    <x v="8"/>
    <x v="4"/>
    <x v="4"/>
    <x v="0"/>
    <x v="0"/>
  </r>
  <r>
    <x v="2"/>
    <x v="342"/>
    <x v="342"/>
    <x v="342"/>
    <x v="0"/>
    <x v="123"/>
    <x v="128"/>
    <x v="0"/>
    <x v="126"/>
    <x v="0"/>
    <x v="126"/>
    <x v="114"/>
    <x v="128"/>
    <x v="6"/>
    <x v="6"/>
    <x v="0"/>
    <x v="0"/>
  </r>
  <r>
    <x v="2"/>
    <x v="343"/>
    <x v="343"/>
    <x v="343"/>
    <x v="0"/>
    <x v="124"/>
    <x v="129"/>
    <x v="0"/>
    <x v="127"/>
    <x v="0"/>
    <x v="127"/>
    <x v="115"/>
    <x v="129"/>
    <x v="95"/>
    <x v="97"/>
    <x v="51"/>
    <x v="51"/>
  </r>
  <r>
    <x v="0"/>
    <x v="344"/>
    <x v="344"/>
    <x v="344"/>
    <x v="0"/>
    <x v="125"/>
    <x v="130"/>
    <x v="0"/>
    <x v="128"/>
    <x v="0"/>
    <x v="128"/>
    <x v="116"/>
    <x v="130"/>
    <x v="96"/>
    <x v="98"/>
    <x v="0"/>
    <x v="0"/>
  </r>
  <r>
    <x v="0"/>
    <x v="345"/>
    <x v="345"/>
    <x v="345"/>
    <x v="1"/>
    <x v="8"/>
    <x v="8"/>
    <x v="0"/>
    <x v="8"/>
    <x v="0"/>
    <x v="8"/>
    <x v="8"/>
    <x v="8"/>
    <x v="4"/>
    <x v="4"/>
    <x v="0"/>
    <x v="0"/>
  </r>
  <r>
    <x v="0"/>
    <x v="346"/>
    <x v="346"/>
    <x v="346"/>
    <x v="1"/>
    <x v="8"/>
    <x v="8"/>
    <x v="0"/>
    <x v="8"/>
    <x v="0"/>
    <x v="8"/>
    <x v="8"/>
    <x v="8"/>
    <x v="4"/>
    <x v="4"/>
    <x v="0"/>
    <x v="0"/>
  </r>
  <r>
    <x v="2"/>
    <x v="347"/>
    <x v="347"/>
    <x v="347"/>
    <x v="0"/>
    <x v="126"/>
    <x v="131"/>
    <x v="0"/>
    <x v="129"/>
    <x v="0"/>
    <x v="129"/>
    <x v="65"/>
    <x v="131"/>
    <x v="4"/>
    <x v="4"/>
    <x v="0"/>
    <x v="0"/>
  </r>
  <r>
    <x v="2"/>
    <x v="348"/>
    <x v="348"/>
    <x v="348"/>
    <x v="0"/>
    <x v="127"/>
    <x v="132"/>
    <x v="0"/>
    <x v="130"/>
    <x v="0"/>
    <x v="130"/>
    <x v="117"/>
    <x v="132"/>
    <x v="96"/>
    <x v="98"/>
    <x v="52"/>
    <x v="52"/>
  </r>
  <r>
    <x v="2"/>
    <x v="349"/>
    <x v="349"/>
    <x v="349"/>
    <x v="1"/>
    <x v="8"/>
    <x v="8"/>
    <x v="0"/>
    <x v="8"/>
    <x v="0"/>
    <x v="8"/>
    <x v="8"/>
    <x v="8"/>
    <x v="4"/>
    <x v="4"/>
    <x v="0"/>
    <x v="0"/>
  </r>
  <r>
    <x v="0"/>
    <x v="350"/>
    <x v="350"/>
    <x v="350"/>
    <x v="1"/>
    <x v="8"/>
    <x v="8"/>
    <x v="0"/>
    <x v="8"/>
    <x v="0"/>
    <x v="8"/>
    <x v="8"/>
    <x v="8"/>
    <x v="4"/>
    <x v="4"/>
    <x v="0"/>
    <x v="0"/>
  </r>
  <r>
    <x v="2"/>
    <x v="351"/>
    <x v="351"/>
    <x v="351"/>
    <x v="0"/>
    <x v="128"/>
    <x v="133"/>
    <x v="0"/>
    <x v="131"/>
    <x v="0"/>
    <x v="131"/>
    <x v="118"/>
    <x v="133"/>
    <x v="97"/>
    <x v="99"/>
    <x v="53"/>
    <x v="53"/>
  </r>
  <r>
    <x v="0"/>
    <x v="352"/>
    <x v="352"/>
    <x v="352"/>
    <x v="0"/>
    <x v="129"/>
    <x v="134"/>
    <x v="0"/>
    <x v="132"/>
    <x v="0"/>
    <x v="132"/>
    <x v="119"/>
    <x v="134"/>
    <x v="32"/>
    <x v="33"/>
    <x v="0"/>
    <x v="0"/>
  </r>
  <r>
    <x v="0"/>
    <x v="353"/>
    <x v="353"/>
    <x v="353"/>
    <x v="1"/>
    <x v="8"/>
    <x v="8"/>
    <x v="0"/>
    <x v="8"/>
    <x v="0"/>
    <x v="8"/>
    <x v="8"/>
    <x v="8"/>
    <x v="4"/>
    <x v="4"/>
    <x v="0"/>
    <x v="0"/>
  </r>
  <r>
    <x v="0"/>
    <x v="354"/>
    <x v="354"/>
    <x v="354"/>
    <x v="0"/>
    <x v="130"/>
    <x v="135"/>
    <x v="19"/>
    <x v="133"/>
    <x v="20"/>
    <x v="133"/>
    <x v="120"/>
    <x v="135"/>
    <x v="98"/>
    <x v="100"/>
    <x v="0"/>
    <x v="0"/>
  </r>
  <r>
    <x v="2"/>
    <x v="355"/>
    <x v="355"/>
    <x v="355"/>
    <x v="0"/>
    <x v="131"/>
    <x v="136"/>
    <x v="0"/>
    <x v="134"/>
    <x v="0"/>
    <x v="134"/>
    <x v="121"/>
    <x v="136"/>
    <x v="99"/>
    <x v="101"/>
    <x v="0"/>
    <x v="0"/>
  </r>
  <r>
    <x v="1"/>
    <x v="356"/>
    <x v="356"/>
    <x v="356"/>
    <x v="0"/>
    <x v="132"/>
    <x v="137"/>
    <x v="0"/>
    <x v="135"/>
    <x v="0"/>
    <x v="135"/>
    <x v="9"/>
    <x v="137"/>
    <x v="8"/>
    <x v="8"/>
    <x v="0"/>
    <x v="0"/>
  </r>
  <r>
    <x v="0"/>
    <x v="357"/>
    <x v="357"/>
    <x v="357"/>
    <x v="1"/>
    <x v="8"/>
    <x v="8"/>
    <x v="0"/>
    <x v="8"/>
    <x v="0"/>
    <x v="8"/>
    <x v="8"/>
    <x v="8"/>
    <x v="4"/>
    <x v="4"/>
    <x v="0"/>
    <x v="0"/>
  </r>
  <r>
    <x v="0"/>
    <x v="358"/>
    <x v="358"/>
    <x v="358"/>
    <x v="1"/>
    <x v="8"/>
    <x v="8"/>
    <x v="0"/>
    <x v="8"/>
    <x v="0"/>
    <x v="8"/>
    <x v="8"/>
    <x v="8"/>
    <x v="4"/>
    <x v="4"/>
    <x v="0"/>
    <x v="0"/>
  </r>
  <r>
    <x v="2"/>
    <x v="359"/>
    <x v="359"/>
    <x v="359"/>
    <x v="0"/>
    <x v="133"/>
    <x v="138"/>
    <x v="0"/>
    <x v="136"/>
    <x v="0"/>
    <x v="136"/>
    <x v="81"/>
    <x v="138"/>
    <x v="0"/>
    <x v="0"/>
    <x v="0"/>
    <x v="0"/>
  </r>
  <r>
    <x v="0"/>
    <x v="360"/>
    <x v="360"/>
    <x v="360"/>
    <x v="1"/>
    <x v="8"/>
    <x v="8"/>
    <x v="0"/>
    <x v="8"/>
    <x v="0"/>
    <x v="8"/>
    <x v="8"/>
    <x v="8"/>
    <x v="4"/>
    <x v="4"/>
    <x v="0"/>
    <x v="0"/>
  </r>
  <r>
    <x v="2"/>
    <x v="361"/>
    <x v="361"/>
    <x v="361"/>
    <x v="1"/>
    <x v="8"/>
    <x v="8"/>
    <x v="0"/>
    <x v="8"/>
    <x v="0"/>
    <x v="8"/>
    <x v="8"/>
    <x v="8"/>
    <x v="4"/>
    <x v="4"/>
    <x v="0"/>
    <x v="0"/>
  </r>
  <r>
    <x v="2"/>
    <x v="362"/>
    <x v="362"/>
    <x v="362"/>
    <x v="0"/>
    <x v="134"/>
    <x v="139"/>
    <x v="0"/>
    <x v="137"/>
    <x v="0"/>
    <x v="137"/>
    <x v="122"/>
    <x v="139"/>
    <x v="6"/>
    <x v="6"/>
    <x v="4"/>
    <x v="4"/>
  </r>
  <r>
    <x v="2"/>
    <x v="363"/>
    <x v="363"/>
    <x v="363"/>
    <x v="0"/>
    <x v="135"/>
    <x v="140"/>
    <x v="0"/>
    <x v="138"/>
    <x v="0"/>
    <x v="138"/>
    <x v="9"/>
    <x v="140"/>
    <x v="8"/>
    <x v="8"/>
    <x v="0"/>
    <x v="0"/>
  </r>
  <r>
    <x v="2"/>
    <x v="364"/>
    <x v="364"/>
    <x v="364"/>
    <x v="1"/>
    <x v="8"/>
    <x v="8"/>
    <x v="0"/>
    <x v="8"/>
    <x v="0"/>
    <x v="8"/>
    <x v="8"/>
    <x v="8"/>
    <x v="4"/>
    <x v="4"/>
    <x v="0"/>
    <x v="0"/>
  </r>
  <r>
    <x v="2"/>
    <x v="365"/>
    <x v="365"/>
    <x v="365"/>
    <x v="1"/>
    <x v="8"/>
    <x v="8"/>
    <x v="0"/>
    <x v="8"/>
    <x v="0"/>
    <x v="8"/>
    <x v="8"/>
    <x v="8"/>
    <x v="4"/>
    <x v="4"/>
    <x v="0"/>
    <x v="0"/>
  </r>
  <r>
    <x v="2"/>
    <x v="366"/>
    <x v="366"/>
    <x v="366"/>
    <x v="0"/>
    <x v="136"/>
    <x v="141"/>
    <x v="0"/>
    <x v="139"/>
    <x v="0"/>
    <x v="139"/>
    <x v="118"/>
    <x v="141"/>
    <x v="100"/>
    <x v="102"/>
    <x v="0"/>
    <x v="0"/>
  </r>
  <r>
    <x v="0"/>
    <x v="367"/>
    <x v="367"/>
    <x v="367"/>
    <x v="1"/>
    <x v="8"/>
    <x v="8"/>
    <x v="0"/>
    <x v="8"/>
    <x v="0"/>
    <x v="8"/>
    <x v="8"/>
    <x v="8"/>
    <x v="4"/>
    <x v="4"/>
    <x v="0"/>
    <x v="0"/>
  </r>
  <r>
    <x v="2"/>
    <x v="368"/>
    <x v="368"/>
    <x v="368"/>
    <x v="0"/>
    <x v="62"/>
    <x v="63"/>
    <x v="0"/>
    <x v="140"/>
    <x v="0"/>
    <x v="140"/>
    <x v="83"/>
    <x v="142"/>
    <x v="8"/>
    <x v="8"/>
    <x v="0"/>
    <x v="0"/>
  </r>
  <r>
    <x v="2"/>
    <x v="369"/>
    <x v="369"/>
    <x v="369"/>
    <x v="1"/>
    <x v="8"/>
    <x v="8"/>
    <x v="0"/>
    <x v="8"/>
    <x v="0"/>
    <x v="8"/>
    <x v="8"/>
    <x v="8"/>
    <x v="4"/>
    <x v="4"/>
    <x v="0"/>
    <x v="0"/>
  </r>
  <r>
    <x v="0"/>
    <x v="370"/>
    <x v="370"/>
    <x v="370"/>
    <x v="1"/>
    <x v="8"/>
    <x v="8"/>
    <x v="0"/>
    <x v="8"/>
    <x v="0"/>
    <x v="8"/>
    <x v="8"/>
    <x v="8"/>
    <x v="4"/>
    <x v="4"/>
    <x v="0"/>
    <x v="0"/>
  </r>
  <r>
    <x v="2"/>
    <x v="371"/>
    <x v="371"/>
    <x v="371"/>
    <x v="0"/>
    <x v="137"/>
    <x v="142"/>
    <x v="0"/>
    <x v="141"/>
    <x v="0"/>
    <x v="141"/>
    <x v="123"/>
    <x v="143"/>
    <x v="27"/>
    <x v="28"/>
    <x v="0"/>
    <x v="0"/>
  </r>
  <r>
    <x v="1"/>
    <x v="372"/>
    <x v="372"/>
    <x v="372"/>
    <x v="1"/>
    <x v="8"/>
    <x v="8"/>
    <x v="0"/>
    <x v="8"/>
    <x v="0"/>
    <x v="8"/>
    <x v="8"/>
    <x v="8"/>
    <x v="4"/>
    <x v="4"/>
    <x v="0"/>
    <x v="0"/>
  </r>
  <r>
    <x v="0"/>
    <x v="373"/>
    <x v="373"/>
    <x v="373"/>
    <x v="1"/>
    <x v="8"/>
    <x v="8"/>
    <x v="0"/>
    <x v="8"/>
    <x v="0"/>
    <x v="8"/>
    <x v="8"/>
    <x v="8"/>
    <x v="4"/>
    <x v="4"/>
    <x v="0"/>
    <x v="0"/>
  </r>
  <r>
    <x v="2"/>
    <x v="374"/>
    <x v="374"/>
    <x v="374"/>
    <x v="0"/>
    <x v="35"/>
    <x v="143"/>
    <x v="0"/>
    <x v="142"/>
    <x v="0"/>
    <x v="142"/>
    <x v="124"/>
    <x v="144"/>
    <x v="42"/>
    <x v="43"/>
    <x v="0"/>
    <x v="0"/>
  </r>
  <r>
    <x v="1"/>
    <x v="375"/>
    <x v="375"/>
    <x v="375"/>
    <x v="0"/>
    <x v="138"/>
    <x v="144"/>
    <x v="0"/>
    <x v="143"/>
    <x v="0"/>
    <x v="143"/>
    <x v="125"/>
    <x v="145"/>
    <x v="101"/>
    <x v="103"/>
    <x v="54"/>
    <x v="54"/>
  </r>
  <r>
    <x v="2"/>
    <x v="376"/>
    <x v="376"/>
    <x v="376"/>
    <x v="0"/>
    <x v="139"/>
    <x v="145"/>
    <x v="0"/>
    <x v="144"/>
    <x v="0"/>
    <x v="144"/>
    <x v="126"/>
    <x v="146"/>
    <x v="102"/>
    <x v="104"/>
    <x v="55"/>
    <x v="55"/>
  </r>
  <r>
    <x v="1"/>
    <x v="377"/>
    <x v="377"/>
    <x v="377"/>
    <x v="0"/>
    <x v="140"/>
    <x v="146"/>
    <x v="0"/>
    <x v="145"/>
    <x v="0"/>
    <x v="145"/>
    <x v="127"/>
    <x v="147"/>
    <x v="103"/>
    <x v="105"/>
    <x v="56"/>
    <x v="56"/>
  </r>
  <r>
    <x v="0"/>
    <x v="378"/>
    <x v="378"/>
    <x v="378"/>
    <x v="1"/>
    <x v="8"/>
    <x v="8"/>
    <x v="0"/>
    <x v="8"/>
    <x v="0"/>
    <x v="8"/>
    <x v="8"/>
    <x v="8"/>
    <x v="4"/>
    <x v="4"/>
    <x v="0"/>
    <x v="0"/>
  </r>
  <r>
    <x v="2"/>
    <x v="379"/>
    <x v="379"/>
    <x v="379"/>
    <x v="1"/>
    <x v="8"/>
    <x v="8"/>
    <x v="0"/>
    <x v="8"/>
    <x v="0"/>
    <x v="8"/>
    <x v="8"/>
    <x v="8"/>
    <x v="4"/>
    <x v="4"/>
    <x v="0"/>
    <x v="0"/>
  </r>
  <r>
    <x v="1"/>
    <x v="380"/>
    <x v="380"/>
    <x v="380"/>
    <x v="1"/>
    <x v="8"/>
    <x v="8"/>
    <x v="0"/>
    <x v="8"/>
    <x v="0"/>
    <x v="8"/>
    <x v="8"/>
    <x v="8"/>
    <x v="4"/>
    <x v="4"/>
    <x v="0"/>
    <x v="0"/>
  </r>
  <r>
    <x v="2"/>
    <x v="381"/>
    <x v="381"/>
    <x v="381"/>
    <x v="1"/>
    <x v="8"/>
    <x v="8"/>
    <x v="0"/>
    <x v="8"/>
    <x v="0"/>
    <x v="8"/>
    <x v="8"/>
    <x v="8"/>
    <x v="4"/>
    <x v="4"/>
    <x v="0"/>
    <x v="0"/>
  </r>
  <r>
    <x v="0"/>
    <x v="382"/>
    <x v="382"/>
    <x v="382"/>
    <x v="1"/>
    <x v="8"/>
    <x v="8"/>
    <x v="0"/>
    <x v="8"/>
    <x v="0"/>
    <x v="8"/>
    <x v="8"/>
    <x v="8"/>
    <x v="4"/>
    <x v="4"/>
    <x v="0"/>
    <x v="0"/>
  </r>
  <r>
    <x v="0"/>
    <x v="383"/>
    <x v="383"/>
    <x v="383"/>
    <x v="1"/>
    <x v="8"/>
    <x v="8"/>
    <x v="0"/>
    <x v="8"/>
    <x v="0"/>
    <x v="8"/>
    <x v="8"/>
    <x v="8"/>
    <x v="4"/>
    <x v="4"/>
    <x v="0"/>
    <x v="0"/>
  </r>
  <r>
    <x v="2"/>
    <x v="384"/>
    <x v="384"/>
    <x v="384"/>
    <x v="0"/>
    <x v="141"/>
    <x v="147"/>
    <x v="0"/>
    <x v="146"/>
    <x v="0"/>
    <x v="146"/>
    <x v="128"/>
    <x v="148"/>
    <x v="82"/>
    <x v="84"/>
    <x v="0"/>
    <x v="0"/>
  </r>
  <r>
    <x v="0"/>
    <x v="385"/>
    <x v="385"/>
    <x v="385"/>
    <x v="0"/>
    <x v="142"/>
    <x v="148"/>
    <x v="0"/>
    <x v="147"/>
    <x v="0"/>
    <x v="147"/>
    <x v="67"/>
    <x v="149"/>
    <x v="53"/>
    <x v="55"/>
    <x v="0"/>
    <x v="0"/>
  </r>
  <r>
    <x v="2"/>
    <x v="386"/>
    <x v="386"/>
    <x v="386"/>
    <x v="1"/>
    <x v="8"/>
    <x v="8"/>
    <x v="0"/>
    <x v="8"/>
    <x v="0"/>
    <x v="8"/>
    <x v="8"/>
    <x v="8"/>
    <x v="4"/>
    <x v="4"/>
    <x v="0"/>
    <x v="0"/>
  </r>
  <r>
    <x v="0"/>
    <x v="387"/>
    <x v="387"/>
    <x v="387"/>
    <x v="1"/>
    <x v="8"/>
    <x v="8"/>
    <x v="0"/>
    <x v="8"/>
    <x v="0"/>
    <x v="8"/>
    <x v="8"/>
    <x v="8"/>
    <x v="4"/>
    <x v="4"/>
    <x v="0"/>
    <x v="0"/>
  </r>
  <r>
    <x v="0"/>
    <x v="388"/>
    <x v="388"/>
    <x v="388"/>
    <x v="1"/>
    <x v="8"/>
    <x v="8"/>
    <x v="0"/>
    <x v="8"/>
    <x v="0"/>
    <x v="8"/>
    <x v="8"/>
    <x v="8"/>
    <x v="4"/>
    <x v="4"/>
    <x v="0"/>
    <x v="0"/>
  </r>
  <r>
    <x v="2"/>
    <x v="389"/>
    <x v="389"/>
    <x v="389"/>
    <x v="1"/>
    <x v="8"/>
    <x v="8"/>
    <x v="0"/>
    <x v="8"/>
    <x v="0"/>
    <x v="8"/>
    <x v="8"/>
    <x v="8"/>
    <x v="4"/>
    <x v="4"/>
    <x v="0"/>
    <x v="0"/>
  </r>
  <r>
    <x v="2"/>
    <x v="390"/>
    <x v="390"/>
    <x v="390"/>
    <x v="0"/>
    <x v="143"/>
    <x v="149"/>
    <x v="0"/>
    <x v="148"/>
    <x v="0"/>
    <x v="148"/>
    <x v="129"/>
    <x v="150"/>
    <x v="104"/>
    <x v="106"/>
    <x v="57"/>
    <x v="57"/>
  </r>
  <r>
    <x v="0"/>
    <x v="391"/>
    <x v="391"/>
    <x v="391"/>
    <x v="1"/>
    <x v="8"/>
    <x v="8"/>
    <x v="0"/>
    <x v="8"/>
    <x v="0"/>
    <x v="8"/>
    <x v="8"/>
    <x v="8"/>
    <x v="4"/>
    <x v="4"/>
    <x v="0"/>
    <x v="0"/>
  </r>
  <r>
    <x v="2"/>
    <x v="392"/>
    <x v="392"/>
    <x v="392"/>
    <x v="1"/>
    <x v="8"/>
    <x v="8"/>
    <x v="0"/>
    <x v="8"/>
    <x v="0"/>
    <x v="8"/>
    <x v="8"/>
    <x v="8"/>
    <x v="4"/>
    <x v="4"/>
    <x v="0"/>
    <x v="0"/>
  </r>
  <r>
    <x v="2"/>
    <x v="393"/>
    <x v="393"/>
    <x v="393"/>
    <x v="0"/>
    <x v="144"/>
    <x v="150"/>
    <x v="20"/>
    <x v="149"/>
    <x v="21"/>
    <x v="149"/>
    <x v="130"/>
    <x v="151"/>
    <x v="105"/>
    <x v="107"/>
    <x v="0"/>
    <x v="0"/>
  </r>
  <r>
    <x v="2"/>
    <x v="394"/>
    <x v="394"/>
    <x v="394"/>
    <x v="0"/>
    <x v="145"/>
    <x v="151"/>
    <x v="14"/>
    <x v="150"/>
    <x v="14"/>
    <x v="150"/>
    <x v="131"/>
    <x v="152"/>
    <x v="106"/>
    <x v="108"/>
    <x v="35"/>
    <x v="35"/>
  </r>
  <r>
    <x v="0"/>
    <x v="395"/>
    <x v="395"/>
    <x v="395"/>
    <x v="1"/>
    <x v="8"/>
    <x v="8"/>
    <x v="0"/>
    <x v="8"/>
    <x v="0"/>
    <x v="8"/>
    <x v="8"/>
    <x v="8"/>
    <x v="4"/>
    <x v="4"/>
    <x v="0"/>
    <x v="0"/>
  </r>
  <r>
    <x v="2"/>
    <x v="396"/>
    <x v="396"/>
    <x v="396"/>
    <x v="0"/>
    <x v="146"/>
    <x v="152"/>
    <x v="0"/>
    <x v="151"/>
    <x v="0"/>
    <x v="151"/>
    <x v="132"/>
    <x v="153"/>
    <x v="0"/>
    <x v="0"/>
    <x v="0"/>
    <x v="0"/>
  </r>
  <r>
    <x v="2"/>
    <x v="397"/>
    <x v="397"/>
    <x v="397"/>
    <x v="1"/>
    <x v="8"/>
    <x v="8"/>
    <x v="0"/>
    <x v="8"/>
    <x v="0"/>
    <x v="8"/>
    <x v="8"/>
    <x v="8"/>
    <x v="4"/>
    <x v="4"/>
    <x v="0"/>
    <x v="0"/>
  </r>
  <r>
    <x v="2"/>
    <x v="398"/>
    <x v="398"/>
    <x v="398"/>
    <x v="1"/>
    <x v="8"/>
    <x v="8"/>
    <x v="0"/>
    <x v="8"/>
    <x v="0"/>
    <x v="8"/>
    <x v="8"/>
    <x v="8"/>
    <x v="4"/>
    <x v="4"/>
    <x v="0"/>
    <x v="0"/>
  </r>
  <r>
    <x v="2"/>
    <x v="399"/>
    <x v="399"/>
    <x v="399"/>
    <x v="1"/>
    <x v="8"/>
    <x v="8"/>
    <x v="0"/>
    <x v="8"/>
    <x v="0"/>
    <x v="8"/>
    <x v="8"/>
    <x v="8"/>
    <x v="4"/>
    <x v="4"/>
    <x v="0"/>
    <x v="0"/>
  </r>
  <r>
    <x v="2"/>
    <x v="400"/>
    <x v="400"/>
    <x v="400"/>
    <x v="0"/>
    <x v="48"/>
    <x v="49"/>
    <x v="0"/>
    <x v="48"/>
    <x v="0"/>
    <x v="152"/>
    <x v="133"/>
    <x v="154"/>
    <x v="59"/>
    <x v="109"/>
    <x v="58"/>
    <x v="58"/>
  </r>
  <r>
    <x v="0"/>
    <x v="401"/>
    <x v="401"/>
    <x v="401"/>
    <x v="1"/>
    <x v="8"/>
    <x v="8"/>
    <x v="0"/>
    <x v="8"/>
    <x v="0"/>
    <x v="8"/>
    <x v="8"/>
    <x v="8"/>
    <x v="4"/>
    <x v="4"/>
    <x v="0"/>
    <x v="0"/>
  </r>
  <r>
    <x v="2"/>
    <x v="402"/>
    <x v="402"/>
    <x v="402"/>
    <x v="0"/>
    <x v="8"/>
    <x v="8"/>
    <x v="0"/>
    <x v="8"/>
    <x v="0"/>
    <x v="8"/>
    <x v="8"/>
    <x v="8"/>
    <x v="6"/>
    <x v="6"/>
    <x v="0"/>
    <x v="0"/>
  </r>
  <r>
    <x v="2"/>
    <x v="403"/>
    <x v="403"/>
    <x v="403"/>
    <x v="1"/>
    <x v="8"/>
    <x v="8"/>
    <x v="0"/>
    <x v="8"/>
    <x v="0"/>
    <x v="8"/>
    <x v="8"/>
    <x v="8"/>
    <x v="4"/>
    <x v="4"/>
    <x v="0"/>
    <x v="0"/>
  </r>
  <r>
    <x v="2"/>
    <x v="404"/>
    <x v="404"/>
    <x v="404"/>
    <x v="1"/>
    <x v="8"/>
    <x v="8"/>
    <x v="0"/>
    <x v="8"/>
    <x v="0"/>
    <x v="8"/>
    <x v="8"/>
    <x v="8"/>
    <x v="4"/>
    <x v="4"/>
    <x v="0"/>
    <x v="0"/>
  </r>
  <r>
    <x v="1"/>
    <x v="405"/>
    <x v="405"/>
    <x v="405"/>
    <x v="0"/>
    <x v="31"/>
    <x v="31"/>
    <x v="0"/>
    <x v="30"/>
    <x v="0"/>
    <x v="153"/>
    <x v="31"/>
    <x v="155"/>
    <x v="4"/>
    <x v="4"/>
    <x v="0"/>
    <x v="0"/>
  </r>
  <r>
    <x v="2"/>
    <x v="406"/>
    <x v="406"/>
    <x v="406"/>
    <x v="0"/>
    <x v="147"/>
    <x v="153"/>
    <x v="0"/>
    <x v="152"/>
    <x v="0"/>
    <x v="154"/>
    <x v="134"/>
    <x v="156"/>
    <x v="1"/>
    <x v="1"/>
    <x v="59"/>
    <x v="59"/>
  </r>
  <r>
    <x v="0"/>
    <x v="407"/>
    <x v="407"/>
    <x v="407"/>
    <x v="1"/>
    <x v="8"/>
    <x v="8"/>
    <x v="0"/>
    <x v="8"/>
    <x v="0"/>
    <x v="8"/>
    <x v="8"/>
    <x v="8"/>
    <x v="4"/>
    <x v="4"/>
    <x v="0"/>
    <x v="0"/>
  </r>
  <r>
    <x v="0"/>
    <x v="408"/>
    <x v="408"/>
    <x v="408"/>
    <x v="0"/>
    <x v="148"/>
    <x v="154"/>
    <x v="0"/>
    <x v="153"/>
    <x v="0"/>
    <x v="155"/>
    <x v="135"/>
    <x v="157"/>
    <x v="13"/>
    <x v="14"/>
    <x v="60"/>
    <x v="60"/>
  </r>
  <r>
    <x v="0"/>
    <x v="409"/>
    <x v="409"/>
    <x v="409"/>
    <x v="1"/>
    <x v="8"/>
    <x v="8"/>
    <x v="0"/>
    <x v="8"/>
    <x v="0"/>
    <x v="8"/>
    <x v="8"/>
    <x v="8"/>
    <x v="4"/>
    <x v="4"/>
    <x v="0"/>
    <x v="0"/>
  </r>
  <r>
    <x v="0"/>
    <x v="410"/>
    <x v="410"/>
    <x v="410"/>
    <x v="1"/>
    <x v="8"/>
    <x v="8"/>
    <x v="0"/>
    <x v="8"/>
    <x v="0"/>
    <x v="8"/>
    <x v="8"/>
    <x v="8"/>
    <x v="4"/>
    <x v="4"/>
    <x v="0"/>
    <x v="0"/>
  </r>
  <r>
    <x v="2"/>
    <x v="411"/>
    <x v="411"/>
    <x v="411"/>
    <x v="1"/>
    <x v="8"/>
    <x v="8"/>
    <x v="0"/>
    <x v="8"/>
    <x v="0"/>
    <x v="8"/>
    <x v="8"/>
    <x v="8"/>
    <x v="4"/>
    <x v="4"/>
    <x v="0"/>
    <x v="0"/>
  </r>
  <r>
    <x v="2"/>
    <x v="412"/>
    <x v="412"/>
    <x v="412"/>
    <x v="1"/>
    <x v="8"/>
    <x v="8"/>
    <x v="0"/>
    <x v="8"/>
    <x v="0"/>
    <x v="8"/>
    <x v="8"/>
    <x v="8"/>
    <x v="4"/>
    <x v="4"/>
    <x v="0"/>
    <x v="0"/>
  </r>
  <r>
    <x v="0"/>
    <x v="413"/>
    <x v="413"/>
    <x v="413"/>
    <x v="0"/>
    <x v="149"/>
    <x v="155"/>
    <x v="0"/>
    <x v="154"/>
    <x v="0"/>
    <x v="156"/>
    <x v="15"/>
    <x v="158"/>
    <x v="6"/>
    <x v="6"/>
    <x v="0"/>
    <x v="0"/>
  </r>
  <r>
    <x v="0"/>
    <x v="414"/>
    <x v="414"/>
    <x v="414"/>
    <x v="0"/>
    <x v="150"/>
    <x v="156"/>
    <x v="0"/>
    <x v="155"/>
    <x v="0"/>
    <x v="157"/>
    <x v="136"/>
    <x v="159"/>
    <x v="107"/>
    <x v="110"/>
    <x v="61"/>
    <x v="61"/>
  </r>
  <r>
    <x v="2"/>
    <x v="415"/>
    <x v="415"/>
    <x v="415"/>
    <x v="0"/>
    <x v="151"/>
    <x v="157"/>
    <x v="0"/>
    <x v="156"/>
    <x v="0"/>
    <x v="158"/>
    <x v="137"/>
    <x v="160"/>
    <x v="76"/>
    <x v="111"/>
    <x v="62"/>
    <x v="62"/>
  </r>
  <r>
    <x v="2"/>
    <x v="416"/>
    <x v="416"/>
    <x v="416"/>
    <x v="0"/>
    <x v="152"/>
    <x v="158"/>
    <x v="21"/>
    <x v="157"/>
    <x v="22"/>
    <x v="159"/>
    <x v="138"/>
    <x v="161"/>
    <x v="108"/>
    <x v="112"/>
    <x v="63"/>
    <x v="63"/>
  </r>
  <r>
    <x v="2"/>
    <x v="417"/>
    <x v="417"/>
    <x v="417"/>
    <x v="0"/>
    <x v="126"/>
    <x v="131"/>
    <x v="0"/>
    <x v="129"/>
    <x v="0"/>
    <x v="129"/>
    <x v="65"/>
    <x v="131"/>
    <x v="19"/>
    <x v="20"/>
    <x v="0"/>
    <x v="0"/>
  </r>
  <r>
    <x v="2"/>
    <x v="418"/>
    <x v="418"/>
    <x v="418"/>
    <x v="1"/>
    <x v="8"/>
    <x v="8"/>
    <x v="0"/>
    <x v="8"/>
    <x v="0"/>
    <x v="8"/>
    <x v="8"/>
    <x v="8"/>
    <x v="4"/>
    <x v="4"/>
    <x v="0"/>
    <x v="0"/>
  </r>
  <r>
    <x v="2"/>
    <x v="419"/>
    <x v="419"/>
    <x v="419"/>
    <x v="1"/>
    <x v="8"/>
    <x v="8"/>
    <x v="0"/>
    <x v="8"/>
    <x v="0"/>
    <x v="8"/>
    <x v="8"/>
    <x v="8"/>
    <x v="4"/>
    <x v="4"/>
    <x v="0"/>
    <x v="0"/>
  </r>
  <r>
    <x v="0"/>
    <x v="420"/>
    <x v="420"/>
    <x v="420"/>
    <x v="1"/>
    <x v="8"/>
    <x v="8"/>
    <x v="0"/>
    <x v="8"/>
    <x v="0"/>
    <x v="8"/>
    <x v="8"/>
    <x v="8"/>
    <x v="4"/>
    <x v="4"/>
    <x v="0"/>
    <x v="0"/>
  </r>
  <r>
    <x v="0"/>
    <x v="421"/>
    <x v="421"/>
    <x v="421"/>
    <x v="0"/>
    <x v="153"/>
    <x v="159"/>
    <x v="22"/>
    <x v="158"/>
    <x v="23"/>
    <x v="160"/>
    <x v="139"/>
    <x v="162"/>
    <x v="109"/>
    <x v="113"/>
    <x v="64"/>
    <x v="64"/>
  </r>
  <r>
    <x v="2"/>
    <x v="422"/>
    <x v="422"/>
    <x v="422"/>
    <x v="0"/>
    <x v="73"/>
    <x v="160"/>
    <x v="0"/>
    <x v="159"/>
    <x v="0"/>
    <x v="161"/>
    <x v="140"/>
    <x v="163"/>
    <x v="110"/>
    <x v="114"/>
    <x v="0"/>
    <x v="0"/>
  </r>
  <r>
    <x v="2"/>
    <x v="423"/>
    <x v="423"/>
    <x v="423"/>
    <x v="0"/>
    <x v="154"/>
    <x v="161"/>
    <x v="0"/>
    <x v="160"/>
    <x v="0"/>
    <x v="162"/>
    <x v="141"/>
    <x v="164"/>
    <x v="4"/>
    <x v="4"/>
    <x v="0"/>
    <x v="0"/>
  </r>
  <r>
    <x v="2"/>
    <x v="424"/>
    <x v="424"/>
    <x v="424"/>
    <x v="0"/>
    <x v="155"/>
    <x v="162"/>
    <x v="0"/>
    <x v="161"/>
    <x v="0"/>
    <x v="163"/>
    <x v="79"/>
    <x v="165"/>
    <x v="0"/>
    <x v="0"/>
    <x v="0"/>
    <x v="0"/>
  </r>
  <r>
    <x v="0"/>
    <x v="425"/>
    <x v="425"/>
    <x v="425"/>
    <x v="0"/>
    <x v="156"/>
    <x v="163"/>
    <x v="20"/>
    <x v="162"/>
    <x v="24"/>
    <x v="164"/>
    <x v="142"/>
    <x v="166"/>
    <x v="111"/>
    <x v="115"/>
    <x v="65"/>
    <x v="65"/>
  </r>
  <r>
    <x v="2"/>
    <x v="426"/>
    <x v="426"/>
    <x v="426"/>
    <x v="1"/>
    <x v="8"/>
    <x v="8"/>
    <x v="0"/>
    <x v="8"/>
    <x v="0"/>
    <x v="8"/>
    <x v="8"/>
    <x v="8"/>
    <x v="4"/>
    <x v="4"/>
    <x v="0"/>
    <x v="0"/>
  </r>
  <r>
    <x v="0"/>
    <x v="427"/>
    <x v="427"/>
    <x v="427"/>
    <x v="0"/>
    <x v="0"/>
    <x v="0"/>
    <x v="0"/>
    <x v="0"/>
    <x v="0"/>
    <x v="165"/>
    <x v="143"/>
    <x v="167"/>
    <x v="42"/>
    <x v="43"/>
    <x v="0"/>
    <x v="0"/>
  </r>
  <r>
    <x v="2"/>
    <x v="428"/>
    <x v="428"/>
    <x v="428"/>
    <x v="1"/>
    <x v="8"/>
    <x v="8"/>
    <x v="0"/>
    <x v="8"/>
    <x v="0"/>
    <x v="8"/>
    <x v="8"/>
    <x v="8"/>
    <x v="4"/>
    <x v="4"/>
    <x v="0"/>
    <x v="0"/>
  </r>
  <r>
    <x v="2"/>
    <x v="429"/>
    <x v="429"/>
    <x v="429"/>
    <x v="0"/>
    <x v="157"/>
    <x v="164"/>
    <x v="0"/>
    <x v="163"/>
    <x v="0"/>
    <x v="166"/>
    <x v="144"/>
    <x v="168"/>
    <x v="112"/>
    <x v="116"/>
    <x v="33"/>
    <x v="33"/>
  </r>
  <r>
    <x v="0"/>
    <x v="430"/>
    <x v="430"/>
    <x v="430"/>
    <x v="1"/>
    <x v="8"/>
    <x v="8"/>
    <x v="0"/>
    <x v="8"/>
    <x v="0"/>
    <x v="8"/>
    <x v="8"/>
    <x v="8"/>
    <x v="4"/>
    <x v="4"/>
    <x v="0"/>
    <x v="0"/>
  </r>
  <r>
    <x v="2"/>
    <x v="431"/>
    <x v="431"/>
    <x v="431"/>
    <x v="1"/>
    <x v="8"/>
    <x v="8"/>
    <x v="0"/>
    <x v="8"/>
    <x v="0"/>
    <x v="8"/>
    <x v="8"/>
    <x v="8"/>
    <x v="4"/>
    <x v="4"/>
    <x v="0"/>
    <x v="0"/>
  </r>
  <r>
    <x v="0"/>
    <x v="432"/>
    <x v="432"/>
    <x v="432"/>
    <x v="0"/>
    <x v="158"/>
    <x v="165"/>
    <x v="0"/>
    <x v="164"/>
    <x v="0"/>
    <x v="167"/>
    <x v="32"/>
    <x v="169"/>
    <x v="4"/>
    <x v="4"/>
    <x v="0"/>
    <x v="0"/>
  </r>
  <r>
    <x v="0"/>
    <x v="433"/>
    <x v="433"/>
    <x v="433"/>
    <x v="1"/>
    <x v="8"/>
    <x v="8"/>
    <x v="0"/>
    <x v="8"/>
    <x v="0"/>
    <x v="8"/>
    <x v="8"/>
    <x v="8"/>
    <x v="4"/>
    <x v="4"/>
    <x v="0"/>
    <x v="0"/>
  </r>
  <r>
    <x v="2"/>
    <x v="434"/>
    <x v="434"/>
    <x v="434"/>
    <x v="1"/>
    <x v="8"/>
    <x v="8"/>
    <x v="0"/>
    <x v="8"/>
    <x v="0"/>
    <x v="8"/>
    <x v="8"/>
    <x v="8"/>
    <x v="4"/>
    <x v="4"/>
    <x v="0"/>
    <x v="0"/>
  </r>
  <r>
    <x v="2"/>
    <x v="435"/>
    <x v="435"/>
    <x v="435"/>
    <x v="0"/>
    <x v="159"/>
    <x v="166"/>
    <x v="0"/>
    <x v="165"/>
    <x v="0"/>
    <x v="168"/>
    <x v="43"/>
    <x v="170"/>
    <x v="37"/>
    <x v="38"/>
    <x v="0"/>
    <x v="0"/>
  </r>
  <r>
    <x v="2"/>
    <x v="436"/>
    <x v="436"/>
    <x v="436"/>
    <x v="1"/>
    <x v="8"/>
    <x v="8"/>
    <x v="0"/>
    <x v="8"/>
    <x v="0"/>
    <x v="8"/>
    <x v="8"/>
    <x v="8"/>
    <x v="4"/>
    <x v="4"/>
    <x v="0"/>
    <x v="0"/>
  </r>
  <r>
    <x v="2"/>
    <x v="437"/>
    <x v="437"/>
    <x v="437"/>
    <x v="0"/>
    <x v="160"/>
    <x v="167"/>
    <x v="0"/>
    <x v="166"/>
    <x v="0"/>
    <x v="169"/>
    <x v="145"/>
    <x v="171"/>
    <x v="18"/>
    <x v="19"/>
    <x v="0"/>
    <x v="0"/>
  </r>
  <r>
    <x v="2"/>
    <x v="438"/>
    <x v="438"/>
    <x v="438"/>
    <x v="0"/>
    <x v="133"/>
    <x v="168"/>
    <x v="0"/>
    <x v="167"/>
    <x v="0"/>
    <x v="170"/>
    <x v="83"/>
    <x v="172"/>
    <x v="113"/>
    <x v="117"/>
    <x v="0"/>
    <x v="0"/>
  </r>
  <r>
    <x v="2"/>
    <x v="439"/>
    <x v="439"/>
    <x v="439"/>
    <x v="1"/>
    <x v="8"/>
    <x v="8"/>
    <x v="0"/>
    <x v="8"/>
    <x v="0"/>
    <x v="8"/>
    <x v="8"/>
    <x v="8"/>
    <x v="4"/>
    <x v="4"/>
    <x v="0"/>
    <x v="0"/>
  </r>
  <r>
    <x v="0"/>
    <x v="440"/>
    <x v="440"/>
    <x v="440"/>
    <x v="1"/>
    <x v="8"/>
    <x v="8"/>
    <x v="0"/>
    <x v="8"/>
    <x v="0"/>
    <x v="8"/>
    <x v="8"/>
    <x v="8"/>
    <x v="4"/>
    <x v="4"/>
    <x v="0"/>
    <x v="0"/>
  </r>
  <r>
    <x v="0"/>
    <x v="441"/>
    <x v="441"/>
    <x v="441"/>
    <x v="0"/>
    <x v="161"/>
    <x v="169"/>
    <x v="0"/>
    <x v="168"/>
    <x v="0"/>
    <x v="171"/>
    <x v="72"/>
    <x v="173"/>
    <x v="6"/>
    <x v="6"/>
    <x v="0"/>
    <x v="0"/>
  </r>
  <r>
    <x v="0"/>
    <x v="442"/>
    <x v="442"/>
    <x v="442"/>
    <x v="0"/>
    <x v="162"/>
    <x v="170"/>
    <x v="0"/>
    <x v="169"/>
    <x v="0"/>
    <x v="172"/>
    <x v="146"/>
    <x v="174"/>
    <x v="114"/>
    <x v="118"/>
    <x v="0"/>
    <x v="0"/>
  </r>
  <r>
    <x v="0"/>
    <x v="443"/>
    <x v="443"/>
    <x v="443"/>
    <x v="1"/>
    <x v="8"/>
    <x v="8"/>
    <x v="0"/>
    <x v="8"/>
    <x v="0"/>
    <x v="8"/>
    <x v="8"/>
    <x v="8"/>
    <x v="4"/>
    <x v="4"/>
    <x v="0"/>
    <x v="0"/>
  </r>
  <r>
    <x v="2"/>
    <x v="444"/>
    <x v="444"/>
    <x v="444"/>
    <x v="0"/>
    <x v="163"/>
    <x v="171"/>
    <x v="0"/>
    <x v="170"/>
    <x v="0"/>
    <x v="173"/>
    <x v="147"/>
    <x v="175"/>
    <x v="115"/>
    <x v="119"/>
    <x v="66"/>
    <x v="66"/>
  </r>
  <r>
    <x v="0"/>
    <x v="445"/>
    <x v="445"/>
    <x v="445"/>
    <x v="0"/>
    <x v="164"/>
    <x v="172"/>
    <x v="0"/>
    <x v="171"/>
    <x v="0"/>
    <x v="174"/>
    <x v="148"/>
    <x v="176"/>
    <x v="116"/>
    <x v="120"/>
    <x v="0"/>
    <x v="0"/>
  </r>
  <r>
    <x v="2"/>
    <x v="446"/>
    <x v="446"/>
    <x v="446"/>
    <x v="0"/>
    <x v="165"/>
    <x v="173"/>
    <x v="0"/>
    <x v="172"/>
    <x v="0"/>
    <x v="175"/>
    <x v="149"/>
    <x v="177"/>
    <x v="8"/>
    <x v="9"/>
    <x v="0"/>
    <x v="0"/>
  </r>
  <r>
    <x v="2"/>
    <x v="447"/>
    <x v="447"/>
    <x v="447"/>
    <x v="1"/>
    <x v="8"/>
    <x v="8"/>
    <x v="0"/>
    <x v="8"/>
    <x v="0"/>
    <x v="8"/>
    <x v="8"/>
    <x v="8"/>
    <x v="4"/>
    <x v="4"/>
    <x v="0"/>
    <x v="0"/>
  </r>
  <r>
    <x v="2"/>
    <x v="448"/>
    <x v="448"/>
    <x v="448"/>
    <x v="1"/>
    <x v="8"/>
    <x v="8"/>
    <x v="0"/>
    <x v="8"/>
    <x v="0"/>
    <x v="8"/>
    <x v="8"/>
    <x v="8"/>
    <x v="4"/>
    <x v="4"/>
    <x v="0"/>
    <x v="0"/>
  </r>
  <r>
    <x v="0"/>
    <x v="449"/>
    <x v="449"/>
    <x v="449"/>
    <x v="1"/>
    <x v="8"/>
    <x v="8"/>
    <x v="0"/>
    <x v="8"/>
    <x v="0"/>
    <x v="8"/>
    <x v="8"/>
    <x v="8"/>
    <x v="4"/>
    <x v="4"/>
    <x v="0"/>
    <x v="0"/>
  </r>
  <r>
    <x v="2"/>
    <x v="450"/>
    <x v="450"/>
    <x v="450"/>
    <x v="1"/>
    <x v="8"/>
    <x v="8"/>
    <x v="0"/>
    <x v="8"/>
    <x v="0"/>
    <x v="8"/>
    <x v="8"/>
    <x v="8"/>
    <x v="4"/>
    <x v="4"/>
    <x v="0"/>
    <x v="0"/>
  </r>
  <r>
    <x v="1"/>
    <x v="451"/>
    <x v="451"/>
    <x v="451"/>
    <x v="1"/>
    <x v="8"/>
    <x v="8"/>
    <x v="0"/>
    <x v="8"/>
    <x v="0"/>
    <x v="8"/>
    <x v="8"/>
    <x v="8"/>
    <x v="4"/>
    <x v="4"/>
    <x v="0"/>
    <x v="0"/>
  </r>
  <r>
    <x v="2"/>
    <x v="452"/>
    <x v="452"/>
    <x v="452"/>
    <x v="1"/>
    <x v="8"/>
    <x v="8"/>
    <x v="0"/>
    <x v="8"/>
    <x v="0"/>
    <x v="8"/>
    <x v="8"/>
    <x v="8"/>
    <x v="4"/>
    <x v="4"/>
    <x v="0"/>
    <x v="0"/>
  </r>
  <r>
    <x v="2"/>
    <x v="453"/>
    <x v="453"/>
    <x v="453"/>
    <x v="1"/>
    <x v="8"/>
    <x v="8"/>
    <x v="0"/>
    <x v="8"/>
    <x v="0"/>
    <x v="8"/>
    <x v="8"/>
    <x v="8"/>
    <x v="4"/>
    <x v="4"/>
    <x v="0"/>
    <x v="0"/>
  </r>
  <r>
    <x v="2"/>
    <x v="454"/>
    <x v="454"/>
    <x v="454"/>
    <x v="1"/>
    <x v="8"/>
    <x v="8"/>
    <x v="0"/>
    <x v="8"/>
    <x v="0"/>
    <x v="8"/>
    <x v="8"/>
    <x v="8"/>
    <x v="4"/>
    <x v="4"/>
    <x v="0"/>
    <x v="0"/>
  </r>
  <r>
    <x v="0"/>
    <x v="455"/>
    <x v="455"/>
    <x v="455"/>
    <x v="1"/>
    <x v="8"/>
    <x v="8"/>
    <x v="0"/>
    <x v="8"/>
    <x v="0"/>
    <x v="8"/>
    <x v="8"/>
    <x v="8"/>
    <x v="4"/>
    <x v="4"/>
    <x v="0"/>
    <x v="0"/>
  </r>
  <r>
    <x v="2"/>
    <x v="456"/>
    <x v="456"/>
    <x v="456"/>
    <x v="1"/>
    <x v="8"/>
    <x v="8"/>
    <x v="0"/>
    <x v="8"/>
    <x v="0"/>
    <x v="8"/>
    <x v="8"/>
    <x v="8"/>
    <x v="4"/>
    <x v="4"/>
    <x v="0"/>
    <x v="0"/>
  </r>
  <r>
    <x v="2"/>
    <x v="457"/>
    <x v="457"/>
    <x v="457"/>
    <x v="0"/>
    <x v="166"/>
    <x v="174"/>
    <x v="0"/>
    <x v="173"/>
    <x v="0"/>
    <x v="176"/>
    <x v="81"/>
    <x v="178"/>
    <x v="0"/>
    <x v="0"/>
    <x v="0"/>
    <x v="0"/>
  </r>
  <r>
    <x v="0"/>
    <x v="458"/>
    <x v="458"/>
    <x v="458"/>
    <x v="1"/>
    <x v="8"/>
    <x v="8"/>
    <x v="0"/>
    <x v="8"/>
    <x v="0"/>
    <x v="8"/>
    <x v="8"/>
    <x v="8"/>
    <x v="4"/>
    <x v="4"/>
    <x v="0"/>
    <x v="0"/>
  </r>
  <r>
    <x v="2"/>
    <x v="459"/>
    <x v="459"/>
    <x v="459"/>
    <x v="1"/>
    <x v="8"/>
    <x v="8"/>
    <x v="0"/>
    <x v="8"/>
    <x v="0"/>
    <x v="8"/>
    <x v="8"/>
    <x v="8"/>
    <x v="4"/>
    <x v="4"/>
    <x v="0"/>
    <x v="0"/>
  </r>
  <r>
    <x v="0"/>
    <x v="460"/>
    <x v="460"/>
    <x v="460"/>
    <x v="1"/>
    <x v="8"/>
    <x v="8"/>
    <x v="0"/>
    <x v="8"/>
    <x v="0"/>
    <x v="8"/>
    <x v="8"/>
    <x v="8"/>
    <x v="4"/>
    <x v="4"/>
    <x v="0"/>
    <x v="0"/>
  </r>
  <r>
    <x v="0"/>
    <x v="461"/>
    <x v="461"/>
    <x v="461"/>
    <x v="1"/>
    <x v="8"/>
    <x v="8"/>
    <x v="0"/>
    <x v="8"/>
    <x v="0"/>
    <x v="8"/>
    <x v="8"/>
    <x v="8"/>
    <x v="4"/>
    <x v="4"/>
    <x v="0"/>
    <x v="0"/>
  </r>
  <r>
    <x v="2"/>
    <x v="462"/>
    <x v="462"/>
    <x v="462"/>
    <x v="1"/>
    <x v="8"/>
    <x v="8"/>
    <x v="0"/>
    <x v="8"/>
    <x v="0"/>
    <x v="8"/>
    <x v="8"/>
    <x v="8"/>
    <x v="4"/>
    <x v="4"/>
    <x v="0"/>
    <x v="0"/>
  </r>
  <r>
    <x v="0"/>
    <x v="463"/>
    <x v="463"/>
    <x v="463"/>
    <x v="1"/>
    <x v="8"/>
    <x v="8"/>
    <x v="0"/>
    <x v="8"/>
    <x v="0"/>
    <x v="8"/>
    <x v="8"/>
    <x v="8"/>
    <x v="4"/>
    <x v="4"/>
    <x v="0"/>
    <x v="0"/>
  </r>
  <r>
    <x v="2"/>
    <x v="464"/>
    <x v="464"/>
    <x v="464"/>
    <x v="1"/>
    <x v="8"/>
    <x v="8"/>
    <x v="0"/>
    <x v="8"/>
    <x v="0"/>
    <x v="8"/>
    <x v="8"/>
    <x v="8"/>
    <x v="4"/>
    <x v="4"/>
    <x v="0"/>
    <x v="0"/>
  </r>
  <r>
    <x v="2"/>
    <x v="465"/>
    <x v="465"/>
    <x v="465"/>
    <x v="0"/>
    <x v="167"/>
    <x v="175"/>
    <x v="0"/>
    <x v="174"/>
    <x v="0"/>
    <x v="177"/>
    <x v="150"/>
    <x v="179"/>
    <x v="4"/>
    <x v="4"/>
    <x v="0"/>
    <x v="0"/>
  </r>
  <r>
    <x v="0"/>
    <x v="466"/>
    <x v="466"/>
    <x v="466"/>
    <x v="0"/>
    <x v="168"/>
    <x v="176"/>
    <x v="0"/>
    <x v="175"/>
    <x v="0"/>
    <x v="178"/>
    <x v="151"/>
    <x v="180"/>
    <x v="117"/>
    <x v="121"/>
    <x v="0"/>
    <x v="0"/>
  </r>
  <r>
    <x v="0"/>
    <x v="467"/>
    <x v="467"/>
    <x v="467"/>
    <x v="1"/>
    <x v="8"/>
    <x v="8"/>
    <x v="0"/>
    <x v="8"/>
    <x v="0"/>
    <x v="8"/>
    <x v="8"/>
    <x v="8"/>
    <x v="4"/>
    <x v="4"/>
    <x v="0"/>
    <x v="0"/>
  </r>
  <r>
    <x v="0"/>
    <x v="468"/>
    <x v="468"/>
    <x v="468"/>
    <x v="1"/>
    <x v="8"/>
    <x v="8"/>
    <x v="0"/>
    <x v="8"/>
    <x v="0"/>
    <x v="8"/>
    <x v="8"/>
    <x v="8"/>
    <x v="4"/>
    <x v="4"/>
    <x v="0"/>
    <x v="0"/>
  </r>
  <r>
    <x v="1"/>
    <x v="469"/>
    <x v="469"/>
    <x v="469"/>
    <x v="1"/>
    <x v="8"/>
    <x v="8"/>
    <x v="0"/>
    <x v="8"/>
    <x v="0"/>
    <x v="8"/>
    <x v="8"/>
    <x v="8"/>
    <x v="4"/>
    <x v="4"/>
    <x v="0"/>
    <x v="0"/>
  </r>
  <r>
    <x v="0"/>
    <x v="470"/>
    <x v="470"/>
    <x v="470"/>
    <x v="1"/>
    <x v="8"/>
    <x v="8"/>
    <x v="0"/>
    <x v="8"/>
    <x v="0"/>
    <x v="8"/>
    <x v="8"/>
    <x v="8"/>
    <x v="4"/>
    <x v="4"/>
    <x v="0"/>
    <x v="0"/>
  </r>
  <r>
    <x v="0"/>
    <x v="471"/>
    <x v="471"/>
    <x v="471"/>
    <x v="0"/>
    <x v="169"/>
    <x v="177"/>
    <x v="0"/>
    <x v="176"/>
    <x v="0"/>
    <x v="179"/>
    <x v="152"/>
    <x v="181"/>
    <x v="118"/>
    <x v="122"/>
    <x v="0"/>
    <x v="0"/>
  </r>
  <r>
    <x v="2"/>
    <x v="472"/>
    <x v="472"/>
    <x v="472"/>
    <x v="0"/>
    <x v="170"/>
    <x v="178"/>
    <x v="0"/>
    <x v="177"/>
    <x v="0"/>
    <x v="180"/>
    <x v="153"/>
    <x v="182"/>
    <x v="119"/>
    <x v="123"/>
    <x v="0"/>
    <x v="0"/>
  </r>
  <r>
    <x v="2"/>
    <x v="473"/>
    <x v="473"/>
    <x v="473"/>
    <x v="1"/>
    <x v="8"/>
    <x v="8"/>
    <x v="0"/>
    <x v="8"/>
    <x v="0"/>
    <x v="8"/>
    <x v="8"/>
    <x v="8"/>
    <x v="4"/>
    <x v="4"/>
    <x v="0"/>
    <x v="0"/>
  </r>
  <r>
    <x v="0"/>
    <x v="474"/>
    <x v="474"/>
    <x v="474"/>
    <x v="1"/>
    <x v="8"/>
    <x v="8"/>
    <x v="0"/>
    <x v="8"/>
    <x v="0"/>
    <x v="8"/>
    <x v="8"/>
    <x v="8"/>
    <x v="4"/>
    <x v="4"/>
    <x v="0"/>
    <x v="0"/>
  </r>
  <r>
    <x v="0"/>
    <x v="475"/>
    <x v="475"/>
    <x v="475"/>
    <x v="1"/>
    <x v="8"/>
    <x v="8"/>
    <x v="0"/>
    <x v="8"/>
    <x v="0"/>
    <x v="8"/>
    <x v="8"/>
    <x v="8"/>
    <x v="4"/>
    <x v="4"/>
    <x v="0"/>
    <x v="0"/>
  </r>
  <r>
    <x v="0"/>
    <x v="476"/>
    <x v="476"/>
    <x v="476"/>
    <x v="1"/>
    <x v="8"/>
    <x v="8"/>
    <x v="0"/>
    <x v="8"/>
    <x v="0"/>
    <x v="8"/>
    <x v="8"/>
    <x v="8"/>
    <x v="4"/>
    <x v="4"/>
    <x v="0"/>
    <x v="0"/>
  </r>
  <r>
    <x v="2"/>
    <x v="477"/>
    <x v="477"/>
    <x v="477"/>
    <x v="1"/>
    <x v="8"/>
    <x v="8"/>
    <x v="0"/>
    <x v="8"/>
    <x v="0"/>
    <x v="8"/>
    <x v="8"/>
    <x v="8"/>
    <x v="4"/>
    <x v="4"/>
    <x v="0"/>
    <x v="0"/>
  </r>
  <r>
    <x v="0"/>
    <x v="478"/>
    <x v="478"/>
    <x v="478"/>
    <x v="1"/>
    <x v="8"/>
    <x v="8"/>
    <x v="0"/>
    <x v="8"/>
    <x v="0"/>
    <x v="8"/>
    <x v="8"/>
    <x v="8"/>
    <x v="4"/>
    <x v="4"/>
    <x v="0"/>
    <x v="0"/>
  </r>
  <r>
    <x v="0"/>
    <x v="479"/>
    <x v="479"/>
    <x v="479"/>
    <x v="1"/>
    <x v="8"/>
    <x v="8"/>
    <x v="0"/>
    <x v="8"/>
    <x v="0"/>
    <x v="8"/>
    <x v="8"/>
    <x v="8"/>
    <x v="4"/>
    <x v="4"/>
    <x v="0"/>
    <x v="0"/>
  </r>
  <r>
    <x v="1"/>
    <x v="480"/>
    <x v="480"/>
    <x v="480"/>
    <x v="1"/>
    <x v="8"/>
    <x v="8"/>
    <x v="0"/>
    <x v="8"/>
    <x v="0"/>
    <x v="8"/>
    <x v="8"/>
    <x v="8"/>
    <x v="4"/>
    <x v="4"/>
    <x v="0"/>
    <x v="0"/>
  </r>
  <r>
    <x v="2"/>
    <x v="481"/>
    <x v="481"/>
    <x v="481"/>
    <x v="0"/>
    <x v="171"/>
    <x v="179"/>
    <x v="0"/>
    <x v="178"/>
    <x v="0"/>
    <x v="181"/>
    <x v="154"/>
    <x v="183"/>
    <x v="120"/>
    <x v="124"/>
    <x v="0"/>
    <x v="0"/>
  </r>
  <r>
    <x v="2"/>
    <x v="482"/>
    <x v="482"/>
    <x v="482"/>
    <x v="0"/>
    <x v="170"/>
    <x v="180"/>
    <x v="23"/>
    <x v="8"/>
    <x v="25"/>
    <x v="8"/>
    <x v="155"/>
    <x v="184"/>
    <x v="121"/>
    <x v="125"/>
    <x v="0"/>
    <x v="0"/>
  </r>
  <r>
    <x v="2"/>
    <x v="483"/>
    <x v="483"/>
    <x v="483"/>
    <x v="1"/>
    <x v="8"/>
    <x v="8"/>
    <x v="0"/>
    <x v="8"/>
    <x v="0"/>
    <x v="8"/>
    <x v="8"/>
    <x v="8"/>
    <x v="4"/>
    <x v="4"/>
    <x v="0"/>
    <x v="0"/>
  </r>
  <r>
    <x v="2"/>
    <x v="484"/>
    <x v="484"/>
    <x v="484"/>
    <x v="1"/>
    <x v="8"/>
    <x v="8"/>
    <x v="0"/>
    <x v="8"/>
    <x v="0"/>
    <x v="8"/>
    <x v="8"/>
    <x v="8"/>
    <x v="4"/>
    <x v="4"/>
    <x v="0"/>
    <x v="0"/>
  </r>
  <r>
    <x v="0"/>
    <x v="485"/>
    <x v="485"/>
    <x v="485"/>
    <x v="0"/>
    <x v="172"/>
    <x v="181"/>
    <x v="0"/>
    <x v="179"/>
    <x v="0"/>
    <x v="182"/>
    <x v="9"/>
    <x v="9"/>
    <x v="113"/>
    <x v="117"/>
    <x v="0"/>
    <x v="0"/>
  </r>
  <r>
    <x v="2"/>
    <x v="486"/>
    <x v="486"/>
    <x v="486"/>
    <x v="1"/>
    <x v="8"/>
    <x v="8"/>
    <x v="0"/>
    <x v="8"/>
    <x v="0"/>
    <x v="8"/>
    <x v="8"/>
    <x v="8"/>
    <x v="4"/>
    <x v="4"/>
    <x v="0"/>
    <x v="0"/>
  </r>
  <r>
    <x v="0"/>
    <x v="487"/>
    <x v="487"/>
    <x v="487"/>
    <x v="0"/>
    <x v="173"/>
    <x v="182"/>
    <x v="0"/>
    <x v="180"/>
    <x v="0"/>
    <x v="183"/>
    <x v="156"/>
    <x v="185"/>
    <x v="122"/>
    <x v="126"/>
    <x v="0"/>
    <x v="0"/>
  </r>
  <r>
    <x v="0"/>
    <x v="488"/>
    <x v="488"/>
    <x v="488"/>
    <x v="1"/>
    <x v="8"/>
    <x v="8"/>
    <x v="0"/>
    <x v="8"/>
    <x v="0"/>
    <x v="8"/>
    <x v="8"/>
    <x v="8"/>
    <x v="4"/>
    <x v="4"/>
    <x v="0"/>
    <x v="0"/>
  </r>
  <r>
    <x v="0"/>
    <x v="489"/>
    <x v="489"/>
    <x v="489"/>
    <x v="1"/>
    <x v="8"/>
    <x v="8"/>
    <x v="0"/>
    <x v="8"/>
    <x v="0"/>
    <x v="8"/>
    <x v="8"/>
    <x v="8"/>
    <x v="4"/>
    <x v="4"/>
    <x v="0"/>
    <x v="0"/>
  </r>
  <r>
    <x v="1"/>
    <x v="490"/>
    <x v="490"/>
    <x v="490"/>
    <x v="1"/>
    <x v="8"/>
    <x v="8"/>
    <x v="0"/>
    <x v="8"/>
    <x v="0"/>
    <x v="8"/>
    <x v="8"/>
    <x v="8"/>
    <x v="4"/>
    <x v="4"/>
    <x v="0"/>
    <x v="0"/>
  </r>
  <r>
    <x v="0"/>
    <x v="491"/>
    <x v="491"/>
    <x v="491"/>
    <x v="1"/>
    <x v="8"/>
    <x v="8"/>
    <x v="0"/>
    <x v="8"/>
    <x v="0"/>
    <x v="8"/>
    <x v="8"/>
    <x v="8"/>
    <x v="4"/>
    <x v="4"/>
    <x v="0"/>
    <x v="0"/>
  </r>
  <r>
    <x v="0"/>
    <x v="492"/>
    <x v="492"/>
    <x v="492"/>
    <x v="1"/>
    <x v="8"/>
    <x v="8"/>
    <x v="0"/>
    <x v="8"/>
    <x v="0"/>
    <x v="8"/>
    <x v="8"/>
    <x v="8"/>
    <x v="4"/>
    <x v="4"/>
    <x v="0"/>
    <x v="0"/>
  </r>
  <r>
    <x v="2"/>
    <x v="493"/>
    <x v="493"/>
    <x v="493"/>
    <x v="0"/>
    <x v="174"/>
    <x v="183"/>
    <x v="0"/>
    <x v="181"/>
    <x v="0"/>
    <x v="184"/>
    <x v="157"/>
    <x v="186"/>
    <x v="123"/>
    <x v="127"/>
    <x v="0"/>
    <x v="0"/>
  </r>
  <r>
    <x v="2"/>
    <x v="494"/>
    <x v="494"/>
    <x v="494"/>
    <x v="1"/>
    <x v="8"/>
    <x v="8"/>
    <x v="0"/>
    <x v="8"/>
    <x v="0"/>
    <x v="8"/>
    <x v="8"/>
    <x v="8"/>
    <x v="4"/>
    <x v="4"/>
    <x v="0"/>
    <x v="0"/>
  </r>
  <r>
    <x v="0"/>
    <x v="495"/>
    <x v="495"/>
    <x v="495"/>
    <x v="1"/>
    <x v="8"/>
    <x v="8"/>
    <x v="0"/>
    <x v="8"/>
    <x v="0"/>
    <x v="8"/>
    <x v="8"/>
    <x v="8"/>
    <x v="4"/>
    <x v="4"/>
    <x v="0"/>
    <x v="0"/>
  </r>
  <r>
    <x v="0"/>
    <x v="496"/>
    <x v="496"/>
    <x v="496"/>
    <x v="1"/>
    <x v="8"/>
    <x v="8"/>
    <x v="0"/>
    <x v="8"/>
    <x v="0"/>
    <x v="8"/>
    <x v="8"/>
    <x v="8"/>
    <x v="4"/>
    <x v="4"/>
    <x v="0"/>
    <x v="0"/>
  </r>
  <r>
    <x v="1"/>
    <x v="497"/>
    <x v="497"/>
    <x v="497"/>
    <x v="0"/>
    <x v="175"/>
    <x v="184"/>
    <x v="0"/>
    <x v="182"/>
    <x v="0"/>
    <x v="185"/>
    <x v="158"/>
    <x v="187"/>
    <x v="124"/>
    <x v="128"/>
    <x v="45"/>
    <x v="45"/>
  </r>
  <r>
    <x v="2"/>
    <x v="498"/>
    <x v="498"/>
    <x v="498"/>
    <x v="0"/>
    <x v="176"/>
    <x v="185"/>
    <x v="0"/>
    <x v="183"/>
    <x v="0"/>
    <x v="186"/>
    <x v="159"/>
    <x v="188"/>
    <x v="125"/>
    <x v="129"/>
    <x v="67"/>
    <x v="67"/>
  </r>
  <r>
    <x v="0"/>
    <x v="499"/>
    <x v="499"/>
    <x v="499"/>
    <x v="1"/>
    <x v="8"/>
    <x v="8"/>
    <x v="0"/>
    <x v="8"/>
    <x v="0"/>
    <x v="8"/>
    <x v="8"/>
    <x v="8"/>
    <x v="4"/>
    <x v="4"/>
    <x v="0"/>
    <x v="0"/>
  </r>
  <r>
    <x v="2"/>
    <x v="500"/>
    <x v="500"/>
    <x v="500"/>
    <x v="1"/>
    <x v="8"/>
    <x v="8"/>
    <x v="0"/>
    <x v="8"/>
    <x v="0"/>
    <x v="8"/>
    <x v="8"/>
    <x v="8"/>
    <x v="4"/>
    <x v="4"/>
    <x v="0"/>
    <x v="0"/>
  </r>
  <r>
    <x v="2"/>
    <x v="501"/>
    <x v="501"/>
    <x v="501"/>
    <x v="1"/>
    <x v="8"/>
    <x v="8"/>
    <x v="0"/>
    <x v="8"/>
    <x v="0"/>
    <x v="8"/>
    <x v="8"/>
    <x v="8"/>
    <x v="4"/>
    <x v="4"/>
    <x v="0"/>
    <x v="0"/>
  </r>
  <r>
    <x v="2"/>
    <x v="502"/>
    <x v="502"/>
    <x v="502"/>
    <x v="0"/>
    <x v="177"/>
    <x v="186"/>
    <x v="0"/>
    <x v="184"/>
    <x v="0"/>
    <x v="187"/>
    <x v="160"/>
    <x v="189"/>
    <x v="77"/>
    <x v="79"/>
    <x v="0"/>
    <x v="0"/>
  </r>
  <r>
    <x v="2"/>
    <x v="503"/>
    <x v="503"/>
    <x v="503"/>
    <x v="1"/>
    <x v="8"/>
    <x v="8"/>
    <x v="0"/>
    <x v="8"/>
    <x v="0"/>
    <x v="8"/>
    <x v="8"/>
    <x v="8"/>
    <x v="4"/>
    <x v="4"/>
    <x v="0"/>
    <x v="0"/>
  </r>
  <r>
    <x v="2"/>
    <x v="504"/>
    <x v="504"/>
    <x v="504"/>
    <x v="1"/>
    <x v="8"/>
    <x v="8"/>
    <x v="0"/>
    <x v="8"/>
    <x v="0"/>
    <x v="8"/>
    <x v="8"/>
    <x v="8"/>
    <x v="4"/>
    <x v="4"/>
    <x v="0"/>
    <x v="0"/>
  </r>
  <r>
    <x v="1"/>
    <x v="505"/>
    <x v="505"/>
    <x v="505"/>
    <x v="0"/>
    <x v="178"/>
    <x v="187"/>
    <x v="0"/>
    <x v="185"/>
    <x v="0"/>
    <x v="188"/>
    <x v="161"/>
    <x v="190"/>
    <x v="126"/>
    <x v="130"/>
    <x v="0"/>
    <x v="0"/>
  </r>
  <r>
    <x v="0"/>
    <x v="506"/>
    <x v="506"/>
    <x v="506"/>
    <x v="0"/>
    <x v="179"/>
    <x v="188"/>
    <x v="0"/>
    <x v="186"/>
    <x v="0"/>
    <x v="189"/>
    <x v="31"/>
    <x v="191"/>
    <x v="4"/>
    <x v="4"/>
    <x v="0"/>
    <x v="0"/>
  </r>
  <r>
    <x v="2"/>
    <x v="507"/>
    <x v="507"/>
    <x v="507"/>
    <x v="0"/>
    <x v="180"/>
    <x v="189"/>
    <x v="0"/>
    <x v="187"/>
    <x v="0"/>
    <x v="190"/>
    <x v="134"/>
    <x v="192"/>
    <x v="127"/>
    <x v="131"/>
    <x v="58"/>
    <x v="58"/>
  </r>
  <r>
    <x v="2"/>
    <x v="508"/>
    <x v="508"/>
    <x v="508"/>
    <x v="0"/>
    <x v="181"/>
    <x v="190"/>
    <x v="0"/>
    <x v="188"/>
    <x v="0"/>
    <x v="191"/>
    <x v="162"/>
    <x v="193"/>
    <x v="128"/>
    <x v="132"/>
    <x v="68"/>
    <x v="68"/>
  </r>
  <r>
    <x v="2"/>
    <x v="509"/>
    <x v="509"/>
    <x v="509"/>
    <x v="1"/>
    <x v="8"/>
    <x v="8"/>
    <x v="0"/>
    <x v="8"/>
    <x v="0"/>
    <x v="8"/>
    <x v="8"/>
    <x v="8"/>
    <x v="4"/>
    <x v="4"/>
    <x v="0"/>
    <x v="0"/>
  </r>
  <r>
    <x v="0"/>
    <x v="510"/>
    <x v="510"/>
    <x v="510"/>
    <x v="1"/>
    <x v="8"/>
    <x v="8"/>
    <x v="0"/>
    <x v="8"/>
    <x v="0"/>
    <x v="8"/>
    <x v="8"/>
    <x v="8"/>
    <x v="4"/>
    <x v="4"/>
    <x v="0"/>
    <x v="0"/>
  </r>
  <r>
    <x v="2"/>
    <x v="511"/>
    <x v="511"/>
    <x v="511"/>
    <x v="1"/>
    <x v="8"/>
    <x v="8"/>
    <x v="0"/>
    <x v="8"/>
    <x v="0"/>
    <x v="8"/>
    <x v="8"/>
    <x v="8"/>
    <x v="4"/>
    <x v="4"/>
    <x v="0"/>
    <x v="0"/>
  </r>
  <r>
    <x v="2"/>
    <x v="512"/>
    <x v="512"/>
    <x v="512"/>
    <x v="1"/>
    <x v="8"/>
    <x v="8"/>
    <x v="0"/>
    <x v="8"/>
    <x v="0"/>
    <x v="8"/>
    <x v="8"/>
    <x v="8"/>
    <x v="4"/>
    <x v="4"/>
    <x v="0"/>
    <x v="0"/>
  </r>
  <r>
    <x v="2"/>
    <x v="513"/>
    <x v="513"/>
    <x v="513"/>
    <x v="1"/>
    <x v="8"/>
    <x v="8"/>
    <x v="0"/>
    <x v="8"/>
    <x v="0"/>
    <x v="8"/>
    <x v="8"/>
    <x v="8"/>
    <x v="4"/>
    <x v="4"/>
    <x v="0"/>
    <x v="0"/>
  </r>
  <r>
    <x v="2"/>
    <x v="514"/>
    <x v="514"/>
    <x v="514"/>
    <x v="1"/>
    <x v="8"/>
    <x v="8"/>
    <x v="0"/>
    <x v="8"/>
    <x v="0"/>
    <x v="8"/>
    <x v="8"/>
    <x v="8"/>
    <x v="4"/>
    <x v="4"/>
    <x v="0"/>
    <x v="0"/>
  </r>
  <r>
    <x v="0"/>
    <x v="515"/>
    <x v="515"/>
    <x v="515"/>
    <x v="0"/>
    <x v="182"/>
    <x v="191"/>
    <x v="0"/>
    <x v="189"/>
    <x v="0"/>
    <x v="192"/>
    <x v="163"/>
    <x v="194"/>
    <x v="129"/>
    <x v="133"/>
    <x v="0"/>
    <x v="0"/>
  </r>
  <r>
    <x v="1"/>
    <x v="516"/>
    <x v="516"/>
    <x v="516"/>
    <x v="1"/>
    <x v="8"/>
    <x v="8"/>
    <x v="0"/>
    <x v="8"/>
    <x v="0"/>
    <x v="8"/>
    <x v="8"/>
    <x v="8"/>
    <x v="4"/>
    <x v="4"/>
    <x v="0"/>
    <x v="0"/>
  </r>
  <r>
    <x v="0"/>
    <x v="517"/>
    <x v="517"/>
    <x v="517"/>
    <x v="1"/>
    <x v="8"/>
    <x v="8"/>
    <x v="0"/>
    <x v="8"/>
    <x v="0"/>
    <x v="8"/>
    <x v="8"/>
    <x v="8"/>
    <x v="4"/>
    <x v="4"/>
    <x v="0"/>
    <x v="0"/>
  </r>
  <r>
    <x v="2"/>
    <x v="518"/>
    <x v="518"/>
    <x v="518"/>
    <x v="1"/>
    <x v="8"/>
    <x v="8"/>
    <x v="0"/>
    <x v="8"/>
    <x v="0"/>
    <x v="8"/>
    <x v="8"/>
    <x v="8"/>
    <x v="4"/>
    <x v="4"/>
    <x v="0"/>
    <x v="0"/>
  </r>
  <r>
    <x v="2"/>
    <x v="519"/>
    <x v="519"/>
    <x v="519"/>
    <x v="1"/>
    <x v="8"/>
    <x v="8"/>
    <x v="0"/>
    <x v="8"/>
    <x v="0"/>
    <x v="8"/>
    <x v="8"/>
    <x v="8"/>
    <x v="4"/>
    <x v="4"/>
    <x v="0"/>
    <x v="0"/>
  </r>
  <r>
    <x v="2"/>
    <x v="520"/>
    <x v="520"/>
    <x v="520"/>
    <x v="1"/>
    <x v="8"/>
    <x v="8"/>
    <x v="0"/>
    <x v="8"/>
    <x v="0"/>
    <x v="8"/>
    <x v="8"/>
    <x v="8"/>
    <x v="4"/>
    <x v="4"/>
    <x v="0"/>
    <x v="0"/>
  </r>
  <r>
    <x v="0"/>
    <x v="521"/>
    <x v="521"/>
    <x v="521"/>
    <x v="1"/>
    <x v="8"/>
    <x v="8"/>
    <x v="0"/>
    <x v="8"/>
    <x v="0"/>
    <x v="8"/>
    <x v="8"/>
    <x v="8"/>
    <x v="4"/>
    <x v="4"/>
    <x v="0"/>
    <x v="0"/>
  </r>
  <r>
    <x v="2"/>
    <x v="522"/>
    <x v="522"/>
    <x v="522"/>
    <x v="1"/>
    <x v="8"/>
    <x v="8"/>
    <x v="0"/>
    <x v="8"/>
    <x v="0"/>
    <x v="8"/>
    <x v="8"/>
    <x v="8"/>
    <x v="4"/>
    <x v="4"/>
    <x v="0"/>
    <x v="0"/>
  </r>
  <r>
    <x v="2"/>
    <x v="523"/>
    <x v="523"/>
    <x v="523"/>
    <x v="1"/>
    <x v="8"/>
    <x v="8"/>
    <x v="0"/>
    <x v="8"/>
    <x v="0"/>
    <x v="8"/>
    <x v="8"/>
    <x v="8"/>
    <x v="4"/>
    <x v="4"/>
    <x v="0"/>
    <x v="0"/>
  </r>
  <r>
    <x v="2"/>
    <x v="524"/>
    <x v="524"/>
    <x v="524"/>
    <x v="1"/>
    <x v="8"/>
    <x v="8"/>
    <x v="0"/>
    <x v="8"/>
    <x v="0"/>
    <x v="8"/>
    <x v="8"/>
    <x v="8"/>
    <x v="4"/>
    <x v="4"/>
    <x v="0"/>
    <x v="0"/>
  </r>
  <r>
    <x v="1"/>
    <x v="525"/>
    <x v="525"/>
    <x v="525"/>
    <x v="0"/>
    <x v="183"/>
    <x v="192"/>
    <x v="0"/>
    <x v="190"/>
    <x v="0"/>
    <x v="193"/>
    <x v="164"/>
    <x v="195"/>
    <x v="15"/>
    <x v="52"/>
    <x v="0"/>
    <x v="0"/>
  </r>
  <r>
    <x v="0"/>
    <x v="526"/>
    <x v="526"/>
    <x v="526"/>
    <x v="1"/>
    <x v="8"/>
    <x v="8"/>
    <x v="0"/>
    <x v="8"/>
    <x v="0"/>
    <x v="8"/>
    <x v="8"/>
    <x v="8"/>
    <x v="4"/>
    <x v="4"/>
    <x v="0"/>
    <x v="0"/>
  </r>
  <r>
    <x v="0"/>
    <x v="527"/>
    <x v="527"/>
    <x v="527"/>
    <x v="1"/>
    <x v="8"/>
    <x v="8"/>
    <x v="0"/>
    <x v="8"/>
    <x v="0"/>
    <x v="8"/>
    <x v="8"/>
    <x v="8"/>
    <x v="4"/>
    <x v="4"/>
    <x v="0"/>
    <x v="0"/>
  </r>
  <r>
    <x v="2"/>
    <x v="528"/>
    <x v="528"/>
    <x v="528"/>
    <x v="1"/>
    <x v="8"/>
    <x v="8"/>
    <x v="0"/>
    <x v="8"/>
    <x v="0"/>
    <x v="8"/>
    <x v="8"/>
    <x v="8"/>
    <x v="4"/>
    <x v="4"/>
    <x v="0"/>
    <x v="0"/>
  </r>
  <r>
    <x v="0"/>
    <x v="529"/>
    <x v="529"/>
    <x v="529"/>
    <x v="1"/>
    <x v="8"/>
    <x v="8"/>
    <x v="0"/>
    <x v="8"/>
    <x v="0"/>
    <x v="8"/>
    <x v="8"/>
    <x v="8"/>
    <x v="4"/>
    <x v="4"/>
    <x v="0"/>
    <x v="0"/>
  </r>
  <r>
    <x v="2"/>
    <x v="530"/>
    <x v="530"/>
    <x v="530"/>
    <x v="1"/>
    <x v="8"/>
    <x v="8"/>
    <x v="0"/>
    <x v="8"/>
    <x v="0"/>
    <x v="8"/>
    <x v="8"/>
    <x v="8"/>
    <x v="4"/>
    <x v="4"/>
    <x v="0"/>
    <x v="0"/>
  </r>
  <r>
    <x v="2"/>
    <x v="531"/>
    <x v="531"/>
    <x v="531"/>
    <x v="0"/>
    <x v="184"/>
    <x v="193"/>
    <x v="0"/>
    <x v="191"/>
    <x v="0"/>
    <x v="194"/>
    <x v="165"/>
    <x v="196"/>
    <x v="100"/>
    <x v="102"/>
    <x v="0"/>
    <x v="0"/>
  </r>
  <r>
    <x v="2"/>
    <x v="532"/>
    <x v="532"/>
    <x v="532"/>
    <x v="1"/>
    <x v="8"/>
    <x v="8"/>
    <x v="0"/>
    <x v="8"/>
    <x v="0"/>
    <x v="8"/>
    <x v="8"/>
    <x v="8"/>
    <x v="4"/>
    <x v="4"/>
    <x v="0"/>
    <x v="0"/>
  </r>
  <r>
    <x v="1"/>
    <x v="533"/>
    <x v="533"/>
    <x v="533"/>
    <x v="0"/>
    <x v="0"/>
    <x v="0"/>
    <x v="0"/>
    <x v="0"/>
    <x v="0"/>
    <x v="195"/>
    <x v="151"/>
    <x v="197"/>
    <x v="117"/>
    <x v="121"/>
    <x v="0"/>
    <x v="0"/>
  </r>
  <r>
    <x v="2"/>
    <x v="534"/>
    <x v="534"/>
    <x v="534"/>
    <x v="1"/>
    <x v="8"/>
    <x v="8"/>
    <x v="0"/>
    <x v="8"/>
    <x v="0"/>
    <x v="8"/>
    <x v="8"/>
    <x v="8"/>
    <x v="4"/>
    <x v="4"/>
    <x v="0"/>
    <x v="0"/>
  </r>
  <r>
    <x v="0"/>
    <x v="535"/>
    <x v="535"/>
    <x v="535"/>
    <x v="0"/>
    <x v="185"/>
    <x v="194"/>
    <x v="0"/>
    <x v="192"/>
    <x v="0"/>
    <x v="196"/>
    <x v="166"/>
    <x v="198"/>
    <x v="130"/>
    <x v="134"/>
    <x v="0"/>
    <x v="0"/>
  </r>
  <r>
    <x v="0"/>
    <x v="536"/>
    <x v="536"/>
    <x v="536"/>
    <x v="1"/>
    <x v="8"/>
    <x v="8"/>
    <x v="0"/>
    <x v="8"/>
    <x v="0"/>
    <x v="8"/>
    <x v="8"/>
    <x v="8"/>
    <x v="4"/>
    <x v="4"/>
    <x v="0"/>
    <x v="0"/>
  </r>
  <r>
    <x v="0"/>
    <x v="537"/>
    <x v="537"/>
    <x v="537"/>
    <x v="1"/>
    <x v="8"/>
    <x v="8"/>
    <x v="0"/>
    <x v="8"/>
    <x v="0"/>
    <x v="8"/>
    <x v="8"/>
    <x v="8"/>
    <x v="4"/>
    <x v="4"/>
    <x v="0"/>
    <x v="0"/>
  </r>
  <r>
    <x v="0"/>
    <x v="538"/>
    <x v="538"/>
    <x v="538"/>
    <x v="1"/>
    <x v="8"/>
    <x v="8"/>
    <x v="0"/>
    <x v="8"/>
    <x v="0"/>
    <x v="8"/>
    <x v="8"/>
    <x v="8"/>
    <x v="4"/>
    <x v="4"/>
    <x v="0"/>
    <x v="0"/>
  </r>
  <r>
    <x v="0"/>
    <x v="539"/>
    <x v="539"/>
    <x v="539"/>
    <x v="0"/>
    <x v="186"/>
    <x v="195"/>
    <x v="0"/>
    <x v="193"/>
    <x v="0"/>
    <x v="197"/>
    <x v="167"/>
    <x v="199"/>
    <x v="131"/>
    <x v="135"/>
    <x v="69"/>
    <x v="69"/>
  </r>
  <r>
    <x v="1"/>
    <x v="540"/>
    <x v="540"/>
    <x v="540"/>
    <x v="0"/>
    <x v="187"/>
    <x v="196"/>
    <x v="0"/>
    <x v="194"/>
    <x v="0"/>
    <x v="198"/>
    <x v="168"/>
    <x v="200"/>
    <x v="123"/>
    <x v="127"/>
    <x v="0"/>
    <x v="0"/>
  </r>
  <r>
    <x v="2"/>
    <x v="541"/>
    <x v="541"/>
    <x v="541"/>
    <x v="0"/>
    <x v="188"/>
    <x v="197"/>
    <x v="0"/>
    <x v="195"/>
    <x v="0"/>
    <x v="199"/>
    <x v="169"/>
    <x v="201"/>
    <x v="30"/>
    <x v="31"/>
    <x v="70"/>
    <x v="70"/>
  </r>
  <r>
    <x v="2"/>
    <x v="542"/>
    <x v="542"/>
    <x v="542"/>
    <x v="1"/>
    <x v="8"/>
    <x v="8"/>
    <x v="0"/>
    <x v="8"/>
    <x v="0"/>
    <x v="8"/>
    <x v="8"/>
    <x v="8"/>
    <x v="4"/>
    <x v="4"/>
    <x v="0"/>
    <x v="0"/>
  </r>
  <r>
    <x v="0"/>
    <x v="543"/>
    <x v="543"/>
    <x v="543"/>
    <x v="0"/>
    <x v="189"/>
    <x v="198"/>
    <x v="15"/>
    <x v="196"/>
    <x v="15"/>
    <x v="200"/>
    <x v="45"/>
    <x v="202"/>
    <x v="14"/>
    <x v="15"/>
    <x v="0"/>
    <x v="0"/>
  </r>
  <r>
    <x v="2"/>
    <x v="544"/>
    <x v="544"/>
    <x v="544"/>
    <x v="0"/>
    <x v="190"/>
    <x v="199"/>
    <x v="0"/>
    <x v="197"/>
    <x v="0"/>
    <x v="201"/>
    <x v="170"/>
    <x v="203"/>
    <x v="132"/>
    <x v="136"/>
    <x v="71"/>
    <x v="71"/>
  </r>
  <r>
    <x v="1"/>
    <x v="545"/>
    <x v="545"/>
    <x v="545"/>
    <x v="1"/>
    <x v="8"/>
    <x v="8"/>
    <x v="0"/>
    <x v="8"/>
    <x v="0"/>
    <x v="8"/>
    <x v="8"/>
    <x v="8"/>
    <x v="4"/>
    <x v="4"/>
    <x v="0"/>
    <x v="0"/>
  </r>
  <r>
    <x v="2"/>
    <x v="546"/>
    <x v="546"/>
    <x v="546"/>
    <x v="0"/>
    <x v="191"/>
    <x v="200"/>
    <x v="0"/>
    <x v="198"/>
    <x v="0"/>
    <x v="202"/>
    <x v="15"/>
    <x v="204"/>
    <x v="96"/>
    <x v="98"/>
    <x v="0"/>
    <x v="0"/>
  </r>
  <r>
    <x v="0"/>
    <x v="547"/>
    <x v="547"/>
    <x v="547"/>
    <x v="1"/>
    <x v="8"/>
    <x v="8"/>
    <x v="0"/>
    <x v="8"/>
    <x v="0"/>
    <x v="8"/>
    <x v="8"/>
    <x v="8"/>
    <x v="4"/>
    <x v="4"/>
    <x v="0"/>
    <x v="0"/>
  </r>
  <r>
    <x v="0"/>
    <x v="548"/>
    <x v="548"/>
    <x v="548"/>
    <x v="1"/>
    <x v="8"/>
    <x v="8"/>
    <x v="0"/>
    <x v="8"/>
    <x v="0"/>
    <x v="8"/>
    <x v="8"/>
    <x v="8"/>
    <x v="4"/>
    <x v="4"/>
    <x v="0"/>
    <x v="0"/>
  </r>
  <r>
    <x v="0"/>
    <x v="549"/>
    <x v="549"/>
    <x v="549"/>
    <x v="1"/>
    <x v="8"/>
    <x v="8"/>
    <x v="0"/>
    <x v="8"/>
    <x v="0"/>
    <x v="8"/>
    <x v="8"/>
    <x v="8"/>
    <x v="4"/>
    <x v="4"/>
    <x v="0"/>
    <x v="0"/>
  </r>
  <r>
    <x v="2"/>
    <x v="550"/>
    <x v="550"/>
    <x v="550"/>
    <x v="0"/>
    <x v="192"/>
    <x v="201"/>
    <x v="0"/>
    <x v="199"/>
    <x v="0"/>
    <x v="203"/>
    <x v="83"/>
    <x v="205"/>
    <x v="133"/>
    <x v="137"/>
    <x v="0"/>
    <x v="0"/>
  </r>
  <r>
    <x v="0"/>
    <x v="551"/>
    <x v="551"/>
    <x v="551"/>
    <x v="1"/>
    <x v="8"/>
    <x v="8"/>
    <x v="0"/>
    <x v="8"/>
    <x v="0"/>
    <x v="8"/>
    <x v="8"/>
    <x v="8"/>
    <x v="4"/>
    <x v="4"/>
    <x v="0"/>
    <x v="0"/>
  </r>
  <r>
    <x v="0"/>
    <x v="552"/>
    <x v="552"/>
    <x v="552"/>
    <x v="0"/>
    <x v="193"/>
    <x v="202"/>
    <x v="0"/>
    <x v="200"/>
    <x v="0"/>
    <x v="204"/>
    <x v="171"/>
    <x v="206"/>
    <x v="14"/>
    <x v="15"/>
    <x v="0"/>
    <x v="0"/>
  </r>
  <r>
    <x v="0"/>
    <x v="553"/>
    <x v="553"/>
    <x v="553"/>
    <x v="1"/>
    <x v="8"/>
    <x v="8"/>
    <x v="0"/>
    <x v="8"/>
    <x v="0"/>
    <x v="8"/>
    <x v="8"/>
    <x v="8"/>
    <x v="4"/>
    <x v="4"/>
    <x v="0"/>
    <x v="0"/>
  </r>
  <r>
    <x v="0"/>
    <x v="554"/>
    <x v="554"/>
    <x v="554"/>
    <x v="1"/>
    <x v="8"/>
    <x v="8"/>
    <x v="0"/>
    <x v="8"/>
    <x v="0"/>
    <x v="8"/>
    <x v="8"/>
    <x v="8"/>
    <x v="4"/>
    <x v="4"/>
    <x v="0"/>
    <x v="0"/>
  </r>
  <r>
    <x v="2"/>
    <x v="555"/>
    <x v="555"/>
    <x v="555"/>
    <x v="1"/>
    <x v="8"/>
    <x v="8"/>
    <x v="0"/>
    <x v="8"/>
    <x v="0"/>
    <x v="8"/>
    <x v="8"/>
    <x v="8"/>
    <x v="4"/>
    <x v="4"/>
    <x v="0"/>
    <x v="0"/>
  </r>
  <r>
    <x v="0"/>
    <x v="556"/>
    <x v="556"/>
    <x v="556"/>
    <x v="1"/>
    <x v="8"/>
    <x v="8"/>
    <x v="0"/>
    <x v="8"/>
    <x v="0"/>
    <x v="8"/>
    <x v="8"/>
    <x v="8"/>
    <x v="4"/>
    <x v="4"/>
    <x v="0"/>
    <x v="0"/>
  </r>
  <r>
    <x v="0"/>
    <x v="557"/>
    <x v="557"/>
    <x v="557"/>
    <x v="1"/>
    <x v="8"/>
    <x v="8"/>
    <x v="0"/>
    <x v="8"/>
    <x v="0"/>
    <x v="8"/>
    <x v="8"/>
    <x v="8"/>
    <x v="4"/>
    <x v="4"/>
    <x v="0"/>
    <x v="0"/>
  </r>
  <r>
    <x v="0"/>
    <x v="558"/>
    <x v="558"/>
    <x v="558"/>
    <x v="1"/>
    <x v="8"/>
    <x v="8"/>
    <x v="0"/>
    <x v="8"/>
    <x v="0"/>
    <x v="8"/>
    <x v="8"/>
    <x v="8"/>
    <x v="4"/>
    <x v="4"/>
    <x v="0"/>
    <x v="0"/>
  </r>
  <r>
    <x v="2"/>
    <x v="559"/>
    <x v="559"/>
    <x v="559"/>
    <x v="1"/>
    <x v="8"/>
    <x v="8"/>
    <x v="0"/>
    <x v="8"/>
    <x v="0"/>
    <x v="8"/>
    <x v="8"/>
    <x v="8"/>
    <x v="4"/>
    <x v="4"/>
    <x v="0"/>
    <x v="0"/>
  </r>
  <r>
    <x v="0"/>
    <x v="560"/>
    <x v="560"/>
    <x v="560"/>
    <x v="1"/>
    <x v="8"/>
    <x v="8"/>
    <x v="0"/>
    <x v="8"/>
    <x v="0"/>
    <x v="8"/>
    <x v="8"/>
    <x v="8"/>
    <x v="4"/>
    <x v="4"/>
    <x v="0"/>
    <x v="0"/>
  </r>
  <r>
    <x v="1"/>
    <x v="561"/>
    <x v="561"/>
    <x v="561"/>
    <x v="0"/>
    <x v="194"/>
    <x v="203"/>
    <x v="24"/>
    <x v="8"/>
    <x v="26"/>
    <x v="8"/>
    <x v="172"/>
    <x v="207"/>
    <x v="134"/>
    <x v="138"/>
    <x v="0"/>
    <x v="0"/>
  </r>
  <r>
    <x v="2"/>
    <x v="562"/>
    <x v="562"/>
    <x v="562"/>
    <x v="1"/>
    <x v="8"/>
    <x v="8"/>
    <x v="0"/>
    <x v="8"/>
    <x v="0"/>
    <x v="8"/>
    <x v="8"/>
    <x v="8"/>
    <x v="4"/>
    <x v="4"/>
    <x v="0"/>
    <x v="0"/>
  </r>
  <r>
    <x v="2"/>
    <x v="563"/>
    <x v="563"/>
    <x v="563"/>
    <x v="0"/>
    <x v="195"/>
    <x v="204"/>
    <x v="0"/>
    <x v="201"/>
    <x v="0"/>
    <x v="205"/>
    <x v="152"/>
    <x v="208"/>
    <x v="27"/>
    <x v="28"/>
    <x v="0"/>
    <x v="0"/>
  </r>
  <r>
    <x v="0"/>
    <x v="564"/>
    <x v="564"/>
    <x v="564"/>
    <x v="1"/>
    <x v="8"/>
    <x v="8"/>
    <x v="0"/>
    <x v="8"/>
    <x v="0"/>
    <x v="8"/>
    <x v="8"/>
    <x v="8"/>
    <x v="4"/>
    <x v="4"/>
    <x v="0"/>
    <x v="0"/>
  </r>
  <r>
    <x v="2"/>
    <x v="565"/>
    <x v="565"/>
    <x v="565"/>
    <x v="1"/>
    <x v="8"/>
    <x v="8"/>
    <x v="0"/>
    <x v="8"/>
    <x v="0"/>
    <x v="8"/>
    <x v="8"/>
    <x v="8"/>
    <x v="4"/>
    <x v="4"/>
    <x v="0"/>
    <x v="0"/>
  </r>
  <r>
    <x v="0"/>
    <x v="566"/>
    <x v="566"/>
    <x v="566"/>
    <x v="1"/>
    <x v="8"/>
    <x v="8"/>
    <x v="0"/>
    <x v="8"/>
    <x v="0"/>
    <x v="8"/>
    <x v="8"/>
    <x v="8"/>
    <x v="4"/>
    <x v="4"/>
    <x v="0"/>
    <x v="0"/>
  </r>
  <r>
    <x v="2"/>
    <x v="567"/>
    <x v="567"/>
    <x v="567"/>
    <x v="0"/>
    <x v="196"/>
    <x v="205"/>
    <x v="0"/>
    <x v="202"/>
    <x v="0"/>
    <x v="206"/>
    <x v="173"/>
    <x v="209"/>
    <x v="14"/>
    <x v="15"/>
    <x v="0"/>
    <x v="0"/>
  </r>
  <r>
    <x v="0"/>
    <x v="568"/>
    <x v="568"/>
    <x v="568"/>
    <x v="1"/>
    <x v="8"/>
    <x v="8"/>
    <x v="0"/>
    <x v="8"/>
    <x v="0"/>
    <x v="8"/>
    <x v="8"/>
    <x v="8"/>
    <x v="4"/>
    <x v="4"/>
    <x v="0"/>
    <x v="0"/>
  </r>
  <r>
    <x v="2"/>
    <x v="569"/>
    <x v="569"/>
    <x v="569"/>
    <x v="1"/>
    <x v="8"/>
    <x v="8"/>
    <x v="0"/>
    <x v="8"/>
    <x v="0"/>
    <x v="8"/>
    <x v="8"/>
    <x v="8"/>
    <x v="4"/>
    <x v="4"/>
    <x v="0"/>
    <x v="0"/>
  </r>
  <r>
    <x v="2"/>
    <x v="570"/>
    <x v="570"/>
    <x v="570"/>
    <x v="1"/>
    <x v="8"/>
    <x v="8"/>
    <x v="0"/>
    <x v="8"/>
    <x v="0"/>
    <x v="8"/>
    <x v="8"/>
    <x v="8"/>
    <x v="4"/>
    <x v="4"/>
    <x v="0"/>
    <x v="0"/>
  </r>
  <r>
    <x v="0"/>
    <x v="571"/>
    <x v="571"/>
    <x v="571"/>
    <x v="1"/>
    <x v="8"/>
    <x v="8"/>
    <x v="0"/>
    <x v="8"/>
    <x v="0"/>
    <x v="8"/>
    <x v="8"/>
    <x v="8"/>
    <x v="4"/>
    <x v="4"/>
    <x v="0"/>
    <x v="0"/>
  </r>
  <r>
    <x v="1"/>
    <x v="572"/>
    <x v="572"/>
    <x v="572"/>
    <x v="0"/>
    <x v="197"/>
    <x v="206"/>
    <x v="0"/>
    <x v="203"/>
    <x v="0"/>
    <x v="207"/>
    <x v="174"/>
    <x v="210"/>
    <x v="135"/>
    <x v="139"/>
    <x v="0"/>
    <x v="0"/>
  </r>
  <r>
    <x v="1"/>
    <x v="573"/>
    <x v="573"/>
    <x v="573"/>
    <x v="0"/>
    <x v="198"/>
    <x v="207"/>
    <x v="0"/>
    <x v="204"/>
    <x v="0"/>
    <x v="208"/>
    <x v="175"/>
    <x v="211"/>
    <x v="136"/>
    <x v="140"/>
    <x v="11"/>
    <x v="11"/>
  </r>
  <r>
    <x v="0"/>
    <x v="574"/>
    <x v="574"/>
    <x v="574"/>
    <x v="1"/>
    <x v="8"/>
    <x v="8"/>
    <x v="0"/>
    <x v="8"/>
    <x v="0"/>
    <x v="8"/>
    <x v="8"/>
    <x v="8"/>
    <x v="4"/>
    <x v="4"/>
    <x v="0"/>
    <x v="0"/>
  </r>
  <r>
    <x v="2"/>
    <x v="575"/>
    <x v="575"/>
    <x v="575"/>
    <x v="1"/>
    <x v="8"/>
    <x v="8"/>
    <x v="0"/>
    <x v="8"/>
    <x v="0"/>
    <x v="8"/>
    <x v="8"/>
    <x v="8"/>
    <x v="4"/>
    <x v="4"/>
    <x v="0"/>
    <x v="0"/>
  </r>
  <r>
    <x v="0"/>
    <x v="576"/>
    <x v="576"/>
    <x v="576"/>
    <x v="1"/>
    <x v="8"/>
    <x v="8"/>
    <x v="0"/>
    <x v="8"/>
    <x v="0"/>
    <x v="8"/>
    <x v="8"/>
    <x v="8"/>
    <x v="4"/>
    <x v="4"/>
    <x v="0"/>
    <x v="0"/>
  </r>
  <r>
    <x v="2"/>
    <x v="577"/>
    <x v="577"/>
    <x v="577"/>
    <x v="1"/>
    <x v="8"/>
    <x v="8"/>
    <x v="0"/>
    <x v="8"/>
    <x v="0"/>
    <x v="8"/>
    <x v="8"/>
    <x v="8"/>
    <x v="4"/>
    <x v="4"/>
    <x v="0"/>
    <x v="0"/>
  </r>
  <r>
    <x v="1"/>
    <x v="578"/>
    <x v="578"/>
    <x v="578"/>
    <x v="0"/>
    <x v="199"/>
    <x v="208"/>
    <x v="0"/>
    <x v="205"/>
    <x v="0"/>
    <x v="209"/>
    <x v="176"/>
    <x v="212"/>
    <x v="137"/>
    <x v="141"/>
    <x v="0"/>
    <x v="0"/>
  </r>
  <r>
    <x v="0"/>
    <x v="579"/>
    <x v="579"/>
    <x v="579"/>
    <x v="1"/>
    <x v="8"/>
    <x v="8"/>
    <x v="0"/>
    <x v="8"/>
    <x v="0"/>
    <x v="8"/>
    <x v="8"/>
    <x v="8"/>
    <x v="4"/>
    <x v="4"/>
    <x v="0"/>
    <x v="0"/>
  </r>
  <r>
    <x v="2"/>
    <x v="580"/>
    <x v="580"/>
    <x v="580"/>
    <x v="1"/>
    <x v="8"/>
    <x v="8"/>
    <x v="0"/>
    <x v="8"/>
    <x v="0"/>
    <x v="8"/>
    <x v="8"/>
    <x v="8"/>
    <x v="4"/>
    <x v="4"/>
    <x v="0"/>
    <x v="0"/>
  </r>
  <r>
    <x v="2"/>
    <x v="581"/>
    <x v="581"/>
    <x v="581"/>
    <x v="1"/>
    <x v="8"/>
    <x v="8"/>
    <x v="0"/>
    <x v="8"/>
    <x v="0"/>
    <x v="8"/>
    <x v="8"/>
    <x v="8"/>
    <x v="4"/>
    <x v="4"/>
    <x v="0"/>
    <x v="0"/>
  </r>
  <r>
    <x v="0"/>
    <x v="582"/>
    <x v="582"/>
    <x v="582"/>
    <x v="0"/>
    <x v="200"/>
    <x v="209"/>
    <x v="0"/>
    <x v="206"/>
    <x v="0"/>
    <x v="210"/>
    <x v="177"/>
    <x v="213"/>
    <x v="138"/>
    <x v="142"/>
    <x v="44"/>
    <x v="44"/>
  </r>
  <r>
    <x v="0"/>
    <x v="583"/>
    <x v="583"/>
    <x v="583"/>
    <x v="1"/>
    <x v="8"/>
    <x v="8"/>
    <x v="0"/>
    <x v="8"/>
    <x v="0"/>
    <x v="8"/>
    <x v="8"/>
    <x v="8"/>
    <x v="4"/>
    <x v="4"/>
    <x v="0"/>
    <x v="0"/>
  </r>
  <r>
    <x v="2"/>
    <x v="584"/>
    <x v="584"/>
    <x v="584"/>
    <x v="1"/>
    <x v="8"/>
    <x v="8"/>
    <x v="0"/>
    <x v="8"/>
    <x v="0"/>
    <x v="8"/>
    <x v="8"/>
    <x v="8"/>
    <x v="4"/>
    <x v="4"/>
    <x v="0"/>
    <x v="0"/>
  </r>
  <r>
    <x v="2"/>
    <x v="585"/>
    <x v="585"/>
    <x v="585"/>
    <x v="0"/>
    <x v="201"/>
    <x v="210"/>
    <x v="0"/>
    <x v="207"/>
    <x v="0"/>
    <x v="211"/>
    <x v="178"/>
    <x v="214"/>
    <x v="139"/>
    <x v="143"/>
    <x v="72"/>
    <x v="72"/>
  </r>
  <r>
    <x v="0"/>
    <x v="586"/>
    <x v="586"/>
    <x v="586"/>
    <x v="1"/>
    <x v="8"/>
    <x v="8"/>
    <x v="0"/>
    <x v="8"/>
    <x v="0"/>
    <x v="8"/>
    <x v="8"/>
    <x v="8"/>
    <x v="4"/>
    <x v="4"/>
    <x v="0"/>
    <x v="0"/>
  </r>
  <r>
    <x v="2"/>
    <x v="587"/>
    <x v="587"/>
    <x v="587"/>
    <x v="1"/>
    <x v="8"/>
    <x v="8"/>
    <x v="0"/>
    <x v="8"/>
    <x v="0"/>
    <x v="8"/>
    <x v="8"/>
    <x v="8"/>
    <x v="4"/>
    <x v="4"/>
    <x v="0"/>
    <x v="0"/>
  </r>
  <r>
    <x v="0"/>
    <x v="588"/>
    <x v="588"/>
    <x v="588"/>
    <x v="0"/>
    <x v="202"/>
    <x v="211"/>
    <x v="25"/>
    <x v="8"/>
    <x v="27"/>
    <x v="8"/>
    <x v="0"/>
    <x v="215"/>
    <x v="0"/>
    <x v="0"/>
    <x v="0"/>
    <x v="0"/>
  </r>
  <r>
    <x v="0"/>
    <x v="589"/>
    <x v="589"/>
    <x v="589"/>
    <x v="0"/>
    <x v="203"/>
    <x v="212"/>
    <x v="0"/>
    <x v="208"/>
    <x v="0"/>
    <x v="34"/>
    <x v="15"/>
    <x v="35"/>
    <x v="96"/>
    <x v="98"/>
    <x v="0"/>
    <x v="0"/>
  </r>
  <r>
    <x v="0"/>
    <x v="590"/>
    <x v="590"/>
    <x v="590"/>
    <x v="1"/>
    <x v="8"/>
    <x v="8"/>
    <x v="0"/>
    <x v="8"/>
    <x v="0"/>
    <x v="8"/>
    <x v="8"/>
    <x v="8"/>
    <x v="4"/>
    <x v="4"/>
    <x v="0"/>
    <x v="0"/>
  </r>
  <r>
    <x v="2"/>
    <x v="591"/>
    <x v="591"/>
    <x v="591"/>
    <x v="1"/>
    <x v="8"/>
    <x v="8"/>
    <x v="0"/>
    <x v="8"/>
    <x v="0"/>
    <x v="8"/>
    <x v="8"/>
    <x v="8"/>
    <x v="4"/>
    <x v="4"/>
    <x v="0"/>
    <x v="0"/>
  </r>
  <r>
    <x v="2"/>
    <x v="592"/>
    <x v="592"/>
    <x v="592"/>
    <x v="0"/>
    <x v="204"/>
    <x v="213"/>
    <x v="0"/>
    <x v="209"/>
    <x v="0"/>
    <x v="212"/>
    <x v="179"/>
    <x v="216"/>
    <x v="140"/>
    <x v="144"/>
    <x v="0"/>
    <x v="0"/>
  </r>
  <r>
    <x v="2"/>
    <x v="593"/>
    <x v="593"/>
    <x v="593"/>
    <x v="1"/>
    <x v="8"/>
    <x v="8"/>
    <x v="0"/>
    <x v="8"/>
    <x v="0"/>
    <x v="8"/>
    <x v="8"/>
    <x v="8"/>
    <x v="4"/>
    <x v="4"/>
    <x v="0"/>
    <x v="0"/>
  </r>
  <r>
    <x v="2"/>
    <x v="594"/>
    <x v="594"/>
    <x v="594"/>
    <x v="1"/>
    <x v="8"/>
    <x v="8"/>
    <x v="0"/>
    <x v="8"/>
    <x v="0"/>
    <x v="8"/>
    <x v="8"/>
    <x v="8"/>
    <x v="4"/>
    <x v="4"/>
    <x v="0"/>
    <x v="0"/>
  </r>
  <r>
    <x v="0"/>
    <x v="595"/>
    <x v="595"/>
    <x v="595"/>
    <x v="1"/>
    <x v="8"/>
    <x v="8"/>
    <x v="0"/>
    <x v="8"/>
    <x v="0"/>
    <x v="8"/>
    <x v="8"/>
    <x v="8"/>
    <x v="4"/>
    <x v="4"/>
    <x v="0"/>
    <x v="0"/>
  </r>
  <r>
    <x v="2"/>
    <x v="596"/>
    <x v="596"/>
    <x v="596"/>
    <x v="0"/>
    <x v="205"/>
    <x v="214"/>
    <x v="0"/>
    <x v="210"/>
    <x v="0"/>
    <x v="213"/>
    <x v="180"/>
    <x v="217"/>
    <x v="141"/>
    <x v="145"/>
    <x v="73"/>
    <x v="73"/>
  </r>
  <r>
    <x v="1"/>
    <x v="597"/>
    <x v="597"/>
    <x v="597"/>
    <x v="0"/>
    <x v="53"/>
    <x v="54"/>
    <x v="8"/>
    <x v="8"/>
    <x v="8"/>
    <x v="8"/>
    <x v="50"/>
    <x v="54"/>
    <x v="0"/>
    <x v="0"/>
    <x v="0"/>
    <x v="0"/>
  </r>
  <r>
    <x v="0"/>
    <x v="598"/>
    <x v="598"/>
    <x v="598"/>
    <x v="0"/>
    <x v="206"/>
    <x v="215"/>
    <x v="0"/>
    <x v="211"/>
    <x v="0"/>
    <x v="214"/>
    <x v="30"/>
    <x v="218"/>
    <x v="142"/>
    <x v="146"/>
    <x v="0"/>
    <x v="0"/>
  </r>
  <r>
    <x v="0"/>
    <x v="599"/>
    <x v="599"/>
    <x v="599"/>
    <x v="1"/>
    <x v="8"/>
    <x v="8"/>
    <x v="0"/>
    <x v="8"/>
    <x v="0"/>
    <x v="8"/>
    <x v="8"/>
    <x v="8"/>
    <x v="4"/>
    <x v="4"/>
    <x v="0"/>
    <x v="0"/>
  </r>
  <r>
    <x v="2"/>
    <x v="600"/>
    <x v="600"/>
    <x v="600"/>
    <x v="1"/>
    <x v="8"/>
    <x v="8"/>
    <x v="0"/>
    <x v="8"/>
    <x v="0"/>
    <x v="8"/>
    <x v="8"/>
    <x v="8"/>
    <x v="4"/>
    <x v="4"/>
    <x v="0"/>
    <x v="0"/>
  </r>
  <r>
    <x v="0"/>
    <x v="601"/>
    <x v="601"/>
    <x v="201"/>
    <x v="1"/>
    <x v="8"/>
    <x v="8"/>
    <x v="0"/>
    <x v="8"/>
    <x v="0"/>
    <x v="8"/>
    <x v="8"/>
    <x v="8"/>
    <x v="4"/>
    <x v="4"/>
    <x v="0"/>
    <x v="0"/>
  </r>
  <r>
    <x v="1"/>
    <x v="602"/>
    <x v="602"/>
    <x v="601"/>
    <x v="1"/>
    <x v="8"/>
    <x v="8"/>
    <x v="0"/>
    <x v="8"/>
    <x v="0"/>
    <x v="8"/>
    <x v="8"/>
    <x v="8"/>
    <x v="4"/>
    <x v="4"/>
    <x v="0"/>
    <x v="0"/>
  </r>
  <r>
    <x v="0"/>
    <x v="603"/>
    <x v="603"/>
    <x v="602"/>
    <x v="1"/>
    <x v="8"/>
    <x v="8"/>
    <x v="0"/>
    <x v="8"/>
    <x v="0"/>
    <x v="8"/>
    <x v="8"/>
    <x v="8"/>
    <x v="4"/>
    <x v="4"/>
    <x v="0"/>
    <x v="0"/>
  </r>
  <r>
    <x v="2"/>
    <x v="604"/>
    <x v="604"/>
    <x v="603"/>
    <x v="0"/>
    <x v="207"/>
    <x v="216"/>
    <x v="0"/>
    <x v="212"/>
    <x v="0"/>
    <x v="215"/>
    <x v="130"/>
    <x v="219"/>
    <x v="105"/>
    <x v="107"/>
    <x v="0"/>
    <x v="0"/>
  </r>
  <r>
    <x v="2"/>
    <x v="605"/>
    <x v="605"/>
    <x v="604"/>
    <x v="1"/>
    <x v="8"/>
    <x v="8"/>
    <x v="0"/>
    <x v="8"/>
    <x v="0"/>
    <x v="8"/>
    <x v="8"/>
    <x v="8"/>
    <x v="4"/>
    <x v="4"/>
    <x v="0"/>
    <x v="0"/>
  </r>
  <r>
    <x v="0"/>
    <x v="606"/>
    <x v="606"/>
    <x v="605"/>
    <x v="1"/>
    <x v="8"/>
    <x v="8"/>
    <x v="0"/>
    <x v="8"/>
    <x v="0"/>
    <x v="8"/>
    <x v="8"/>
    <x v="8"/>
    <x v="4"/>
    <x v="4"/>
    <x v="0"/>
    <x v="0"/>
  </r>
  <r>
    <x v="2"/>
    <x v="607"/>
    <x v="607"/>
    <x v="606"/>
    <x v="1"/>
    <x v="8"/>
    <x v="8"/>
    <x v="0"/>
    <x v="8"/>
    <x v="0"/>
    <x v="8"/>
    <x v="8"/>
    <x v="8"/>
    <x v="4"/>
    <x v="4"/>
    <x v="0"/>
    <x v="0"/>
  </r>
  <r>
    <x v="2"/>
    <x v="608"/>
    <x v="608"/>
    <x v="607"/>
    <x v="1"/>
    <x v="8"/>
    <x v="8"/>
    <x v="0"/>
    <x v="8"/>
    <x v="0"/>
    <x v="8"/>
    <x v="8"/>
    <x v="8"/>
    <x v="4"/>
    <x v="4"/>
    <x v="0"/>
    <x v="0"/>
  </r>
  <r>
    <x v="2"/>
    <x v="609"/>
    <x v="609"/>
    <x v="608"/>
    <x v="1"/>
    <x v="8"/>
    <x v="8"/>
    <x v="0"/>
    <x v="8"/>
    <x v="0"/>
    <x v="8"/>
    <x v="8"/>
    <x v="8"/>
    <x v="4"/>
    <x v="4"/>
    <x v="0"/>
    <x v="0"/>
  </r>
  <r>
    <x v="2"/>
    <x v="610"/>
    <x v="610"/>
    <x v="609"/>
    <x v="0"/>
    <x v="62"/>
    <x v="217"/>
    <x v="26"/>
    <x v="213"/>
    <x v="28"/>
    <x v="34"/>
    <x v="61"/>
    <x v="220"/>
    <x v="82"/>
    <x v="84"/>
    <x v="0"/>
    <x v="0"/>
  </r>
  <r>
    <x v="0"/>
    <x v="611"/>
    <x v="611"/>
    <x v="610"/>
    <x v="1"/>
    <x v="8"/>
    <x v="8"/>
    <x v="0"/>
    <x v="8"/>
    <x v="0"/>
    <x v="8"/>
    <x v="8"/>
    <x v="8"/>
    <x v="4"/>
    <x v="4"/>
    <x v="0"/>
    <x v="0"/>
  </r>
  <r>
    <x v="0"/>
    <x v="612"/>
    <x v="612"/>
    <x v="611"/>
    <x v="1"/>
    <x v="8"/>
    <x v="8"/>
    <x v="0"/>
    <x v="8"/>
    <x v="0"/>
    <x v="8"/>
    <x v="8"/>
    <x v="8"/>
    <x v="4"/>
    <x v="4"/>
    <x v="0"/>
    <x v="0"/>
  </r>
  <r>
    <x v="2"/>
    <x v="613"/>
    <x v="613"/>
    <x v="612"/>
    <x v="1"/>
    <x v="8"/>
    <x v="8"/>
    <x v="0"/>
    <x v="8"/>
    <x v="0"/>
    <x v="8"/>
    <x v="8"/>
    <x v="8"/>
    <x v="4"/>
    <x v="4"/>
    <x v="0"/>
    <x v="0"/>
  </r>
  <r>
    <x v="0"/>
    <x v="614"/>
    <x v="614"/>
    <x v="613"/>
    <x v="1"/>
    <x v="8"/>
    <x v="8"/>
    <x v="0"/>
    <x v="8"/>
    <x v="0"/>
    <x v="8"/>
    <x v="8"/>
    <x v="8"/>
    <x v="4"/>
    <x v="4"/>
    <x v="0"/>
    <x v="0"/>
  </r>
  <r>
    <x v="2"/>
    <x v="615"/>
    <x v="615"/>
    <x v="614"/>
    <x v="0"/>
    <x v="208"/>
    <x v="218"/>
    <x v="0"/>
    <x v="214"/>
    <x v="0"/>
    <x v="216"/>
    <x v="181"/>
    <x v="221"/>
    <x v="143"/>
    <x v="147"/>
    <x v="74"/>
    <x v="74"/>
  </r>
  <r>
    <x v="0"/>
    <x v="616"/>
    <x v="616"/>
    <x v="615"/>
    <x v="1"/>
    <x v="8"/>
    <x v="8"/>
    <x v="0"/>
    <x v="8"/>
    <x v="0"/>
    <x v="8"/>
    <x v="8"/>
    <x v="8"/>
    <x v="4"/>
    <x v="4"/>
    <x v="0"/>
    <x v="0"/>
  </r>
  <r>
    <x v="2"/>
    <x v="617"/>
    <x v="617"/>
    <x v="616"/>
    <x v="0"/>
    <x v="209"/>
    <x v="219"/>
    <x v="0"/>
    <x v="215"/>
    <x v="0"/>
    <x v="217"/>
    <x v="9"/>
    <x v="222"/>
    <x v="8"/>
    <x v="9"/>
    <x v="0"/>
    <x v="0"/>
  </r>
  <r>
    <x v="2"/>
    <x v="618"/>
    <x v="618"/>
    <x v="617"/>
    <x v="0"/>
    <x v="210"/>
    <x v="220"/>
    <x v="0"/>
    <x v="216"/>
    <x v="0"/>
    <x v="218"/>
    <x v="182"/>
    <x v="223"/>
    <x v="14"/>
    <x v="15"/>
    <x v="75"/>
    <x v="75"/>
  </r>
  <r>
    <x v="1"/>
    <x v="619"/>
    <x v="619"/>
    <x v="618"/>
    <x v="0"/>
    <x v="211"/>
    <x v="221"/>
    <x v="0"/>
    <x v="217"/>
    <x v="0"/>
    <x v="219"/>
    <x v="183"/>
    <x v="224"/>
    <x v="144"/>
    <x v="148"/>
    <x v="0"/>
    <x v="0"/>
  </r>
  <r>
    <x v="2"/>
    <x v="620"/>
    <x v="620"/>
    <x v="619"/>
    <x v="1"/>
    <x v="8"/>
    <x v="8"/>
    <x v="0"/>
    <x v="8"/>
    <x v="0"/>
    <x v="8"/>
    <x v="8"/>
    <x v="8"/>
    <x v="4"/>
    <x v="4"/>
    <x v="0"/>
    <x v="0"/>
  </r>
  <r>
    <x v="2"/>
    <x v="621"/>
    <x v="621"/>
    <x v="620"/>
    <x v="1"/>
    <x v="8"/>
    <x v="8"/>
    <x v="0"/>
    <x v="8"/>
    <x v="0"/>
    <x v="8"/>
    <x v="8"/>
    <x v="8"/>
    <x v="4"/>
    <x v="4"/>
    <x v="0"/>
    <x v="0"/>
  </r>
  <r>
    <x v="0"/>
    <x v="622"/>
    <x v="622"/>
    <x v="621"/>
    <x v="0"/>
    <x v="212"/>
    <x v="222"/>
    <x v="0"/>
    <x v="218"/>
    <x v="0"/>
    <x v="220"/>
    <x v="184"/>
    <x v="225"/>
    <x v="145"/>
    <x v="149"/>
    <x v="76"/>
    <x v="76"/>
  </r>
  <r>
    <x v="2"/>
    <x v="623"/>
    <x v="623"/>
    <x v="622"/>
    <x v="1"/>
    <x v="8"/>
    <x v="8"/>
    <x v="0"/>
    <x v="8"/>
    <x v="0"/>
    <x v="8"/>
    <x v="8"/>
    <x v="8"/>
    <x v="4"/>
    <x v="4"/>
    <x v="0"/>
    <x v="0"/>
  </r>
  <r>
    <x v="0"/>
    <x v="624"/>
    <x v="624"/>
    <x v="623"/>
    <x v="1"/>
    <x v="8"/>
    <x v="8"/>
    <x v="0"/>
    <x v="8"/>
    <x v="0"/>
    <x v="8"/>
    <x v="8"/>
    <x v="8"/>
    <x v="4"/>
    <x v="4"/>
    <x v="0"/>
    <x v="0"/>
  </r>
  <r>
    <x v="2"/>
    <x v="625"/>
    <x v="625"/>
    <x v="624"/>
    <x v="1"/>
    <x v="8"/>
    <x v="8"/>
    <x v="0"/>
    <x v="8"/>
    <x v="0"/>
    <x v="8"/>
    <x v="8"/>
    <x v="8"/>
    <x v="4"/>
    <x v="4"/>
    <x v="0"/>
    <x v="0"/>
  </r>
  <r>
    <x v="0"/>
    <x v="626"/>
    <x v="626"/>
    <x v="625"/>
    <x v="1"/>
    <x v="8"/>
    <x v="8"/>
    <x v="0"/>
    <x v="8"/>
    <x v="0"/>
    <x v="8"/>
    <x v="8"/>
    <x v="8"/>
    <x v="4"/>
    <x v="4"/>
    <x v="0"/>
    <x v="0"/>
  </r>
  <r>
    <x v="2"/>
    <x v="627"/>
    <x v="627"/>
    <x v="626"/>
    <x v="0"/>
    <x v="213"/>
    <x v="223"/>
    <x v="0"/>
    <x v="219"/>
    <x v="0"/>
    <x v="221"/>
    <x v="185"/>
    <x v="226"/>
    <x v="134"/>
    <x v="138"/>
    <x v="0"/>
    <x v="0"/>
  </r>
  <r>
    <x v="2"/>
    <x v="628"/>
    <x v="628"/>
    <x v="627"/>
    <x v="1"/>
    <x v="8"/>
    <x v="8"/>
    <x v="0"/>
    <x v="8"/>
    <x v="0"/>
    <x v="8"/>
    <x v="8"/>
    <x v="8"/>
    <x v="4"/>
    <x v="4"/>
    <x v="0"/>
    <x v="0"/>
  </r>
  <r>
    <x v="0"/>
    <x v="629"/>
    <x v="629"/>
    <x v="628"/>
    <x v="1"/>
    <x v="8"/>
    <x v="8"/>
    <x v="0"/>
    <x v="8"/>
    <x v="0"/>
    <x v="8"/>
    <x v="8"/>
    <x v="8"/>
    <x v="4"/>
    <x v="4"/>
    <x v="0"/>
    <x v="0"/>
  </r>
  <r>
    <x v="2"/>
    <x v="630"/>
    <x v="630"/>
    <x v="629"/>
    <x v="1"/>
    <x v="8"/>
    <x v="8"/>
    <x v="0"/>
    <x v="8"/>
    <x v="0"/>
    <x v="8"/>
    <x v="8"/>
    <x v="8"/>
    <x v="4"/>
    <x v="4"/>
    <x v="0"/>
    <x v="0"/>
  </r>
  <r>
    <x v="0"/>
    <x v="631"/>
    <x v="631"/>
    <x v="630"/>
    <x v="1"/>
    <x v="8"/>
    <x v="8"/>
    <x v="0"/>
    <x v="8"/>
    <x v="0"/>
    <x v="8"/>
    <x v="8"/>
    <x v="8"/>
    <x v="4"/>
    <x v="4"/>
    <x v="0"/>
    <x v="0"/>
  </r>
  <r>
    <x v="0"/>
    <x v="632"/>
    <x v="632"/>
    <x v="631"/>
    <x v="1"/>
    <x v="8"/>
    <x v="8"/>
    <x v="0"/>
    <x v="8"/>
    <x v="0"/>
    <x v="8"/>
    <x v="8"/>
    <x v="8"/>
    <x v="4"/>
    <x v="4"/>
    <x v="0"/>
    <x v="0"/>
  </r>
  <r>
    <x v="1"/>
    <x v="633"/>
    <x v="633"/>
    <x v="632"/>
    <x v="1"/>
    <x v="8"/>
    <x v="8"/>
    <x v="0"/>
    <x v="8"/>
    <x v="0"/>
    <x v="8"/>
    <x v="8"/>
    <x v="8"/>
    <x v="4"/>
    <x v="4"/>
    <x v="0"/>
    <x v="0"/>
  </r>
  <r>
    <x v="0"/>
    <x v="634"/>
    <x v="634"/>
    <x v="633"/>
    <x v="1"/>
    <x v="8"/>
    <x v="8"/>
    <x v="0"/>
    <x v="8"/>
    <x v="0"/>
    <x v="8"/>
    <x v="8"/>
    <x v="8"/>
    <x v="4"/>
    <x v="4"/>
    <x v="0"/>
    <x v="0"/>
  </r>
  <r>
    <x v="2"/>
    <x v="635"/>
    <x v="635"/>
    <x v="634"/>
    <x v="1"/>
    <x v="8"/>
    <x v="8"/>
    <x v="0"/>
    <x v="8"/>
    <x v="0"/>
    <x v="8"/>
    <x v="8"/>
    <x v="8"/>
    <x v="4"/>
    <x v="4"/>
    <x v="0"/>
    <x v="0"/>
  </r>
  <r>
    <x v="1"/>
    <x v="636"/>
    <x v="636"/>
    <x v="635"/>
    <x v="0"/>
    <x v="4"/>
    <x v="224"/>
    <x v="0"/>
    <x v="220"/>
    <x v="0"/>
    <x v="222"/>
    <x v="8"/>
    <x v="227"/>
    <x v="146"/>
    <x v="150"/>
    <x v="0"/>
    <x v="0"/>
  </r>
  <r>
    <x v="2"/>
    <x v="637"/>
    <x v="637"/>
    <x v="636"/>
    <x v="0"/>
    <x v="214"/>
    <x v="225"/>
    <x v="0"/>
    <x v="221"/>
    <x v="0"/>
    <x v="223"/>
    <x v="186"/>
    <x v="228"/>
    <x v="147"/>
    <x v="151"/>
    <x v="77"/>
    <x v="77"/>
  </r>
  <r>
    <x v="2"/>
    <x v="638"/>
    <x v="638"/>
    <x v="637"/>
    <x v="1"/>
    <x v="8"/>
    <x v="8"/>
    <x v="0"/>
    <x v="8"/>
    <x v="0"/>
    <x v="8"/>
    <x v="8"/>
    <x v="8"/>
    <x v="4"/>
    <x v="4"/>
    <x v="0"/>
    <x v="0"/>
  </r>
  <r>
    <x v="2"/>
    <x v="639"/>
    <x v="639"/>
    <x v="638"/>
    <x v="0"/>
    <x v="215"/>
    <x v="226"/>
    <x v="0"/>
    <x v="222"/>
    <x v="0"/>
    <x v="224"/>
    <x v="187"/>
    <x v="229"/>
    <x v="148"/>
    <x v="152"/>
    <x v="0"/>
    <x v="0"/>
  </r>
  <r>
    <x v="0"/>
    <x v="640"/>
    <x v="640"/>
    <x v="639"/>
    <x v="0"/>
    <x v="216"/>
    <x v="227"/>
    <x v="0"/>
    <x v="223"/>
    <x v="0"/>
    <x v="225"/>
    <x v="95"/>
    <x v="230"/>
    <x v="65"/>
    <x v="67"/>
    <x v="0"/>
    <x v="0"/>
  </r>
  <r>
    <x v="0"/>
    <x v="641"/>
    <x v="641"/>
    <x v="640"/>
    <x v="0"/>
    <x v="217"/>
    <x v="228"/>
    <x v="0"/>
    <x v="224"/>
    <x v="0"/>
    <x v="226"/>
    <x v="188"/>
    <x v="231"/>
    <x v="149"/>
    <x v="153"/>
    <x v="78"/>
    <x v="78"/>
  </r>
  <r>
    <x v="1"/>
    <x v="642"/>
    <x v="642"/>
    <x v="641"/>
    <x v="1"/>
    <x v="8"/>
    <x v="8"/>
    <x v="0"/>
    <x v="8"/>
    <x v="0"/>
    <x v="8"/>
    <x v="8"/>
    <x v="8"/>
    <x v="4"/>
    <x v="4"/>
    <x v="0"/>
    <x v="0"/>
  </r>
  <r>
    <x v="2"/>
    <x v="643"/>
    <x v="643"/>
    <x v="642"/>
    <x v="0"/>
    <x v="218"/>
    <x v="229"/>
    <x v="0"/>
    <x v="225"/>
    <x v="0"/>
    <x v="227"/>
    <x v="189"/>
    <x v="232"/>
    <x v="150"/>
    <x v="154"/>
    <x v="79"/>
    <x v="79"/>
  </r>
  <r>
    <x v="2"/>
    <x v="644"/>
    <x v="644"/>
    <x v="643"/>
    <x v="1"/>
    <x v="8"/>
    <x v="8"/>
    <x v="0"/>
    <x v="8"/>
    <x v="0"/>
    <x v="8"/>
    <x v="8"/>
    <x v="8"/>
    <x v="4"/>
    <x v="4"/>
    <x v="0"/>
    <x v="0"/>
  </r>
  <r>
    <x v="2"/>
    <x v="645"/>
    <x v="645"/>
    <x v="644"/>
    <x v="1"/>
    <x v="8"/>
    <x v="8"/>
    <x v="0"/>
    <x v="8"/>
    <x v="0"/>
    <x v="8"/>
    <x v="8"/>
    <x v="8"/>
    <x v="4"/>
    <x v="4"/>
    <x v="0"/>
    <x v="0"/>
  </r>
  <r>
    <x v="0"/>
    <x v="646"/>
    <x v="646"/>
    <x v="645"/>
    <x v="1"/>
    <x v="8"/>
    <x v="8"/>
    <x v="0"/>
    <x v="8"/>
    <x v="0"/>
    <x v="8"/>
    <x v="8"/>
    <x v="8"/>
    <x v="4"/>
    <x v="4"/>
    <x v="0"/>
    <x v="0"/>
  </r>
  <r>
    <x v="2"/>
    <x v="647"/>
    <x v="647"/>
    <x v="646"/>
    <x v="1"/>
    <x v="8"/>
    <x v="8"/>
    <x v="0"/>
    <x v="8"/>
    <x v="0"/>
    <x v="8"/>
    <x v="8"/>
    <x v="8"/>
    <x v="4"/>
    <x v="4"/>
    <x v="0"/>
    <x v="0"/>
  </r>
  <r>
    <x v="2"/>
    <x v="648"/>
    <x v="648"/>
    <x v="647"/>
    <x v="1"/>
    <x v="8"/>
    <x v="8"/>
    <x v="0"/>
    <x v="8"/>
    <x v="0"/>
    <x v="8"/>
    <x v="8"/>
    <x v="8"/>
    <x v="4"/>
    <x v="4"/>
    <x v="0"/>
    <x v="0"/>
  </r>
  <r>
    <x v="0"/>
    <x v="649"/>
    <x v="649"/>
    <x v="648"/>
    <x v="0"/>
    <x v="219"/>
    <x v="230"/>
    <x v="0"/>
    <x v="213"/>
    <x v="0"/>
    <x v="34"/>
    <x v="15"/>
    <x v="35"/>
    <x v="133"/>
    <x v="155"/>
    <x v="0"/>
    <x v="0"/>
  </r>
  <r>
    <x v="2"/>
    <x v="650"/>
    <x v="650"/>
    <x v="649"/>
    <x v="0"/>
    <x v="220"/>
    <x v="231"/>
    <x v="0"/>
    <x v="226"/>
    <x v="0"/>
    <x v="228"/>
    <x v="190"/>
    <x v="233"/>
    <x v="82"/>
    <x v="84"/>
    <x v="80"/>
    <x v="80"/>
  </r>
  <r>
    <x v="2"/>
    <x v="651"/>
    <x v="651"/>
    <x v="650"/>
    <x v="1"/>
    <x v="8"/>
    <x v="8"/>
    <x v="0"/>
    <x v="8"/>
    <x v="0"/>
    <x v="8"/>
    <x v="8"/>
    <x v="8"/>
    <x v="4"/>
    <x v="4"/>
    <x v="0"/>
    <x v="0"/>
  </r>
  <r>
    <x v="0"/>
    <x v="652"/>
    <x v="652"/>
    <x v="651"/>
    <x v="0"/>
    <x v="8"/>
    <x v="232"/>
    <x v="0"/>
    <x v="227"/>
    <x v="0"/>
    <x v="229"/>
    <x v="8"/>
    <x v="234"/>
    <x v="4"/>
    <x v="4"/>
    <x v="0"/>
    <x v="0"/>
  </r>
  <r>
    <x v="0"/>
    <x v="653"/>
    <x v="653"/>
    <x v="652"/>
    <x v="1"/>
    <x v="8"/>
    <x v="8"/>
    <x v="0"/>
    <x v="8"/>
    <x v="0"/>
    <x v="8"/>
    <x v="8"/>
    <x v="8"/>
    <x v="4"/>
    <x v="4"/>
    <x v="0"/>
    <x v="0"/>
  </r>
  <r>
    <x v="0"/>
    <x v="654"/>
    <x v="654"/>
    <x v="653"/>
    <x v="1"/>
    <x v="8"/>
    <x v="8"/>
    <x v="0"/>
    <x v="8"/>
    <x v="0"/>
    <x v="8"/>
    <x v="8"/>
    <x v="8"/>
    <x v="4"/>
    <x v="4"/>
    <x v="0"/>
    <x v="0"/>
  </r>
  <r>
    <x v="2"/>
    <x v="655"/>
    <x v="655"/>
    <x v="654"/>
    <x v="1"/>
    <x v="8"/>
    <x v="8"/>
    <x v="0"/>
    <x v="8"/>
    <x v="0"/>
    <x v="8"/>
    <x v="8"/>
    <x v="8"/>
    <x v="4"/>
    <x v="4"/>
    <x v="0"/>
    <x v="0"/>
  </r>
  <r>
    <x v="1"/>
    <x v="656"/>
    <x v="656"/>
    <x v="655"/>
    <x v="0"/>
    <x v="221"/>
    <x v="233"/>
    <x v="0"/>
    <x v="228"/>
    <x v="0"/>
    <x v="230"/>
    <x v="191"/>
    <x v="235"/>
    <x v="151"/>
    <x v="156"/>
    <x v="0"/>
    <x v="0"/>
  </r>
  <r>
    <x v="0"/>
    <x v="657"/>
    <x v="657"/>
    <x v="656"/>
    <x v="1"/>
    <x v="8"/>
    <x v="8"/>
    <x v="0"/>
    <x v="8"/>
    <x v="0"/>
    <x v="8"/>
    <x v="8"/>
    <x v="8"/>
    <x v="4"/>
    <x v="4"/>
    <x v="0"/>
    <x v="0"/>
  </r>
  <r>
    <x v="2"/>
    <x v="658"/>
    <x v="658"/>
    <x v="657"/>
    <x v="0"/>
    <x v="222"/>
    <x v="234"/>
    <x v="0"/>
    <x v="229"/>
    <x v="0"/>
    <x v="231"/>
    <x v="192"/>
    <x v="236"/>
    <x v="15"/>
    <x v="52"/>
    <x v="0"/>
    <x v="0"/>
  </r>
  <r>
    <x v="1"/>
    <x v="659"/>
    <x v="659"/>
    <x v="658"/>
    <x v="1"/>
    <x v="8"/>
    <x v="8"/>
    <x v="0"/>
    <x v="8"/>
    <x v="0"/>
    <x v="8"/>
    <x v="8"/>
    <x v="8"/>
    <x v="4"/>
    <x v="4"/>
    <x v="0"/>
    <x v="0"/>
  </r>
  <r>
    <x v="2"/>
    <x v="660"/>
    <x v="660"/>
    <x v="659"/>
    <x v="1"/>
    <x v="8"/>
    <x v="8"/>
    <x v="0"/>
    <x v="8"/>
    <x v="0"/>
    <x v="8"/>
    <x v="8"/>
    <x v="8"/>
    <x v="4"/>
    <x v="4"/>
    <x v="0"/>
    <x v="0"/>
  </r>
  <r>
    <x v="2"/>
    <x v="661"/>
    <x v="661"/>
    <x v="660"/>
    <x v="0"/>
    <x v="223"/>
    <x v="235"/>
    <x v="0"/>
    <x v="230"/>
    <x v="0"/>
    <x v="232"/>
    <x v="193"/>
    <x v="237"/>
    <x v="152"/>
    <x v="157"/>
    <x v="81"/>
    <x v="81"/>
  </r>
  <r>
    <x v="1"/>
    <x v="662"/>
    <x v="662"/>
    <x v="661"/>
    <x v="1"/>
    <x v="8"/>
    <x v="8"/>
    <x v="0"/>
    <x v="8"/>
    <x v="0"/>
    <x v="8"/>
    <x v="8"/>
    <x v="8"/>
    <x v="4"/>
    <x v="4"/>
    <x v="0"/>
    <x v="0"/>
  </r>
  <r>
    <x v="2"/>
    <x v="663"/>
    <x v="663"/>
    <x v="662"/>
    <x v="1"/>
    <x v="8"/>
    <x v="8"/>
    <x v="0"/>
    <x v="8"/>
    <x v="0"/>
    <x v="8"/>
    <x v="8"/>
    <x v="8"/>
    <x v="4"/>
    <x v="4"/>
    <x v="0"/>
    <x v="0"/>
  </r>
  <r>
    <x v="2"/>
    <x v="664"/>
    <x v="664"/>
    <x v="663"/>
    <x v="1"/>
    <x v="8"/>
    <x v="8"/>
    <x v="0"/>
    <x v="8"/>
    <x v="0"/>
    <x v="8"/>
    <x v="8"/>
    <x v="8"/>
    <x v="4"/>
    <x v="4"/>
    <x v="0"/>
    <x v="0"/>
  </r>
  <r>
    <x v="0"/>
    <x v="665"/>
    <x v="665"/>
    <x v="664"/>
    <x v="0"/>
    <x v="224"/>
    <x v="236"/>
    <x v="0"/>
    <x v="231"/>
    <x v="0"/>
    <x v="233"/>
    <x v="194"/>
    <x v="238"/>
    <x v="153"/>
    <x v="158"/>
    <x v="0"/>
    <x v="0"/>
  </r>
  <r>
    <x v="2"/>
    <x v="666"/>
    <x v="666"/>
    <x v="665"/>
    <x v="1"/>
    <x v="8"/>
    <x v="8"/>
    <x v="0"/>
    <x v="8"/>
    <x v="0"/>
    <x v="8"/>
    <x v="8"/>
    <x v="8"/>
    <x v="4"/>
    <x v="4"/>
    <x v="0"/>
    <x v="0"/>
  </r>
  <r>
    <x v="1"/>
    <x v="667"/>
    <x v="667"/>
    <x v="666"/>
    <x v="1"/>
    <x v="8"/>
    <x v="8"/>
    <x v="0"/>
    <x v="8"/>
    <x v="0"/>
    <x v="8"/>
    <x v="8"/>
    <x v="8"/>
    <x v="4"/>
    <x v="4"/>
    <x v="0"/>
    <x v="0"/>
  </r>
  <r>
    <x v="2"/>
    <x v="668"/>
    <x v="668"/>
    <x v="667"/>
    <x v="0"/>
    <x v="225"/>
    <x v="237"/>
    <x v="0"/>
    <x v="232"/>
    <x v="0"/>
    <x v="234"/>
    <x v="8"/>
    <x v="239"/>
    <x v="4"/>
    <x v="4"/>
    <x v="0"/>
    <x v="0"/>
  </r>
  <r>
    <x v="0"/>
    <x v="669"/>
    <x v="669"/>
    <x v="668"/>
    <x v="1"/>
    <x v="8"/>
    <x v="8"/>
    <x v="0"/>
    <x v="8"/>
    <x v="0"/>
    <x v="8"/>
    <x v="8"/>
    <x v="8"/>
    <x v="4"/>
    <x v="4"/>
    <x v="0"/>
    <x v="0"/>
  </r>
  <r>
    <x v="2"/>
    <x v="670"/>
    <x v="670"/>
    <x v="669"/>
    <x v="1"/>
    <x v="8"/>
    <x v="8"/>
    <x v="0"/>
    <x v="8"/>
    <x v="0"/>
    <x v="8"/>
    <x v="8"/>
    <x v="8"/>
    <x v="4"/>
    <x v="4"/>
    <x v="0"/>
    <x v="0"/>
  </r>
  <r>
    <x v="0"/>
    <x v="671"/>
    <x v="671"/>
    <x v="670"/>
    <x v="1"/>
    <x v="8"/>
    <x v="8"/>
    <x v="0"/>
    <x v="8"/>
    <x v="0"/>
    <x v="8"/>
    <x v="8"/>
    <x v="8"/>
    <x v="4"/>
    <x v="4"/>
    <x v="0"/>
    <x v="0"/>
  </r>
  <r>
    <x v="2"/>
    <x v="672"/>
    <x v="672"/>
    <x v="671"/>
    <x v="1"/>
    <x v="8"/>
    <x v="8"/>
    <x v="0"/>
    <x v="8"/>
    <x v="0"/>
    <x v="8"/>
    <x v="8"/>
    <x v="8"/>
    <x v="4"/>
    <x v="4"/>
    <x v="0"/>
    <x v="0"/>
  </r>
  <r>
    <x v="2"/>
    <x v="673"/>
    <x v="673"/>
    <x v="672"/>
    <x v="1"/>
    <x v="8"/>
    <x v="8"/>
    <x v="0"/>
    <x v="8"/>
    <x v="0"/>
    <x v="8"/>
    <x v="8"/>
    <x v="8"/>
    <x v="4"/>
    <x v="4"/>
    <x v="0"/>
    <x v="0"/>
  </r>
  <r>
    <x v="2"/>
    <x v="674"/>
    <x v="674"/>
    <x v="673"/>
    <x v="1"/>
    <x v="8"/>
    <x v="8"/>
    <x v="0"/>
    <x v="8"/>
    <x v="0"/>
    <x v="8"/>
    <x v="8"/>
    <x v="8"/>
    <x v="4"/>
    <x v="4"/>
    <x v="0"/>
    <x v="0"/>
  </r>
  <r>
    <x v="2"/>
    <x v="675"/>
    <x v="675"/>
    <x v="674"/>
    <x v="1"/>
    <x v="8"/>
    <x v="8"/>
    <x v="0"/>
    <x v="8"/>
    <x v="0"/>
    <x v="8"/>
    <x v="8"/>
    <x v="8"/>
    <x v="4"/>
    <x v="4"/>
    <x v="0"/>
    <x v="0"/>
  </r>
  <r>
    <x v="2"/>
    <x v="676"/>
    <x v="676"/>
    <x v="675"/>
    <x v="0"/>
    <x v="226"/>
    <x v="238"/>
    <x v="3"/>
    <x v="233"/>
    <x v="3"/>
    <x v="235"/>
    <x v="195"/>
    <x v="240"/>
    <x v="154"/>
    <x v="159"/>
    <x v="82"/>
    <x v="82"/>
  </r>
  <r>
    <x v="2"/>
    <x v="677"/>
    <x v="677"/>
    <x v="676"/>
    <x v="0"/>
    <x v="227"/>
    <x v="239"/>
    <x v="0"/>
    <x v="234"/>
    <x v="0"/>
    <x v="236"/>
    <x v="196"/>
    <x v="241"/>
    <x v="8"/>
    <x v="9"/>
    <x v="83"/>
    <x v="83"/>
  </r>
  <r>
    <x v="2"/>
    <x v="678"/>
    <x v="678"/>
    <x v="677"/>
    <x v="0"/>
    <x v="228"/>
    <x v="240"/>
    <x v="26"/>
    <x v="139"/>
    <x v="28"/>
    <x v="182"/>
    <x v="197"/>
    <x v="242"/>
    <x v="8"/>
    <x v="8"/>
    <x v="0"/>
    <x v="0"/>
  </r>
  <r>
    <x v="2"/>
    <x v="679"/>
    <x v="679"/>
    <x v="678"/>
    <x v="1"/>
    <x v="8"/>
    <x v="8"/>
    <x v="0"/>
    <x v="8"/>
    <x v="0"/>
    <x v="8"/>
    <x v="8"/>
    <x v="8"/>
    <x v="4"/>
    <x v="4"/>
    <x v="0"/>
    <x v="0"/>
  </r>
  <r>
    <x v="2"/>
    <x v="680"/>
    <x v="680"/>
    <x v="679"/>
    <x v="1"/>
    <x v="8"/>
    <x v="8"/>
    <x v="0"/>
    <x v="8"/>
    <x v="0"/>
    <x v="8"/>
    <x v="8"/>
    <x v="8"/>
    <x v="4"/>
    <x v="4"/>
    <x v="0"/>
    <x v="0"/>
  </r>
  <r>
    <x v="2"/>
    <x v="681"/>
    <x v="681"/>
    <x v="680"/>
    <x v="1"/>
    <x v="8"/>
    <x v="8"/>
    <x v="0"/>
    <x v="8"/>
    <x v="0"/>
    <x v="8"/>
    <x v="8"/>
    <x v="8"/>
    <x v="4"/>
    <x v="4"/>
    <x v="0"/>
    <x v="0"/>
  </r>
  <r>
    <x v="0"/>
    <x v="682"/>
    <x v="682"/>
    <x v="681"/>
    <x v="0"/>
    <x v="229"/>
    <x v="241"/>
    <x v="0"/>
    <x v="235"/>
    <x v="0"/>
    <x v="237"/>
    <x v="198"/>
    <x v="243"/>
    <x v="19"/>
    <x v="20"/>
    <x v="0"/>
    <x v="0"/>
  </r>
  <r>
    <x v="2"/>
    <x v="683"/>
    <x v="683"/>
    <x v="682"/>
    <x v="0"/>
    <x v="230"/>
    <x v="242"/>
    <x v="0"/>
    <x v="236"/>
    <x v="0"/>
    <x v="238"/>
    <x v="199"/>
    <x v="244"/>
    <x v="32"/>
    <x v="33"/>
    <x v="0"/>
    <x v="0"/>
  </r>
  <r>
    <x v="0"/>
    <x v="684"/>
    <x v="684"/>
    <x v="683"/>
    <x v="1"/>
    <x v="8"/>
    <x v="8"/>
    <x v="0"/>
    <x v="8"/>
    <x v="0"/>
    <x v="8"/>
    <x v="8"/>
    <x v="8"/>
    <x v="4"/>
    <x v="4"/>
    <x v="0"/>
    <x v="0"/>
  </r>
  <r>
    <x v="2"/>
    <x v="685"/>
    <x v="685"/>
    <x v="684"/>
    <x v="1"/>
    <x v="8"/>
    <x v="8"/>
    <x v="0"/>
    <x v="8"/>
    <x v="0"/>
    <x v="8"/>
    <x v="8"/>
    <x v="8"/>
    <x v="4"/>
    <x v="4"/>
    <x v="0"/>
    <x v="0"/>
  </r>
  <r>
    <x v="0"/>
    <x v="686"/>
    <x v="686"/>
    <x v="685"/>
    <x v="1"/>
    <x v="8"/>
    <x v="8"/>
    <x v="0"/>
    <x v="8"/>
    <x v="0"/>
    <x v="8"/>
    <x v="8"/>
    <x v="8"/>
    <x v="4"/>
    <x v="4"/>
    <x v="0"/>
    <x v="0"/>
  </r>
  <r>
    <x v="1"/>
    <x v="687"/>
    <x v="687"/>
    <x v="686"/>
    <x v="1"/>
    <x v="8"/>
    <x v="8"/>
    <x v="0"/>
    <x v="8"/>
    <x v="0"/>
    <x v="8"/>
    <x v="8"/>
    <x v="8"/>
    <x v="4"/>
    <x v="4"/>
    <x v="0"/>
    <x v="0"/>
  </r>
  <r>
    <x v="1"/>
    <x v="688"/>
    <x v="688"/>
    <x v="687"/>
    <x v="1"/>
    <x v="8"/>
    <x v="8"/>
    <x v="0"/>
    <x v="8"/>
    <x v="0"/>
    <x v="8"/>
    <x v="8"/>
    <x v="8"/>
    <x v="4"/>
    <x v="4"/>
    <x v="0"/>
    <x v="0"/>
  </r>
  <r>
    <x v="0"/>
    <x v="689"/>
    <x v="689"/>
    <x v="688"/>
    <x v="0"/>
    <x v="231"/>
    <x v="243"/>
    <x v="0"/>
    <x v="237"/>
    <x v="0"/>
    <x v="239"/>
    <x v="200"/>
    <x v="245"/>
    <x v="155"/>
    <x v="160"/>
    <x v="0"/>
    <x v="0"/>
  </r>
  <r>
    <x v="2"/>
    <x v="690"/>
    <x v="690"/>
    <x v="689"/>
    <x v="1"/>
    <x v="8"/>
    <x v="8"/>
    <x v="0"/>
    <x v="8"/>
    <x v="0"/>
    <x v="8"/>
    <x v="8"/>
    <x v="8"/>
    <x v="4"/>
    <x v="4"/>
    <x v="0"/>
    <x v="0"/>
  </r>
  <r>
    <x v="0"/>
    <x v="691"/>
    <x v="691"/>
    <x v="690"/>
    <x v="0"/>
    <x v="232"/>
    <x v="244"/>
    <x v="27"/>
    <x v="238"/>
    <x v="29"/>
    <x v="240"/>
    <x v="201"/>
    <x v="246"/>
    <x v="1"/>
    <x v="1"/>
    <x v="0"/>
    <x v="0"/>
  </r>
  <r>
    <x v="2"/>
    <x v="692"/>
    <x v="692"/>
    <x v="691"/>
    <x v="0"/>
    <x v="233"/>
    <x v="245"/>
    <x v="0"/>
    <x v="239"/>
    <x v="0"/>
    <x v="241"/>
    <x v="130"/>
    <x v="247"/>
    <x v="105"/>
    <x v="107"/>
    <x v="0"/>
    <x v="0"/>
  </r>
  <r>
    <x v="1"/>
    <x v="693"/>
    <x v="693"/>
    <x v="692"/>
    <x v="1"/>
    <x v="8"/>
    <x v="8"/>
    <x v="0"/>
    <x v="8"/>
    <x v="0"/>
    <x v="8"/>
    <x v="8"/>
    <x v="8"/>
    <x v="4"/>
    <x v="4"/>
    <x v="0"/>
    <x v="0"/>
  </r>
  <r>
    <x v="2"/>
    <x v="694"/>
    <x v="694"/>
    <x v="693"/>
    <x v="1"/>
    <x v="8"/>
    <x v="8"/>
    <x v="0"/>
    <x v="8"/>
    <x v="0"/>
    <x v="8"/>
    <x v="8"/>
    <x v="8"/>
    <x v="4"/>
    <x v="4"/>
    <x v="0"/>
    <x v="0"/>
  </r>
  <r>
    <x v="0"/>
    <x v="695"/>
    <x v="695"/>
    <x v="694"/>
    <x v="1"/>
    <x v="8"/>
    <x v="8"/>
    <x v="0"/>
    <x v="8"/>
    <x v="0"/>
    <x v="8"/>
    <x v="8"/>
    <x v="8"/>
    <x v="4"/>
    <x v="4"/>
    <x v="0"/>
    <x v="0"/>
  </r>
  <r>
    <x v="2"/>
    <x v="696"/>
    <x v="696"/>
    <x v="695"/>
    <x v="0"/>
    <x v="234"/>
    <x v="246"/>
    <x v="0"/>
    <x v="240"/>
    <x v="0"/>
    <x v="242"/>
    <x v="92"/>
    <x v="248"/>
    <x v="156"/>
    <x v="161"/>
    <x v="0"/>
    <x v="0"/>
  </r>
  <r>
    <x v="2"/>
    <x v="697"/>
    <x v="697"/>
    <x v="696"/>
    <x v="1"/>
    <x v="8"/>
    <x v="8"/>
    <x v="0"/>
    <x v="8"/>
    <x v="0"/>
    <x v="8"/>
    <x v="8"/>
    <x v="8"/>
    <x v="4"/>
    <x v="4"/>
    <x v="0"/>
    <x v="0"/>
  </r>
  <r>
    <x v="1"/>
    <x v="698"/>
    <x v="698"/>
    <x v="697"/>
    <x v="1"/>
    <x v="8"/>
    <x v="8"/>
    <x v="0"/>
    <x v="8"/>
    <x v="0"/>
    <x v="8"/>
    <x v="8"/>
    <x v="8"/>
    <x v="4"/>
    <x v="4"/>
    <x v="0"/>
    <x v="0"/>
  </r>
  <r>
    <x v="2"/>
    <x v="699"/>
    <x v="699"/>
    <x v="698"/>
    <x v="1"/>
    <x v="8"/>
    <x v="8"/>
    <x v="0"/>
    <x v="8"/>
    <x v="0"/>
    <x v="8"/>
    <x v="8"/>
    <x v="8"/>
    <x v="4"/>
    <x v="4"/>
    <x v="0"/>
    <x v="0"/>
  </r>
  <r>
    <x v="0"/>
    <x v="700"/>
    <x v="700"/>
    <x v="699"/>
    <x v="1"/>
    <x v="8"/>
    <x v="8"/>
    <x v="0"/>
    <x v="8"/>
    <x v="0"/>
    <x v="8"/>
    <x v="8"/>
    <x v="8"/>
    <x v="4"/>
    <x v="4"/>
    <x v="0"/>
    <x v="0"/>
  </r>
  <r>
    <x v="2"/>
    <x v="701"/>
    <x v="701"/>
    <x v="700"/>
    <x v="1"/>
    <x v="8"/>
    <x v="8"/>
    <x v="0"/>
    <x v="8"/>
    <x v="0"/>
    <x v="8"/>
    <x v="8"/>
    <x v="8"/>
    <x v="4"/>
    <x v="4"/>
    <x v="0"/>
    <x v="0"/>
  </r>
  <r>
    <x v="0"/>
    <x v="702"/>
    <x v="702"/>
    <x v="701"/>
    <x v="1"/>
    <x v="8"/>
    <x v="8"/>
    <x v="0"/>
    <x v="8"/>
    <x v="0"/>
    <x v="8"/>
    <x v="8"/>
    <x v="8"/>
    <x v="4"/>
    <x v="4"/>
    <x v="0"/>
    <x v="0"/>
  </r>
  <r>
    <x v="0"/>
    <x v="703"/>
    <x v="703"/>
    <x v="702"/>
    <x v="0"/>
    <x v="235"/>
    <x v="247"/>
    <x v="28"/>
    <x v="83"/>
    <x v="30"/>
    <x v="243"/>
    <x v="202"/>
    <x v="249"/>
    <x v="27"/>
    <x v="28"/>
    <x v="0"/>
    <x v="0"/>
  </r>
  <r>
    <x v="0"/>
    <x v="704"/>
    <x v="704"/>
    <x v="703"/>
    <x v="1"/>
    <x v="8"/>
    <x v="8"/>
    <x v="0"/>
    <x v="8"/>
    <x v="0"/>
    <x v="8"/>
    <x v="8"/>
    <x v="8"/>
    <x v="4"/>
    <x v="4"/>
    <x v="0"/>
    <x v="0"/>
  </r>
  <r>
    <x v="1"/>
    <x v="705"/>
    <x v="705"/>
    <x v="704"/>
    <x v="0"/>
    <x v="236"/>
    <x v="248"/>
    <x v="0"/>
    <x v="241"/>
    <x v="0"/>
    <x v="244"/>
    <x v="203"/>
    <x v="250"/>
    <x v="157"/>
    <x v="162"/>
    <x v="84"/>
    <x v="84"/>
  </r>
  <r>
    <x v="0"/>
    <x v="706"/>
    <x v="706"/>
    <x v="705"/>
    <x v="1"/>
    <x v="8"/>
    <x v="8"/>
    <x v="0"/>
    <x v="8"/>
    <x v="0"/>
    <x v="8"/>
    <x v="8"/>
    <x v="8"/>
    <x v="4"/>
    <x v="4"/>
    <x v="0"/>
    <x v="0"/>
  </r>
  <r>
    <x v="2"/>
    <x v="707"/>
    <x v="707"/>
    <x v="706"/>
    <x v="0"/>
    <x v="237"/>
    <x v="249"/>
    <x v="0"/>
    <x v="242"/>
    <x v="0"/>
    <x v="245"/>
    <x v="204"/>
    <x v="251"/>
    <x v="158"/>
    <x v="163"/>
    <x v="35"/>
    <x v="35"/>
  </r>
  <r>
    <x v="0"/>
    <x v="708"/>
    <x v="708"/>
    <x v="707"/>
    <x v="1"/>
    <x v="8"/>
    <x v="8"/>
    <x v="0"/>
    <x v="8"/>
    <x v="0"/>
    <x v="8"/>
    <x v="8"/>
    <x v="8"/>
    <x v="4"/>
    <x v="4"/>
    <x v="0"/>
    <x v="0"/>
  </r>
  <r>
    <x v="2"/>
    <x v="709"/>
    <x v="709"/>
    <x v="708"/>
    <x v="0"/>
    <x v="238"/>
    <x v="250"/>
    <x v="0"/>
    <x v="243"/>
    <x v="0"/>
    <x v="246"/>
    <x v="205"/>
    <x v="252"/>
    <x v="159"/>
    <x v="164"/>
    <x v="85"/>
    <x v="85"/>
  </r>
  <r>
    <x v="0"/>
    <x v="710"/>
    <x v="710"/>
    <x v="709"/>
    <x v="1"/>
    <x v="8"/>
    <x v="8"/>
    <x v="0"/>
    <x v="8"/>
    <x v="0"/>
    <x v="8"/>
    <x v="8"/>
    <x v="8"/>
    <x v="4"/>
    <x v="4"/>
    <x v="0"/>
    <x v="0"/>
  </r>
  <r>
    <x v="0"/>
    <x v="711"/>
    <x v="711"/>
    <x v="710"/>
    <x v="0"/>
    <x v="239"/>
    <x v="251"/>
    <x v="0"/>
    <x v="244"/>
    <x v="0"/>
    <x v="247"/>
    <x v="206"/>
    <x v="253"/>
    <x v="15"/>
    <x v="16"/>
    <x v="0"/>
    <x v="0"/>
  </r>
  <r>
    <x v="2"/>
    <x v="712"/>
    <x v="712"/>
    <x v="711"/>
    <x v="0"/>
    <x v="85"/>
    <x v="87"/>
    <x v="0"/>
    <x v="85"/>
    <x v="0"/>
    <x v="248"/>
    <x v="207"/>
    <x v="254"/>
    <x v="14"/>
    <x v="15"/>
    <x v="0"/>
    <x v="0"/>
  </r>
  <r>
    <x v="0"/>
    <x v="713"/>
    <x v="713"/>
    <x v="712"/>
    <x v="1"/>
    <x v="8"/>
    <x v="8"/>
    <x v="0"/>
    <x v="8"/>
    <x v="0"/>
    <x v="8"/>
    <x v="8"/>
    <x v="8"/>
    <x v="4"/>
    <x v="4"/>
    <x v="0"/>
    <x v="0"/>
  </r>
  <r>
    <x v="1"/>
    <x v="714"/>
    <x v="714"/>
    <x v="713"/>
    <x v="0"/>
    <x v="240"/>
    <x v="252"/>
    <x v="0"/>
    <x v="245"/>
    <x v="0"/>
    <x v="249"/>
    <x v="208"/>
    <x v="255"/>
    <x v="160"/>
    <x v="165"/>
    <x v="86"/>
    <x v="86"/>
  </r>
  <r>
    <x v="2"/>
    <x v="715"/>
    <x v="715"/>
    <x v="714"/>
    <x v="1"/>
    <x v="8"/>
    <x v="8"/>
    <x v="0"/>
    <x v="8"/>
    <x v="0"/>
    <x v="8"/>
    <x v="8"/>
    <x v="8"/>
    <x v="4"/>
    <x v="4"/>
    <x v="0"/>
    <x v="0"/>
  </r>
  <r>
    <x v="1"/>
    <x v="716"/>
    <x v="716"/>
    <x v="715"/>
    <x v="1"/>
    <x v="8"/>
    <x v="8"/>
    <x v="0"/>
    <x v="8"/>
    <x v="0"/>
    <x v="8"/>
    <x v="8"/>
    <x v="8"/>
    <x v="4"/>
    <x v="4"/>
    <x v="0"/>
    <x v="0"/>
  </r>
  <r>
    <x v="2"/>
    <x v="717"/>
    <x v="717"/>
    <x v="716"/>
    <x v="0"/>
    <x v="241"/>
    <x v="253"/>
    <x v="0"/>
    <x v="246"/>
    <x v="0"/>
    <x v="250"/>
    <x v="209"/>
    <x v="256"/>
    <x v="68"/>
    <x v="70"/>
    <x v="0"/>
    <x v="0"/>
  </r>
  <r>
    <x v="2"/>
    <x v="718"/>
    <x v="718"/>
    <x v="717"/>
    <x v="0"/>
    <x v="242"/>
    <x v="254"/>
    <x v="0"/>
    <x v="247"/>
    <x v="0"/>
    <x v="251"/>
    <x v="210"/>
    <x v="257"/>
    <x v="161"/>
    <x v="166"/>
    <x v="0"/>
    <x v="0"/>
  </r>
  <r>
    <x v="2"/>
    <x v="719"/>
    <x v="719"/>
    <x v="718"/>
    <x v="1"/>
    <x v="8"/>
    <x v="8"/>
    <x v="0"/>
    <x v="8"/>
    <x v="0"/>
    <x v="8"/>
    <x v="8"/>
    <x v="8"/>
    <x v="4"/>
    <x v="4"/>
    <x v="0"/>
    <x v="0"/>
  </r>
  <r>
    <x v="0"/>
    <x v="720"/>
    <x v="720"/>
    <x v="719"/>
    <x v="1"/>
    <x v="8"/>
    <x v="8"/>
    <x v="0"/>
    <x v="8"/>
    <x v="0"/>
    <x v="8"/>
    <x v="8"/>
    <x v="8"/>
    <x v="4"/>
    <x v="4"/>
    <x v="0"/>
    <x v="0"/>
  </r>
  <r>
    <x v="2"/>
    <x v="721"/>
    <x v="721"/>
    <x v="720"/>
    <x v="0"/>
    <x v="243"/>
    <x v="255"/>
    <x v="0"/>
    <x v="248"/>
    <x v="0"/>
    <x v="252"/>
    <x v="3"/>
    <x v="258"/>
    <x v="3"/>
    <x v="3"/>
    <x v="0"/>
    <x v="0"/>
  </r>
  <r>
    <x v="1"/>
    <x v="722"/>
    <x v="722"/>
    <x v="721"/>
    <x v="1"/>
    <x v="8"/>
    <x v="8"/>
    <x v="0"/>
    <x v="8"/>
    <x v="0"/>
    <x v="8"/>
    <x v="8"/>
    <x v="8"/>
    <x v="4"/>
    <x v="4"/>
    <x v="0"/>
    <x v="0"/>
  </r>
  <r>
    <x v="2"/>
    <x v="723"/>
    <x v="723"/>
    <x v="722"/>
    <x v="1"/>
    <x v="8"/>
    <x v="8"/>
    <x v="0"/>
    <x v="8"/>
    <x v="0"/>
    <x v="8"/>
    <x v="8"/>
    <x v="8"/>
    <x v="4"/>
    <x v="4"/>
    <x v="0"/>
    <x v="0"/>
  </r>
  <r>
    <x v="2"/>
    <x v="724"/>
    <x v="724"/>
    <x v="723"/>
    <x v="1"/>
    <x v="8"/>
    <x v="8"/>
    <x v="0"/>
    <x v="8"/>
    <x v="0"/>
    <x v="8"/>
    <x v="8"/>
    <x v="8"/>
    <x v="4"/>
    <x v="4"/>
    <x v="0"/>
    <x v="0"/>
  </r>
  <r>
    <x v="0"/>
    <x v="725"/>
    <x v="725"/>
    <x v="724"/>
    <x v="1"/>
    <x v="8"/>
    <x v="8"/>
    <x v="0"/>
    <x v="8"/>
    <x v="0"/>
    <x v="8"/>
    <x v="8"/>
    <x v="8"/>
    <x v="4"/>
    <x v="4"/>
    <x v="0"/>
    <x v="0"/>
  </r>
  <r>
    <x v="0"/>
    <x v="726"/>
    <x v="726"/>
    <x v="725"/>
    <x v="1"/>
    <x v="8"/>
    <x v="8"/>
    <x v="0"/>
    <x v="8"/>
    <x v="0"/>
    <x v="8"/>
    <x v="8"/>
    <x v="8"/>
    <x v="4"/>
    <x v="4"/>
    <x v="0"/>
    <x v="0"/>
  </r>
  <r>
    <x v="0"/>
    <x v="727"/>
    <x v="727"/>
    <x v="726"/>
    <x v="1"/>
    <x v="8"/>
    <x v="8"/>
    <x v="0"/>
    <x v="8"/>
    <x v="0"/>
    <x v="8"/>
    <x v="8"/>
    <x v="8"/>
    <x v="4"/>
    <x v="4"/>
    <x v="0"/>
    <x v="0"/>
  </r>
  <r>
    <x v="2"/>
    <x v="728"/>
    <x v="728"/>
    <x v="727"/>
    <x v="0"/>
    <x v="84"/>
    <x v="256"/>
    <x v="0"/>
    <x v="249"/>
    <x v="0"/>
    <x v="253"/>
    <x v="42"/>
    <x v="259"/>
    <x v="4"/>
    <x v="4"/>
    <x v="0"/>
    <x v="0"/>
  </r>
  <r>
    <x v="0"/>
    <x v="729"/>
    <x v="729"/>
    <x v="728"/>
    <x v="1"/>
    <x v="8"/>
    <x v="8"/>
    <x v="0"/>
    <x v="8"/>
    <x v="0"/>
    <x v="8"/>
    <x v="8"/>
    <x v="8"/>
    <x v="4"/>
    <x v="4"/>
    <x v="0"/>
    <x v="0"/>
  </r>
  <r>
    <x v="0"/>
    <x v="730"/>
    <x v="730"/>
    <x v="729"/>
    <x v="1"/>
    <x v="8"/>
    <x v="8"/>
    <x v="0"/>
    <x v="8"/>
    <x v="0"/>
    <x v="8"/>
    <x v="8"/>
    <x v="8"/>
    <x v="4"/>
    <x v="4"/>
    <x v="0"/>
    <x v="0"/>
  </r>
  <r>
    <x v="2"/>
    <x v="731"/>
    <x v="731"/>
    <x v="730"/>
    <x v="0"/>
    <x v="244"/>
    <x v="257"/>
    <x v="0"/>
    <x v="250"/>
    <x v="0"/>
    <x v="254"/>
    <x v="211"/>
    <x v="260"/>
    <x v="162"/>
    <x v="167"/>
    <x v="87"/>
    <x v="87"/>
  </r>
  <r>
    <x v="2"/>
    <x v="732"/>
    <x v="732"/>
    <x v="731"/>
    <x v="0"/>
    <x v="245"/>
    <x v="258"/>
    <x v="0"/>
    <x v="251"/>
    <x v="0"/>
    <x v="255"/>
    <x v="212"/>
    <x v="261"/>
    <x v="163"/>
    <x v="168"/>
    <x v="0"/>
    <x v="0"/>
  </r>
  <r>
    <x v="2"/>
    <x v="733"/>
    <x v="733"/>
    <x v="732"/>
    <x v="1"/>
    <x v="8"/>
    <x v="8"/>
    <x v="0"/>
    <x v="8"/>
    <x v="0"/>
    <x v="8"/>
    <x v="8"/>
    <x v="8"/>
    <x v="4"/>
    <x v="4"/>
    <x v="0"/>
    <x v="0"/>
  </r>
  <r>
    <x v="2"/>
    <x v="734"/>
    <x v="734"/>
    <x v="733"/>
    <x v="1"/>
    <x v="8"/>
    <x v="8"/>
    <x v="0"/>
    <x v="8"/>
    <x v="0"/>
    <x v="8"/>
    <x v="8"/>
    <x v="8"/>
    <x v="4"/>
    <x v="4"/>
    <x v="0"/>
    <x v="0"/>
  </r>
  <r>
    <x v="2"/>
    <x v="735"/>
    <x v="735"/>
    <x v="734"/>
    <x v="0"/>
    <x v="246"/>
    <x v="259"/>
    <x v="0"/>
    <x v="252"/>
    <x v="0"/>
    <x v="256"/>
    <x v="213"/>
    <x v="262"/>
    <x v="164"/>
    <x v="169"/>
    <x v="88"/>
    <x v="88"/>
  </r>
  <r>
    <x v="0"/>
    <x v="736"/>
    <x v="736"/>
    <x v="735"/>
    <x v="1"/>
    <x v="8"/>
    <x v="8"/>
    <x v="0"/>
    <x v="8"/>
    <x v="0"/>
    <x v="8"/>
    <x v="8"/>
    <x v="8"/>
    <x v="4"/>
    <x v="4"/>
    <x v="0"/>
    <x v="0"/>
  </r>
  <r>
    <x v="2"/>
    <x v="737"/>
    <x v="737"/>
    <x v="736"/>
    <x v="0"/>
    <x v="247"/>
    <x v="260"/>
    <x v="0"/>
    <x v="253"/>
    <x v="0"/>
    <x v="257"/>
    <x v="214"/>
    <x v="263"/>
    <x v="32"/>
    <x v="33"/>
    <x v="0"/>
    <x v="0"/>
  </r>
  <r>
    <x v="1"/>
    <x v="738"/>
    <x v="738"/>
    <x v="737"/>
    <x v="1"/>
    <x v="8"/>
    <x v="8"/>
    <x v="0"/>
    <x v="8"/>
    <x v="0"/>
    <x v="8"/>
    <x v="8"/>
    <x v="8"/>
    <x v="4"/>
    <x v="4"/>
    <x v="0"/>
    <x v="0"/>
  </r>
  <r>
    <x v="0"/>
    <x v="739"/>
    <x v="739"/>
    <x v="738"/>
    <x v="1"/>
    <x v="8"/>
    <x v="8"/>
    <x v="0"/>
    <x v="8"/>
    <x v="0"/>
    <x v="8"/>
    <x v="8"/>
    <x v="8"/>
    <x v="4"/>
    <x v="4"/>
    <x v="0"/>
    <x v="0"/>
  </r>
  <r>
    <x v="0"/>
    <x v="740"/>
    <x v="740"/>
    <x v="739"/>
    <x v="1"/>
    <x v="8"/>
    <x v="8"/>
    <x v="0"/>
    <x v="8"/>
    <x v="0"/>
    <x v="8"/>
    <x v="8"/>
    <x v="8"/>
    <x v="4"/>
    <x v="4"/>
    <x v="0"/>
    <x v="0"/>
  </r>
  <r>
    <x v="2"/>
    <x v="741"/>
    <x v="741"/>
    <x v="740"/>
    <x v="0"/>
    <x v="248"/>
    <x v="261"/>
    <x v="0"/>
    <x v="254"/>
    <x v="0"/>
    <x v="258"/>
    <x v="215"/>
    <x v="264"/>
    <x v="165"/>
    <x v="170"/>
    <x v="89"/>
    <x v="89"/>
  </r>
  <r>
    <x v="1"/>
    <x v="742"/>
    <x v="742"/>
    <x v="741"/>
    <x v="1"/>
    <x v="8"/>
    <x v="8"/>
    <x v="0"/>
    <x v="8"/>
    <x v="0"/>
    <x v="8"/>
    <x v="8"/>
    <x v="8"/>
    <x v="4"/>
    <x v="4"/>
    <x v="0"/>
    <x v="0"/>
  </r>
  <r>
    <x v="0"/>
    <x v="743"/>
    <x v="743"/>
    <x v="742"/>
    <x v="1"/>
    <x v="8"/>
    <x v="8"/>
    <x v="0"/>
    <x v="8"/>
    <x v="0"/>
    <x v="8"/>
    <x v="8"/>
    <x v="8"/>
    <x v="4"/>
    <x v="4"/>
    <x v="0"/>
    <x v="0"/>
  </r>
  <r>
    <x v="0"/>
    <x v="744"/>
    <x v="744"/>
    <x v="743"/>
    <x v="1"/>
    <x v="8"/>
    <x v="8"/>
    <x v="0"/>
    <x v="8"/>
    <x v="0"/>
    <x v="8"/>
    <x v="8"/>
    <x v="8"/>
    <x v="4"/>
    <x v="4"/>
    <x v="0"/>
    <x v="0"/>
  </r>
  <r>
    <x v="0"/>
    <x v="745"/>
    <x v="745"/>
    <x v="744"/>
    <x v="1"/>
    <x v="8"/>
    <x v="8"/>
    <x v="0"/>
    <x v="8"/>
    <x v="0"/>
    <x v="8"/>
    <x v="8"/>
    <x v="8"/>
    <x v="4"/>
    <x v="4"/>
    <x v="0"/>
    <x v="0"/>
  </r>
  <r>
    <x v="2"/>
    <x v="746"/>
    <x v="746"/>
    <x v="745"/>
    <x v="1"/>
    <x v="8"/>
    <x v="8"/>
    <x v="0"/>
    <x v="8"/>
    <x v="0"/>
    <x v="8"/>
    <x v="8"/>
    <x v="8"/>
    <x v="4"/>
    <x v="4"/>
    <x v="0"/>
    <x v="0"/>
  </r>
  <r>
    <x v="0"/>
    <x v="747"/>
    <x v="747"/>
    <x v="746"/>
    <x v="1"/>
    <x v="8"/>
    <x v="8"/>
    <x v="0"/>
    <x v="8"/>
    <x v="0"/>
    <x v="8"/>
    <x v="8"/>
    <x v="8"/>
    <x v="4"/>
    <x v="4"/>
    <x v="0"/>
    <x v="0"/>
  </r>
  <r>
    <x v="2"/>
    <x v="748"/>
    <x v="748"/>
    <x v="747"/>
    <x v="0"/>
    <x v="249"/>
    <x v="262"/>
    <x v="0"/>
    <x v="255"/>
    <x v="0"/>
    <x v="259"/>
    <x v="216"/>
    <x v="265"/>
    <x v="166"/>
    <x v="171"/>
    <x v="33"/>
    <x v="33"/>
  </r>
  <r>
    <x v="2"/>
    <x v="749"/>
    <x v="749"/>
    <x v="748"/>
    <x v="0"/>
    <x v="53"/>
    <x v="263"/>
    <x v="29"/>
    <x v="8"/>
    <x v="31"/>
    <x v="8"/>
    <x v="50"/>
    <x v="266"/>
    <x v="167"/>
    <x v="172"/>
    <x v="0"/>
    <x v="0"/>
  </r>
  <r>
    <x v="2"/>
    <x v="750"/>
    <x v="750"/>
    <x v="749"/>
    <x v="0"/>
    <x v="250"/>
    <x v="264"/>
    <x v="0"/>
    <x v="256"/>
    <x v="0"/>
    <x v="260"/>
    <x v="217"/>
    <x v="267"/>
    <x v="168"/>
    <x v="173"/>
    <x v="74"/>
    <x v="90"/>
  </r>
  <r>
    <x v="0"/>
    <x v="751"/>
    <x v="751"/>
    <x v="750"/>
    <x v="1"/>
    <x v="8"/>
    <x v="8"/>
    <x v="0"/>
    <x v="8"/>
    <x v="0"/>
    <x v="8"/>
    <x v="8"/>
    <x v="8"/>
    <x v="4"/>
    <x v="4"/>
    <x v="0"/>
    <x v="0"/>
  </r>
  <r>
    <x v="2"/>
    <x v="752"/>
    <x v="752"/>
    <x v="751"/>
    <x v="0"/>
    <x v="146"/>
    <x v="265"/>
    <x v="30"/>
    <x v="8"/>
    <x v="32"/>
    <x v="8"/>
    <x v="132"/>
    <x v="268"/>
    <x v="4"/>
    <x v="4"/>
    <x v="0"/>
    <x v="0"/>
  </r>
  <r>
    <x v="0"/>
    <x v="753"/>
    <x v="753"/>
    <x v="752"/>
    <x v="0"/>
    <x v="251"/>
    <x v="266"/>
    <x v="0"/>
    <x v="257"/>
    <x v="0"/>
    <x v="261"/>
    <x v="218"/>
    <x v="269"/>
    <x v="1"/>
    <x v="1"/>
    <x v="0"/>
    <x v="0"/>
  </r>
  <r>
    <x v="2"/>
    <x v="754"/>
    <x v="754"/>
    <x v="753"/>
    <x v="1"/>
    <x v="8"/>
    <x v="8"/>
    <x v="0"/>
    <x v="8"/>
    <x v="0"/>
    <x v="8"/>
    <x v="8"/>
    <x v="8"/>
    <x v="4"/>
    <x v="4"/>
    <x v="0"/>
    <x v="0"/>
  </r>
  <r>
    <x v="2"/>
    <x v="755"/>
    <x v="755"/>
    <x v="754"/>
    <x v="1"/>
    <x v="8"/>
    <x v="8"/>
    <x v="0"/>
    <x v="8"/>
    <x v="0"/>
    <x v="8"/>
    <x v="8"/>
    <x v="8"/>
    <x v="4"/>
    <x v="4"/>
    <x v="0"/>
    <x v="0"/>
  </r>
  <r>
    <x v="2"/>
    <x v="756"/>
    <x v="756"/>
    <x v="755"/>
    <x v="1"/>
    <x v="8"/>
    <x v="8"/>
    <x v="0"/>
    <x v="8"/>
    <x v="0"/>
    <x v="8"/>
    <x v="8"/>
    <x v="8"/>
    <x v="4"/>
    <x v="4"/>
    <x v="0"/>
    <x v="0"/>
  </r>
  <r>
    <x v="1"/>
    <x v="757"/>
    <x v="757"/>
    <x v="756"/>
    <x v="0"/>
    <x v="252"/>
    <x v="267"/>
    <x v="0"/>
    <x v="258"/>
    <x v="0"/>
    <x v="262"/>
    <x v="213"/>
    <x v="270"/>
    <x v="70"/>
    <x v="72"/>
    <x v="0"/>
    <x v="0"/>
  </r>
  <r>
    <x v="2"/>
    <x v="758"/>
    <x v="758"/>
    <x v="757"/>
    <x v="1"/>
    <x v="8"/>
    <x v="8"/>
    <x v="0"/>
    <x v="8"/>
    <x v="0"/>
    <x v="8"/>
    <x v="8"/>
    <x v="8"/>
    <x v="4"/>
    <x v="4"/>
    <x v="0"/>
    <x v="0"/>
  </r>
  <r>
    <x v="2"/>
    <x v="759"/>
    <x v="759"/>
    <x v="758"/>
    <x v="1"/>
    <x v="8"/>
    <x v="8"/>
    <x v="0"/>
    <x v="8"/>
    <x v="0"/>
    <x v="8"/>
    <x v="8"/>
    <x v="8"/>
    <x v="4"/>
    <x v="4"/>
    <x v="0"/>
    <x v="0"/>
  </r>
  <r>
    <x v="0"/>
    <x v="760"/>
    <x v="760"/>
    <x v="759"/>
    <x v="0"/>
    <x v="253"/>
    <x v="268"/>
    <x v="0"/>
    <x v="259"/>
    <x v="0"/>
    <x v="263"/>
    <x v="50"/>
    <x v="54"/>
    <x v="0"/>
    <x v="0"/>
    <x v="0"/>
    <x v="0"/>
  </r>
  <r>
    <x v="0"/>
    <x v="761"/>
    <x v="761"/>
    <x v="760"/>
    <x v="1"/>
    <x v="8"/>
    <x v="8"/>
    <x v="0"/>
    <x v="8"/>
    <x v="0"/>
    <x v="8"/>
    <x v="8"/>
    <x v="8"/>
    <x v="4"/>
    <x v="4"/>
    <x v="0"/>
    <x v="0"/>
  </r>
  <r>
    <x v="2"/>
    <x v="762"/>
    <x v="762"/>
    <x v="761"/>
    <x v="0"/>
    <x v="254"/>
    <x v="269"/>
    <x v="0"/>
    <x v="260"/>
    <x v="0"/>
    <x v="264"/>
    <x v="219"/>
    <x v="271"/>
    <x v="169"/>
    <x v="174"/>
    <x v="90"/>
    <x v="91"/>
  </r>
  <r>
    <x v="2"/>
    <x v="763"/>
    <x v="763"/>
    <x v="762"/>
    <x v="1"/>
    <x v="8"/>
    <x v="8"/>
    <x v="0"/>
    <x v="8"/>
    <x v="0"/>
    <x v="8"/>
    <x v="8"/>
    <x v="8"/>
    <x v="4"/>
    <x v="4"/>
    <x v="0"/>
    <x v="0"/>
  </r>
  <r>
    <x v="2"/>
    <x v="764"/>
    <x v="764"/>
    <x v="763"/>
    <x v="0"/>
    <x v="255"/>
    <x v="270"/>
    <x v="0"/>
    <x v="261"/>
    <x v="0"/>
    <x v="265"/>
    <x v="220"/>
    <x v="272"/>
    <x v="170"/>
    <x v="175"/>
    <x v="0"/>
    <x v="0"/>
  </r>
  <r>
    <x v="2"/>
    <x v="765"/>
    <x v="765"/>
    <x v="764"/>
    <x v="0"/>
    <x v="256"/>
    <x v="271"/>
    <x v="0"/>
    <x v="262"/>
    <x v="0"/>
    <x v="266"/>
    <x v="221"/>
    <x v="273"/>
    <x v="171"/>
    <x v="176"/>
    <x v="0"/>
    <x v="0"/>
  </r>
  <r>
    <x v="2"/>
    <x v="766"/>
    <x v="766"/>
    <x v="765"/>
    <x v="1"/>
    <x v="8"/>
    <x v="8"/>
    <x v="0"/>
    <x v="8"/>
    <x v="0"/>
    <x v="8"/>
    <x v="8"/>
    <x v="8"/>
    <x v="4"/>
    <x v="4"/>
    <x v="0"/>
    <x v="0"/>
  </r>
  <r>
    <x v="2"/>
    <x v="767"/>
    <x v="767"/>
    <x v="766"/>
    <x v="1"/>
    <x v="8"/>
    <x v="8"/>
    <x v="0"/>
    <x v="8"/>
    <x v="0"/>
    <x v="8"/>
    <x v="8"/>
    <x v="8"/>
    <x v="4"/>
    <x v="4"/>
    <x v="0"/>
    <x v="0"/>
  </r>
  <r>
    <x v="1"/>
    <x v="768"/>
    <x v="768"/>
    <x v="767"/>
    <x v="1"/>
    <x v="8"/>
    <x v="8"/>
    <x v="0"/>
    <x v="8"/>
    <x v="0"/>
    <x v="8"/>
    <x v="8"/>
    <x v="8"/>
    <x v="4"/>
    <x v="4"/>
    <x v="0"/>
    <x v="0"/>
  </r>
  <r>
    <x v="0"/>
    <x v="769"/>
    <x v="769"/>
    <x v="768"/>
    <x v="1"/>
    <x v="8"/>
    <x v="8"/>
    <x v="0"/>
    <x v="8"/>
    <x v="0"/>
    <x v="8"/>
    <x v="8"/>
    <x v="8"/>
    <x v="4"/>
    <x v="4"/>
    <x v="0"/>
    <x v="0"/>
  </r>
  <r>
    <x v="2"/>
    <x v="770"/>
    <x v="770"/>
    <x v="769"/>
    <x v="1"/>
    <x v="8"/>
    <x v="8"/>
    <x v="0"/>
    <x v="8"/>
    <x v="0"/>
    <x v="8"/>
    <x v="8"/>
    <x v="8"/>
    <x v="4"/>
    <x v="4"/>
    <x v="0"/>
    <x v="0"/>
  </r>
  <r>
    <x v="2"/>
    <x v="771"/>
    <x v="771"/>
    <x v="770"/>
    <x v="0"/>
    <x v="257"/>
    <x v="272"/>
    <x v="0"/>
    <x v="263"/>
    <x v="0"/>
    <x v="267"/>
    <x v="141"/>
    <x v="274"/>
    <x v="53"/>
    <x v="55"/>
    <x v="60"/>
    <x v="60"/>
  </r>
  <r>
    <x v="0"/>
    <x v="772"/>
    <x v="772"/>
    <x v="771"/>
    <x v="1"/>
    <x v="8"/>
    <x v="8"/>
    <x v="0"/>
    <x v="8"/>
    <x v="0"/>
    <x v="8"/>
    <x v="8"/>
    <x v="8"/>
    <x v="4"/>
    <x v="4"/>
    <x v="0"/>
    <x v="0"/>
  </r>
  <r>
    <x v="2"/>
    <x v="773"/>
    <x v="773"/>
    <x v="772"/>
    <x v="1"/>
    <x v="8"/>
    <x v="8"/>
    <x v="0"/>
    <x v="8"/>
    <x v="0"/>
    <x v="8"/>
    <x v="8"/>
    <x v="8"/>
    <x v="4"/>
    <x v="4"/>
    <x v="0"/>
    <x v="0"/>
  </r>
  <r>
    <x v="2"/>
    <x v="774"/>
    <x v="774"/>
    <x v="773"/>
    <x v="1"/>
    <x v="8"/>
    <x v="8"/>
    <x v="0"/>
    <x v="8"/>
    <x v="0"/>
    <x v="8"/>
    <x v="8"/>
    <x v="8"/>
    <x v="4"/>
    <x v="4"/>
    <x v="0"/>
    <x v="0"/>
  </r>
  <r>
    <x v="2"/>
    <x v="775"/>
    <x v="775"/>
    <x v="774"/>
    <x v="1"/>
    <x v="8"/>
    <x v="8"/>
    <x v="0"/>
    <x v="8"/>
    <x v="0"/>
    <x v="8"/>
    <x v="8"/>
    <x v="8"/>
    <x v="4"/>
    <x v="4"/>
    <x v="0"/>
    <x v="0"/>
  </r>
  <r>
    <x v="2"/>
    <x v="776"/>
    <x v="776"/>
    <x v="775"/>
    <x v="1"/>
    <x v="8"/>
    <x v="8"/>
    <x v="0"/>
    <x v="8"/>
    <x v="0"/>
    <x v="8"/>
    <x v="8"/>
    <x v="8"/>
    <x v="4"/>
    <x v="4"/>
    <x v="0"/>
    <x v="0"/>
  </r>
  <r>
    <x v="2"/>
    <x v="777"/>
    <x v="777"/>
    <x v="776"/>
    <x v="1"/>
    <x v="8"/>
    <x v="8"/>
    <x v="0"/>
    <x v="8"/>
    <x v="0"/>
    <x v="8"/>
    <x v="8"/>
    <x v="8"/>
    <x v="4"/>
    <x v="4"/>
    <x v="0"/>
    <x v="0"/>
  </r>
  <r>
    <x v="2"/>
    <x v="778"/>
    <x v="778"/>
    <x v="777"/>
    <x v="0"/>
    <x v="258"/>
    <x v="273"/>
    <x v="0"/>
    <x v="264"/>
    <x v="0"/>
    <x v="268"/>
    <x v="222"/>
    <x v="275"/>
    <x v="172"/>
    <x v="177"/>
    <x v="91"/>
    <x v="92"/>
  </r>
  <r>
    <x v="2"/>
    <x v="779"/>
    <x v="779"/>
    <x v="778"/>
    <x v="0"/>
    <x v="259"/>
    <x v="274"/>
    <x v="0"/>
    <x v="265"/>
    <x v="0"/>
    <x v="269"/>
    <x v="223"/>
    <x v="276"/>
    <x v="173"/>
    <x v="178"/>
    <x v="0"/>
    <x v="0"/>
  </r>
  <r>
    <x v="2"/>
    <x v="780"/>
    <x v="780"/>
    <x v="779"/>
    <x v="1"/>
    <x v="8"/>
    <x v="8"/>
    <x v="0"/>
    <x v="8"/>
    <x v="0"/>
    <x v="8"/>
    <x v="8"/>
    <x v="8"/>
    <x v="4"/>
    <x v="4"/>
    <x v="0"/>
    <x v="0"/>
  </r>
  <r>
    <x v="2"/>
    <x v="781"/>
    <x v="781"/>
    <x v="780"/>
    <x v="1"/>
    <x v="8"/>
    <x v="8"/>
    <x v="0"/>
    <x v="8"/>
    <x v="0"/>
    <x v="8"/>
    <x v="8"/>
    <x v="8"/>
    <x v="4"/>
    <x v="4"/>
    <x v="0"/>
    <x v="0"/>
  </r>
  <r>
    <x v="0"/>
    <x v="782"/>
    <x v="782"/>
    <x v="781"/>
    <x v="1"/>
    <x v="8"/>
    <x v="8"/>
    <x v="0"/>
    <x v="8"/>
    <x v="0"/>
    <x v="8"/>
    <x v="8"/>
    <x v="8"/>
    <x v="4"/>
    <x v="4"/>
    <x v="0"/>
    <x v="0"/>
  </r>
  <r>
    <x v="0"/>
    <x v="783"/>
    <x v="783"/>
    <x v="782"/>
    <x v="0"/>
    <x v="260"/>
    <x v="275"/>
    <x v="0"/>
    <x v="266"/>
    <x v="0"/>
    <x v="270"/>
    <x v="224"/>
    <x v="277"/>
    <x v="174"/>
    <x v="179"/>
    <x v="0"/>
    <x v="0"/>
  </r>
  <r>
    <x v="0"/>
    <x v="784"/>
    <x v="784"/>
    <x v="783"/>
    <x v="1"/>
    <x v="8"/>
    <x v="8"/>
    <x v="0"/>
    <x v="8"/>
    <x v="0"/>
    <x v="8"/>
    <x v="8"/>
    <x v="8"/>
    <x v="4"/>
    <x v="4"/>
    <x v="0"/>
    <x v="0"/>
  </r>
  <r>
    <x v="2"/>
    <x v="785"/>
    <x v="785"/>
    <x v="784"/>
    <x v="1"/>
    <x v="8"/>
    <x v="8"/>
    <x v="0"/>
    <x v="8"/>
    <x v="0"/>
    <x v="8"/>
    <x v="8"/>
    <x v="8"/>
    <x v="4"/>
    <x v="4"/>
    <x v="0"/>
    <x v="0"/>
  </r>
  <r>
    <x v="2"/>
    <x v="786"/>
    <x v="786"/>
    <x v="785"/>
    <x v="0"/>
    <x v="261"/>
    <x v="276"/>
    <x v="0"/>
    <x v="267"/>
    <x v="0"/>
    <x v="271"/>
    <x v="225"/>
    <x v="278"/>
    <x v="175"/>
    <x v="180"/>
    <x v="92"/>
    <x v="93"/>
  </r>
  <r>
    <x v="0"/>
    <x v="787"/>
    <x v="787"/>
    <x v="786"/>
    <x v="1"/>
    <x v="8"/>
    <x v="8"/>
    <x v="0"/>
    <x v="8"/>
    <x v="0"/>
    <x v="8"/>
    <x v="8"/>
    <x v="8"/>
    <x v="4"/>
    <x v="4"/>
    <x v="0"/>
    <x v="0"/>
  </r>
  <r>
    <x v="0"/>
    <x v="788"/>
    <x v="788"/>
    <x v="787"/>
    <x v="0"/>
    <x v="262"/>
    <x v="277"/>
    <x v="0"/>
    <x v="268"/>
    <x v="0"/>
    <x v="272"/>
    <x v="226"/>
    <x v="279"/>
    <x v="176"/>
    <x v="181"/>
    <x v="0"/>
    <x v="0"/>
  </r>
  <r>
    <x v="1"/>
    <x v="789"/>
    <x v="789"/>
    <x v="788"/>
    <x v="1"/>
    <x v="8"/>
    <x v="8"/>
    <x v="0"/>
    <x v="8"/>
    <x v="0"/>
    <x v="8"/>
    <x v="8"/>
    <x v="8"/>
    <x v="4"/>
    <x v="4"/>
    <x v="0"/>
    <x v="0"/>
  </r>
  <r>
    <x v="2"/>
    <x v="790"/>
    <x v="790"/>
    <x v="789"/>
    <x v="1"/>
    <x v="8"/>
    <x v="8"/>
    <x v="0"/>
    <x v="8"/>
    <x v="0"/>
    <x v="8"/>
    <x v="8"/>
    <x v="8"/>
    <x v="4"/>
    <x v="4"/>
    <x v="0"/>
    <x v="0"/>
  </r>
  <r>
    <x v="1"/>
    <x v="791"/>
    <x v="791"/>
    <x v="790"/>
    <x v="1"/>
    <x v="8"/>
    <x v="8"/>
    <x v="0"/>
    <x v="8"/>
    <x v="0"/>
    <x v="8"/>
    <x v="8"/>
    <x v="8"/>
    <x v="4"/>
    <x v="4"/>
    <x v="0"/>
    <x v="0"/>
  </r>
  <r>
    <x v="0"/>
    <x v="792"/>
    <x v="792"/>
    <x v="791"/>
    <x v="0"/>
    <x v="162"/>
    <x v="170"/>
    <x v="0"/>
    <x v="169"/>
    <x v="0"/>
    <x v="21"/>
    <x v="20"/>
    <x v="22"/>
    <x v="6"/>
    <x v="6"/>
    <x v="0"/>
    <x v="0"/>
  </r>
  <r>
    <x v="1"/>
    <x v="793"/>
    <x v="793"/>
    <x v="792"/>
    <x v="1"/>
    <x v="8"/>
    <x v="8"/>
    <x v="0"/>
    <x v="8"/>
    <x v="0"/>
    <x v="8"/>
    <x v="8"/>
    <x v="8"/>
    <x v="4"/>
    <x v="4"/>
    <x v="0"/>
    <x v="0"/>
  </r>
  <r>
    <x v="2"/>
    <x v="794"/>
    <x v="794"/>
    <x v="793"/>
    <x v="1"/>
    <x v="8"/>
    <x v="8"/>
    <x v="0"/>
    <x v="8"/>
    <x v="0"/>
    <x v="8"/>
    <x v="8"/>
    <x v="8"/>
    <x v="4"/>
    <x v="4"/>
    <x v="0"/>
    <x v="0"/>
  </r>
  <r>
    <x v="2"/>
    <x v="795"/>
    <x v="795"/>
    <x v="794"/>
    <x v="0"/>
    <x v="263"/>
    <x v="278"/>
    <x v="0"/>
    <x v="269"/>
    <x v="0"/>
    <x v="273"/>
    <x v="227"/>
    <x v="280"/>
    <x v="123"/>
    <x v="127"/>
    <x v="0"/>
    <x v="0"/>
  </r>
  <r>
    <x v="1"/>
    <x v="796"/>
    <x v="796"/>
    <x v="795"/>
    <x v="0"/>
    <x v="264"/>
    <x v="279"/>
    <x v="0"/>
    <x v="270"/>
    <x v="0"/>
    <x v="274"/>
    <x v="228"/>
    <x v="281"/>
    <x v="170"/>
    <x v="175"/>
    <x v="0"/>
    <x v="0"/>
  </r>
  <r>
    <x v="0"/>
    <x v="797"/>
    <x v="797"/>
    <x v="796"/>
    <x v="1"/>
    <x v="8"/>
    <x v="8"/>
    <x v="0"/>
    <x v="8"/>
    <x v="0"/>
    <x v="8"/>
    <x v="8"/>
    <x v="8"/>
    <x v="4"/>
    <x v="4"/>
    <x v="0"/>
    <x v="0"/>
  </r>
  <r>
    <x v="2"/>
    <x v="798"/>
    <x v="798"/>
    <x v="797"/>
    <x v="1"/>
    <x v="8"/>
    <x v="8"/>
    <x v="0"/>
    <x v="8"/>
    <x v="0"/>
    <x v="8"/>
    <x v="8"/>
    <x v="8"/>
    <x v="4"/>
    <x v="4"/>
    <x v="0"/>
    <x v="0"/>
  </r>
  <r>
    <x v="2"/>
    <x v="799"/>
    <x v="799"/>
    <x v="798"/>
    <x v="0"/>
    <x v="265"/>
    <x v="280"/>
    <x v="0"/>
    <x v="271"/>
    <x v="0"/>
    <x v="275"/>
    <x v="229"/>
    <x v="282"/>
    <x v="177"/>
    <x v="182"/>
    <x v="45"/>
    <x v="45"/>
  </r>
  <r>
    <x v="2"/>
    <x v="800"/>
    <x v="800"/>
    <x v="799"/>
    <x v="0"/>
    <x v="266"/>
    <x v="281"/>
    <x v="0"/>
    <x v="272"/>
    <x v="0"/>
    <x v="276"/>
    <x v="141"/>
    <x v="283"/>
    <x v="54"/>
    <x v="56"/>
    <x v="93"/>
    <x v="94"/>
  </r>
  <r>
    <x v="0"/>
    <x v="801"/>
    <x v="801"/>
    <x v="800"/>
    <x v="1"/>
    <x v="8"/>
    <x v="8"/>
    <x v="0"/>
    <x v="8"/>
    <x v="0"/>
    <x v="8"/>
    <x v="8"/>
    <x v="8"/>
    <x v="4"/>
    <x v="4"/>
    <x v="0"/>
    <x v="0"/>
  </r>
  <r>
    <x v="1"/>
    <x v="802"/>
    <x v="802"/>
    <x v="801"/>
    <x v="0"/>
    <x v="267"/>
    <x v="282"/>
    <x v="0"/>
    <x v="273"/>
    <x v="0"/>
    <x v="277"/>
    <x v="146"/>
    <x v="284"/>
    <x v="178"/>
    <x v="183"/>
    <x v="0"/>
    <x v="0"/>
  </r>
  <r>
    <x v="0"/>
    <x v="803"/>
    <x v="803"/>
    <x v="802"/>
    <x v="1"/>
    <x v="8"/>
    <x v="8"/>
    <x v="0"/>
    <x v="8"/>
    <x v="0"/>
    <x v="8"/>
    <x v="8"/>
    <x v="8"/>
    <x v="4"/>
    <x v="4"/>
    <x v="0"/>
    <x v="0"/>
  </r>
  <r>
    <x v="2"/>
    <x v="804"/>
    <x v="804"/>
    <x v="803"/>
    <x v="1"/>
    <x v="8"/>
    <x v="8"/>
    <x v="0"/>
    <x v="8"/>
    <x v="0"/>
    <x v="8"/>
    <x v="8"/>
    <x v="8"/>
    <x v="4"/>
    <x v="4"/>
    <x v="0"/>
    <x v="0"/>
  </r>
  <r>
    <x v="2"/>
    <x v="805"/>
    <x v="805"/>
    <x v="804"/>
    <x v="1"/>
    <x v="8"/>
    <x v="8"/>
    <x v="0"/>
    <x v="8"/>
    <x v="0"/>
    <x v="8"/>
    <x v="8"/>
    <x v="8"/>
    <x v="4"/>
    <x v="4"/>
    <x v="0"/>
    <x v="0"/>
  </r>
  <r>
    <x v="0"/>
    <x v="806"/>
    <x v="806"/>
    <x v="805"/>
    <x v="1"/>
    <x v="8"/>
    <x v="8"/>
    <x v="0"/>
    <x v="8"/>
    <x v="0"/>
    <x v="8"/>
    <x v="8"/>
    <x v="8"/>
    <x v="4"/>
    <x v="4"/>
    <x v="0"/>
    <x v="0"/>
  </r>
  <r>
    <x v="2"/>
    <x v="807"/>
    <x v="807"/>
    <x v="806"/>
    <x v="1"/>
    <x v="8"/>
    <x v="8"/>
    <x v="0"/>
    <x v="8"/>
    <x v="0"/>
    <x v="8"/>
    <x v="8"/>
    <x v="8"/>
    <x v="4"/>
    <x v="4"/>
    <x v="0"/>
    <x v="0"/>
  </r>
  <r>
    <x v="1"/>
    <x v="808"/>
    <x v="808"/>
    <x v="807"/>
    <x v="0"/>
    <x v="31"/>
    <x v="283"/>
    <x v="0"/>
    <x v="274"/>
    <x v="0"/>
    <x v="278"/>
    <x v="31"/>
    <x v="285"/>
    <x v="4"/>
    <x v="4"/>
    <x v="0"/>
    <x v="0"/>
  </r>
  <r>
    <x v="0"/>
    <x v="809"/>
    <x v="809"/>
    <x v="808"/>
    <x v="1"/>
    <x v="8"/>
    <x v="8"/>
    <x v="0"/>
    <x v="8"/>
    <x v="0"/>
    <x v="8"/>
    <x v="8"/>
    <x v="8"/>
    <x v="4"/>
    <x v="4"/>
    <x v="0"/>
    <x v="0"/>
  </r>
  <r>
    <x v="2"/>
    <x v="810"/>
    <x v="810"/>
    <x v="809"/>
    <x v="1"/>
    <x v="8"/>
    <x v="8"/>
    <x v="0"/>
    <x v="8"/>
    <x v="0"/>
    <x v="8"/>
    <x v="8"/>
    <x v="8"/>
    <x v="4"/>
    <x v="4"/>
    <x v="0"/>
    <x v="0"/>
  </r>
  <r>
    <x v="2"/>
    <x v="811"/>
    <x v="811"/>
    <x v="810"/>
    <x v="0"/>
    <x v="268"/>
    <x v="284"/>
    <x v="0"/>
    <x v="275"/>
    <x v="0"/>
    <x v="279"/>
    <x v="230"/>
    <x v="286"/>
    <x v="179"/>
    <x v="184"/>
    <x v="0"/>
    <x v="0"/>
  </r>
  <r>
    <x v="0"/>
    <x v="812"/>
    <x v="812"/>
    <x v="811"/>
    <x v="1"/>
    <x v="8"/>
    <x v="8"/>
    <x v="0"/>
    <x v="8"/>
    <x v="0"/>
    <x v="8"/>
    <x v="8"/>
    <x v="8"/>
    <x v="4"/>
    <x v="4"/>
    <x v="0"/>
    <x v="0"/>
  </r>
  <r>
    <x v="2"/>
    <x v="813"/>
    <x v="813"/>
    <x v="812"/>
    <x v="1"/>
    <x v="8"/>
    <x v="8"/>
    <x v="0"/>
    <x v="8"/>
    <x v="0"/>
    <x v="8"/>
    <x v="8"/>
    <x v="8"/>
    <x v="4"/>
    <x v="4"/>
    <x v="0"/>
    <x v="0"/>
  </r>
  <r>
    <x v="2"/>
    <x v="814"/>
    <x v="814"/>
    <x v="813"/>
    <x v="0"/>
    <x v="269"/>
    <x v="285"/>
    <x v="0"/>
    <x v="276"/>
    <x v="0"/>
    <x v="280"/>
    <x v="231"/>
    <x v="287"/>
    <x v="180"/>
    <x v="185"/>
    <x v="94"/>
    <x v="95"/>
  </r>
  <r>
    <x v="0"/>
    <x v="815"/>
    <x v="815"/>
    <x v="814"/>
    <x v="1"/>
    <x v="8"/>
    <x v="8"/>
    <x v="0"/>
    <x v="8"/>
    <x v="0"/>
    <x v="8"/>
    <x v="8"/>
    <x v="8"/>
    <x v="4"/>
    <x v="4"/>
    <x v="0"/>
    <x v="0"/>
  </r>
  <r>
    <x v="0"/>
    <x v="816"/>
    <x v="816"/>
    <x v="815"/>
    <x v="1"/>
    <x v="8"/>
    <x v="8"/>
    <x v="0"/>
    <x v="8"/>
    <x v="0"/>
    <x v="8"/>
    <x v="8"/>
    <x v="8"/>
    <x v="4"/>
    <x v="4"/>
    <x v="0"/>
    <x v="0"/>
  </r>
  <r>
    <x v="0"/>
    <x v="817"/>
    <x v="817"/>
    <x v="816"/>
    <x v="1"/>
    <x v="8"/>
    <x v="8"/>
    <x v="0"/>
    <x v="8"/>
    <x v="0"/>
    <x v="8"/>
    <x v="8"/>
    <x v="8"/>
    <x v="4"/>
    <x v="4"/>
    <x v="0"/>
    <x v="0"/>
  </r>
  <r>
    <x v="2"/>
    <x v="818"/>
    <x v="818"/>
    <x v="817"/>
    <x v="1"/>
    <x v="8"/>
    <x v="8"/>
    <x v="0"/>
    <x v="8"/>
    <x v="0"/>
    <x v="8"/>
    <x v="8"/>
    <x v="8"/>
    <x v="4"/>
    <x v="4"/>
    <x v="0"/>
    <x v="0"/>
  </r>
  <r>
    <x v="0"/>
    <x v="819"/>
    <x v="819"/>
    <x v="818"/>
    <x v="1"/>
    <x v="8"/>
    <x v="8"/>
    <x v="0"/>
    <x v="8"/>
    <x v="0"/>
    <x v="8"/>
    <x v="8"/>
    <x v="8"/>
    <x v="4"/>
    <x v="4"/>
    <x v="0"/>
    <x v="0"/>
  </r>
  <r>
    <x v="2"/>
    <x v="820"/>
    <x v="820"/>
    <x v="819"/>
    <x v="1"/>
    <x v="8"/>
    <x v="8"/>
    <x v="0"/>
    <x v="8"/>
    <x v="0"/>
    <x v="8"/>
    <x v="8"/>
    <x v="8"/>
    <x v="4"/>
    <x v="4"/>
    <x v="0"/>
    <x v="0"/>
  </r>
  <r>
    <x v="0"/>
    <x v="821"/>
    <x v="821"/>
    <x v="820"/>
    <x v="1"/>
    <x v="8"/>
    <x v="8"/>
    <x v="0"/>
    <x v="8"/>
    <x v="0"/>
    <x v="8"/>
    <x v="8"/>
    <x v="8"/>
    <x v="4"/>
    <x v="4"/>
    <x v="0"/>
    <x v="0"/>
  </r>
  <r>
    <x v="0"/>
    <x v="822"/>
    <x v="822"/>
    <x v="821"/>
    <x v="1"/>
    <x v="8"/>
    <x v="8"/>
    <x v="0"/>
    <x v="8"/>
    <x v="0"/>
    <x v="8"/>
    <x v="8"/>
    <x v="8"/>
    <x v="4"/>
    <x v="4"/>
    <x v="0"/>
    <x v="0"/>
  </r>
  <r>
    <x v="2"/>
    <x v="823"/>
    <x v="823"/>
    <x v="822"/>
    <x v="1"/>
    <x v="8"/>
    <x v="8"/>
    <x v="0"/>
    <x v="8"/>
    <x v="0"/>
    <x v="8"/>
    <x v="8"/>
    <x v="8"/>
    <x v="4"/>
    <x v="4"/>
    <x v="0"/>
    <x v="0"/>
  </r>
  <r>
    <x v="2"/>
    <x v="824"/>
    <x v="824"/>
    <x v="823"/>
    <x v="0"/>
    <x v="270"/>
    <x v="286"/>
    <x v="0"/>
    <x v="277"/>
    <x v="0"/>
    <x v="281"/>
    <x v="232"/>
    <x v="288"/>
    <x v="181"/>
    <x v="186"/>
    <x v="95"/>
    <x v="96"/>
  </r>
  <r>
    <x v="0"/>
    <x v="825"/>
    <x v="825"/>
    <x v="824"/>
    <x v="1"/>
    <x v="8"/>
    <x v="8"/>
    <x v="0"/>
    <x v="8"/>
    <x v="0"/>
    <x v="8"/>
    <x v="8"/>
    <x v="8"/>
    <x v="4"/>
    <x v="4"/>
    <x v="0"/>
    <x v="0"/>
  </r>
  <r>
    <x v="2"/>
    <x v="826"/>
    <x v="826"/>
    <x v="825"/>
    <x v="1"/>
    <x v="8"/>
    <x v="8"/>
    <x v="0"/>
    <x v="8"/>
    <x v="0"/>
    <x v="8"/>
    <x v="8"/>
    <x v="8"/>
    <x v="4"/>
    <x v="4"/>
    <x v="0"/>
    <x v="0"/>
  </r>
  <r>
    <x v="2"/>
    <x v="827"/>
    <x v="827"/>
    <x v="826"/>
    <x v="0"/>
    <x v="271"/>
    <x v="287"/>
    <x v="0"/>
    <x v="278"/>
    <x v="0"/>
    <x v="282"/>
    <x v="233"/>
    <x v="289"/>
    <x v="135"/>
    <x v="139"/>
    <x v="0"/>
    <x v="0"/>
  </r>
  <r>
    <x v="2"/>
    <x v="828"/>
    <x v="828"/>
    <x v="827"/>
    <x v="0"/>
    <x v="272"/>
    <x v="288"/>
    <x v="31"/>
    <x v="279"/>
    <x v="33"/>
    <x v="283"/>
    <x v="234"/>
    <x v="290"/>
    <x v="182"/>
    <x v="187"/>
    <x v="96"/>
    <x v="97"/>
  </r>
  <r>
    <x v="1"/>
    <x v="829"/>
    <x v="829"/>
    <x v="828"/>
    <x v="0"/>
    <x v="273"/>
    <x v="289"/>
    <x v="0"/>
    <x v="280"/>
    <x v="0"/>
    <x v="284"/>
    <x v="122"/>
    <x v="291"/>
    <x v="116"/>
    <x v="120"/>
    <x v="33"/>
    <x v="33"/>
  </r>
  <r>
    <x v="2"/>
    <x v="830"/>
    <x v="830"/>
    <x v="829"/>
    <x v="0"/>
    <x v="274"/>
    <x v="290"/>
    <x v="0"/>
    <x v="281"/>
    <x v="0"/>
    <x v="285"/>
    <x v="235"/>
    <x v="292"/>
    <x v="134"/>
    <x v="138"/>
    <x v="0"/>
    <x v="0"/>
  </r>
  <r>
    <x v="0"/>
    <x v="831"/>
    <x v="831"/>
    <x v="830"/>
    <x v="1"/>
    <x v="8"/>
    <x v="8"/>
    <x v="0"/>
    <x v="8"/>
    <x v="0"/>
    <x v="8"/>
    <x v="8"/>
    <x v="8"/>
    <x v="4"/>
    <x v="4"/>
    <x v="0"/>
    <x v="0"/>
  </r>
  <r>
    <x v="0"/>
    <x v="832"/>
    <x v="832"/>
    <x v="831"/>
    <x v="1"/>
    <x v="8"/>
    <x v="8"/>
    <x v="0"/>
    <x v="8"/>
    <x v="0"/>
    <x v="8"/>
    <x v="8"/>
    <x v="8"/>
    <x v="4"/>
    <x v="4"/>
    <x v="0"/>
    <x v="0"/>
  </r>
  <r>
    <x v="1"/>
    <x v="833"/>
    <x v="833"/>
    <x v="832"/>
    <x v="1"/>
    <x v="8"/>
    <x v="8"/>
    <x v="0"/>
    <x v="8"/>
    <x v="0"/>
    <x v="8"/>
    <x v="8"/>
    <x v="8"/>
    <x v="4"/>
    <x v="4"/>
    <x v="0"/>
    <x v="0"/>
  </r>
  <r>
    <x v="2"/>
    <x v="834"/>
    <x v="834"/>
    <x v="833"/>
    <x v="0"/>
    <x v="275"/>
    <x v="291"/>
    <x v="0"/>
    <x v="282"/>
    <x v="0"/>
    <x v="286"/>
    <x v="236"/>
    <x v="293"/>
    <x v="183"/>
    <x v="188"/>
    <x v="97"/>
    <x v="98"/>
  </r>
  <r>
    <x v="2"/>
    <x v="835"/>
    <x v="835"/>
    <x v="834"/>
    <x v="1"/>
    <x v="8"/>
    <x v="8"/>
    <x v="0"/>
    <x v="8"/>
    <x v="0"/>
    <x v="8"/>
    <x v="8"/>
    <x v="8"/>
    <x v="4"/>
    <x v="4"/>
    <x v="0"/>
    <x v="0"/>
  </r>
  <r>
    <x v="0"/>
    <x v="836"/>
    <x v="836"/>
    <x v="835"/>
    <x v="1"/>
    <x v="8"/>
    <x v="8"/>
    <x v="0"/>
    <x v="8"/>
    <x v="0"/>
    <x v="8"/>
    <x v="8"/>
    <x v="8"/>
    <x v="4"/>
    <x v="4"/>
    <x v="0"/>
    <x v="0"/>
  </r>
  <r>
    <x v="2"/>
    <x v="837"/>
    <x v="837"/>
    <x v="836"/>
    <x v="1"/>
    <x v="8"/>
    <x v="8"/>
    <x v="0"/>
    <x v="8"/>
    <x v="0"/>
    <x v="8"/>
    <x v="8"/>
    <x v="8"/>
    <x v="4"/>
    <x v="4"/>
    <x v="0"/>
    <x v="0"/>
  </r>
  <r>
    <x v="0"/>
    <x v="838"/>
    <x v="838"/>
    <x v="837"/>
    <x v="1"/>
    <x v="8"/>
    <x v="8"/>
    <x v="0"/>
    <x v="8"/>
    <x v="0"/>
    <x v="8"/>
    <x v="8"/>
    <x v="8"/>
    <x v="4"/>
    <x v="4"/>
    <x v="0"/>
    <x v="0"/>
  </r>
  <r>
    <x v="2"/>
    <x v="839"/>
    <x v="839"/>
    <x v="838"/>
    <x v="1"/>
    <x v="8"/>
    <x v="8"/>
    <x v="0"/>
    <x v="8"/>
    <x v="0"/>
    <x v="8"/>
    <x v="8"/>
    <x v="8"/>
    <x v="4"/>
    <x v="4"/>
    <x v="0"/>
    <x v="0"/>
  </r>
  <r>
    <x v="0"/>
    <x v="840"/>
    <x v="840"/>
    <x v="839"/>
    <x v="1"/>
    <x v="8"/>
    <x v="8"/>
    <x v="0"/>
    <x v="8"/>
    <x v="0"/>
    <x v="8"/>
    <x v="8"/>
    <x v="8"/>
    <x v="4"/>
    <x v="4"/>
    <x v="0"/>
    <x v="0"/>
  </r>
  <r>
    <x v="1"/>
    <x v="841"/>
    <x v="841"/>
    <x v="840"/>
    <x v="1"/>
    <x v="8"/>
    <x v="8"/>
    <x v="0"/>
    <x v="8"/>
    <x v="0"/>
    <x v="8"/>
    <x v="8"/>
    <x v="8"/>
    <x v="4"/>
    <x v="4"/>
    <x v="0"/>
    <x v="0"/>
  </r>
  <r>
    <x v="2"/>
    <x v="842"/>
    <x v="842"/>
    <x v="841"/>
    <x v="1"/>
    <x v="8"/>
    <x v="8"/>
    <x v="0"/>
    <x v="8"/>
    <x v="0"/>
    <x v="8"/>
    <x v="8"/>
    <x v="8"/>
    <x v="4"/>
    <x v="4"/>
    <x v="0"/>
    <x v="0"/>
  </r>
  <r>
    <x v="0"/>
    <x v="843"/>
    <x v="843"/>
    <x v="842"/>
    <x v="1"/>
    <x v="8"/>
    <x v="8"/>
    <x v="0"/>
    <x v="8"/>
    <x v="0"/>
    <x v="8"/>
    <x v="8"/>
    <x v="8"/>
    <x v="4"/>
    <x v="4"/>
    <x v="0"/>
    <x v="0"/>
  </r>
  <r>
    <x v="0"/>
    <x v="844"/>
    <x v="844"/>
    <x v="843"/>
    <x v="1"/>
    <x v="8"/>
    <x v="8"/>
    <x v="0"/>
    <x v="8"/>
    <x v="0"/>
    <x v="8"/>
    <x v="8"/>
    <x v="8"/>
    <x v="4"/>
    <x v="4"/>
    <x v="0"/>
    <x v="0"/>
  </r>
  <r>
    <x v="2"/>
    <x v="845"/>
    <x v="845"/>
    <x v="844"/>
    <x v="1"/>
    <x v="8"/>
    <x v="8"/>
    <x v="0"/>
    <x v="8"/>
    <x v="0"/>
    <x v="8"/>
    <x v="8"/>
    <x v="8"/>
    <x v="4"/>
    <x v="4"/>
    <x v="0"/>
    <x v="0"/>
  </r>
  <r>
    <x v="2"/>
    <x v="846"/>
    <x v="846"/>
    <x v="845"/>
    <x v="1"/>
    <x v="8"/>
    <x v="8"/>
    <x v="0"/>
    <x v="8"/>
    <x v="0"/>
    <x v="8"/>
    <x v="8"/>
    <x v="8"/>
    <x v="4"/>
    <x v="4"/>
    <x v="0"/>
    <x v="0"/>
  </r>
  <r>
    <x v="0"/>
    <x v="847"/>
    <x v="847"/>
    <x v="846"/>
    <x v="1"/>
    <x v="8"/>
    <x v="8"/>
    <x v="0"/>
    <x v="8"/>
    <x v="0"/>
    <x v="8"/>
    <x v="8"/>
    <x v="8"/>
    <x v="4"/>
    <x v="4"/>
    <x v="0"/>
    <x v="0"/>
  </r>
  <r>
    <x v="0"/>
    <x v="848"/>
    <x v="848"/>
    <x v="847"/>
    <x v="0"/>
    <x v="276"/>
    <x v="292"/>
    <x v="0"/>
    <x v="283"/>
    <x v="0"/>
    <x v="287"/>
    <x v="171"/>
    <x v="294"/>
    <x v="184"/>
    <x v="189"/>
    <x v="0"/>
    <x v="0"/>
  </r>
  <r>
    <x v="0"/>
    <x v="849"/>
    <x v="849"/>
    <x v="848"/>
    <x v="1"/>
    <x v="8"/>
    <x v="8"/>
    <x v="0"/>
    <x v="8"/>
    <x v="0"/>
    <x v="8"/>
    <x v="8"/>
    <x v="8"/>
    <x v="4"/>
    <x v="4"/>
    <x v="0"/>
    <x v="0"/>
  </r>
  <r>
    <x v="2"/>
    <x v="850"/>
    <x v="850"/>
    <x v="849"/>
    <x v="1"/>
    <x v="8"/>
    <x v="8"/>
    <x v="0"/>
    <x v="8"/>
    <x v="0"/>
    <x v="8"/>
    <x v="8"/>
    <x v="8"/>
    <x v="4"/>
    <x v="4"/>
    <x v="0"/>
    <x v="0"/>
  </r>
  <r>
    <x v="2"/>
    <x v="851"/>
    <x v="851"/>
    <x v="850"/>
    <x v="0"/>
    <x v="277"/>
    <x v="293"/>
    <x v="0"/>
    <x v="284"/>
    <x v="0"/>
    <x v="288"/>
    <x v="237"/>
    <x v="295"/>
    <x v="185"/>
    <x v="190"/>
    <x v="98"/>
    <x v="99"/>
  </r>
  <r>
    <x v="1"/>
    <x v="852"/>
    <x v="852"/>
    <x v="851"/>
    <x v="1"/>
    <x v="8"/>
    <x v="8"/>
    <x v="0"/>
    <x v="8"/>
    <x v="0"/>
    <x v="8"/>
    <x v="8"/>
    <x v="8"/>
    <x v="4"/>
    <x v="4"/>
    <x v="0"/>
    <x v="0"/>
  </r>
  <r>
    <x v="2"/>
    <x v="853"/>
    <x v="853"/>
    <x v="852"/>
    <x v="1"/>
    <x v="8"/>
    <x v="8"/>
    <x v="0"/>
    <x v="8"/>
    <x v="0"/>
    <x v="8"/>
    <x v="8"/>
    <x v="8"/>
    <x v="4"/>
    <x v="4"/>
    <x v="0"/>
    <x v="0"/>
  </r>
  <r>
    <x v="2"/>
    <x v="854"/>
    <x v="854"/>
    <x v="853"/>
    <x v="0"/>
    <x v="30"/>
    <x v="294"/>
    <x v="0"/>
    <x v="285"/>
    <x v="0"/>
    <x v="289"/>
    <x v="105"/>
    <x v="296"/>
    <x v="8"/>
    <x v="8"/>
    <x v="0"/>
    <x v="0"/>
  </r>
  <r>
    <x v="1"/>
    <x v="855"/>
    <x v="855"/>
    <x v="854"/>
    <x v="1"/>
    <x v="8"/>
    <x v="8"/>
    <x v="0"/>
    <x v="8"/>
    <x v="0"/>
    <x v="8"/>
    <x v="8"/>
    <x v="8"/>
    <x v="4"/>
    <x v="4"/>
    <x v="0"/>
    <x v="0"/>
  </r>
  <r>
    <x v="0"/>
    <x v="856"/>
    <x v="856"/>
    <x v="855"/>
    <x v="0"/>
    <x v="278"/>
    <x v="295"/>
    <x v="0"/>
    <x v="286"/>
    <x v="0"/>
    <x v="290"/>
    <x v="238"/>
    <x v="297"/>
    <x v="186"/>
    <x v="191"/>
    <x v="0"/>
    <x v="0"/>
  </r>
  <r>
    <x v="0"/>
    <x v="857"/>
    <x v="857"/>
    <x v="856"/>
    <x v="1"/>
    <x v="8"/>
    <x v="8"/>
    <x v="0"/>
    <x v="8"/>
    <x v="0"/>
    <x v="8"/>
    <x v="8"/>
    <x v="8"/>
    <x v="4"/>
    <x v="4"/>
    <x v="0"/>
    <x v="0"/>
  </r>
  <r>
    <x v="1"/>
    <x v="858"/>
    <x v="858"/>
    <x v="857"/>
    <x v="1"/>
    <x v="8"/>
    <x v="8"/>
    <x v="0"/>
    <x v="8"/>
    <x v="0"/>
    <x v="8"/>
    <x v="8"/>
    <x v="8"/>
    <x v="4"/>
    <x v="4"/>
    <x v="0"/>
    <x v="0"/>
  </r>
  <r>
    <x v="0"/>
    <x v="859"/>
    <x v="859"/>
    <x v="858"/>
    <x v="0"/>
    <x v="279"/>
    <x v="296"/>
    <x v="0"/>
    <x v="287"/>
    <x v="0"/>
    <x v="291"/>
    <x v="59"/>
    <x v="298"/>
    <x v="96"/>
    <x v="98"/>
    <x v="0"/>
    <x v="0"/>
  </r>
  <r>
    <x v="2"/>
    <x v="860"/>
    <x v="860"/>
    <x v="859"/>
    <x v="0"/>
    <x v="280"/>
    <x v="297"/>
    <x v="0"/>
    <x v="288"/>
    <x v="0"/>
    <x v="292"/>
    <x v="239"/>
    <x v="299"/>
    <x v="145"/>
    <x v="192"/>
    <x v="35"/>
    <x v="35"/>
  </r>
  <r>
    <x v="0"/>
    <x v="861"/>
    <x v="861"/>
    <x v="860"/>
    <x v="0"/>
    <x v="281"/>
    <x v="298"/>
    <x v="0"/>
    <x v="289"/>
    <x v="0"/>
    <x v="293"/>
    <x v="240"/>
    <x v="300"/>
    <x v="187"/>
    <x v="193"/>
    <x v="99"/>
    <x v="100"/>
  </r>
  <r>
    <x v="2"/>
    <x v="862"/>
    <x v="862"/>
    <x v="861"/>
    <x v="1"/>
    <x v="8"/>
    <x v="8"/>
    <x v="0"/>
    <x v="8"/>
    <x v="0"/>
    <x v="8"/>
    <x v="8"/>
    <x v="8"/>
    <x v="4"/>
    <x v="4"/>
    <x v="0"/>
    <x v="0"/>
  </r>
  <r>
    <x v="2"/>
    <x v="863"/>
    <x v="863"/>
    <x v="862"/>
    <x v="1"/>
    <x v="8"/>
    <x v="8"/>
    <x v="0"/>
    <x v="8"/>
    <x v="0"/>
    <x v="8"/>
    <x v="8"/>
    <x v="8"/>
    <x v="4"/>
    <x v="4"/>
    <x v="0"/>
    <x v="0"/>
  </r>
  <r>
    <x v="0"/>
    <x v="864"/>
    <x v="864"/>
    <x v="863"/>
    <x v="1"/>
    <x v="8"/>
    <x v="8"/>
    <x v="0"/>
    <x v="8"/>
    <x v="0"/>
    <x v="8"/>
    <x v="8"/>
    <x v="8"/>
    <x v="4"/>
    <x v="4"/>
    <x v="0"/>
    <x v="0"/>
  </r>
  <r>
    <x v="2"/>
    <x v="865"/>
    <x v="865"/>
    <x v="864"/>
    <x v="1"/>
    <x v="8"/>
    <x v="8"/>
    <x v="0"/>
    <x v="8"/>
    <x v="0"/>
    <x v="8"/>
    <x v="8"/>
    <x v="8"/>
    <x v="4"/>
    <x v="4"/>
    <x v="0"/>
    <x v="0"/>
  </r>
  <r>
    <x v="0"/>
    <x v="866"/>
    <x v="866"/>
    <x v="865"/>
    <x v="1"/>
    <x v="8"/>
    <x v="8"/>
    <x v="0"/>
    <x v="8"/>
    <x v="0"/>
    <x v="8"/>
    <x v="8"/>
    <x v="8"/>
    <x v="4"/>
    <x v="4"/>
    <x v="0"/>
    <x v="0"/>
  </r>
  <r>
    <x v="2"/>
    <x v="867"/>
    <x v="867"/>
    <x v="866"/>
    <x v="0"/>
    <x v="282"/>
    <x v="299"/>
    <x v="0"/>
    <x v="290"/>
    <x v="0"/>
    <x v="294"/>
    <x v="170"/>
    <x v="301"/>
    <x v="6"/>
    <x v="6"/>
    <x v="0"/>
    <x v="0"/>
  </r>
  <r>
    <x v="2"/>
    <x v="868"/>
    <x v="868"/>
    <x v="867"/>
    <x v="1"/>
    <x v="8"/>
    <x v="8"/>
    <x v="0"/>
    <x v="8"/>
    <x v="0"/>
    <x v="8"/>
    <x v="8"/>
    <x v="8"/>
    <x v="4"/>
    <x v="4"/>
    <x v="0"/>
    <x v="0"/>
  </r>
  <r>
    <x v="2"/>
    <x v="869"/>
    <x v="869"/>
    <x v="868"/>
    <x v="0"/>
    <x v="283"/>
    <x v="300"/>
    <x v="0"/>
    <x v="291"/>
    <x v="0"/>
    <x v="295"/>
    <x v="241"/>
    <x v="302"/>
    <x v="188"/>
    <x v="194"/>
    <x v="100"/>
    <x v="101"/>
  </r>
  <r>
    <x v="1"/>
    <x v="870"/>
    <x v="870"/>
    <x v="869"/>
    <x v="1"/>
    <x v="8"/>
    <x v="8"/>
    <x v="0"/>
    <x v="8"/>
    <x v="0"/>
    <x v="8"/>
    <x v="8"/>
    <x v="8"/>
    <x v="4"/>
    <x v="4"/>
    <x v="0"/>
    <x v="0"/>
  </r>
  <r>
    <x v="2"/>
    <x v="871"/>
    <x v="871"/>
    <x v="870"/>
    <x v="1"/>
    <x v="8"/>
    <x v="8"/>
    <x v="0"/>
    <x v="8"/>
    <x v="0"/>
    <x v="8"/>
    <x v="8"/>
    <x v="8"/>
    <x v="4"/>
    <x v="4"/>
    <x v="0"/>
    <x v="0"/>
  </r>
  <r>
    <x v="2"/>
    <x v="872"/>
    <x v="872"/>
    <x v="871"/>
    <x v="0"/>
    <x v="284"/>
    <x v="301"/>
    <x v="0"/>
    <x v="292"/>
    <x v="0"/>
    <x v="296"/>
    <x v="242"/>
    <x v="303"/>
    <x v="189"/>
    <x v="195"/>
    <x v="0"/>
    <x v="0"/>
  </r>
  <r>
    <x v="2"/>
    <x v="873"/>
    <x v="873"/>
    <x v="872"/>
    <x v="1"/>
    <x v="8"/>
    <x v="8"/>
    <x v="0"/>
    <x v="8"/>
    <x v="0"/>
    <x v="8"/>
    <x v="8"/>
    <x v="8"/>
    <x v="4"/>
    <x v="4"/>
    <x v="0"/>
    <x v="0"/>
  </r>
  <r>
    <x v="2"/>
    <x v="874"/>
    <x v="874"/>
    <x v="873"/>
    <x v="1"/>
    <x v="8"/>
    <x v="8"/>
    <x v="0"/>
    <x v="8"/>
    <x v="0"/>
    <x v="8"/>
    <x v="8"/>
    <x v="8"/>
    <x v="4"/>
    <x v="4"/>
    <x v="0"/>
    <x v="0"/>
  </r>
  <r>
    <x v="2"/>
    <x v="875"/>
    <x v="875"/>
    <x v="874"/>
    <x v="0"/>
    <x v="285"/>
    <x v="302"/>
    <x v="0"/>
    <x v="293"/>
    <x v="0"/>
    <x v="297"/>
    <x v="243"/>
    <x v="304"/>
    <x v="93"/>
    <x v="95"/>
    <x v="101"/>
    <x v="102"/>
  </r>
  <r>
    <x v="0"/>
    <x v="876"/>
    <x v="876"/>
    <x v="875"/>
    <x v="1"/>
    <x v="8"/>
    <x v="8"/>
    <x v="0"/>
    <x v="8"/>
    <x v="0"/>
    <x v="8"/>
    <x v="8"/>
    <x v="8"/>
    <x v="4"/>
    <x v="4"/>
    <x v="0"/>
    <x v="0"/>
  </r>
  <r>
    <x v="0"/>
    <x v="877"/>
    <x v="877"/>
    <x v="876"/>
    <x v="1"/>
    <x v="8"/>
    <x v="8"/>
    <x v="0"/>
    <x v="8"/>
    <x v="0"/>
    <x v="8"/>
    <x v="8"/>
    <x v="8"/>
    <x v="4"/>
    <x v="4"/>
    <x v="0"/>
    <x v="0"/>
  </r>
  <r>
    <x v="0"/>
    <x v="878"/>
    <x v="878"/>
    <x v="877"/>
    <x v="1"/>
    <x v="8"/>
    <x v="8"/>
    <x v="0"/>
    <x v="8"/>
    <x v="0"/>
    <x v="8"/>
    <x v="8"/>
    <x v="8"/>
    <x v="4"/>
    <x v="4"/>
    <x v="0"/>
    <x v="0"/>
  </r>
  <r>
    <x v="0"/>
    <x v="879"/>
    <x v="879"/>
    <x v="878"/>
    <x v="0"/>
    <x v="286"/>
    <x v="303"/>
    <x v="0"/>
    <x v="294"/>
    <x v="0"/>
    <x v="298"/>
    <x v="244"/>
    <x v="305"/>
    <x v="116"/>
    <x v="120"/>
    <x v="0"/>
    <x v="0"/>
  </r>
  <r>
    <x v="1"/>
    <x v="880"/>
    <x v="880"/>
    <x v="879"/>
    <x v="1"/>
    <x v="8"/>
    <x v="8"/>
    <x v="0"/>
    <x v="8"/>
    <x v="0"/>
    <x v="8"/>
    <x v="8"/>
    <x v="8"/>
    <x v="4"/>
    <x v="4"/>
    <x v="0"/>
    <x v="0"/>
  </r>
  <r>
    <x v="1"/>
    <x v="881"/>
    <x v="881"/>
    <x v="880"/>
    <x v="1"/>
    <x v="8"/>
    <x v="8"/>
    <x v="0"/>
    <x v="8"/>
    <x v="0"/>
    <x v="8"/>
    <x v="8"/>
    <x v="8"/>
    <x v="4"/>
    <x v="4"/>
    <x v="0"/>
    <x v="0"/>
  </r>
  <r>
    <x v="1"/>
    <x v="882"/>
    <x v="882"/>
    <x v="881"/>
    <x v="1"/>
    <x v="8"/>
    <x v="8"/>
    <x v="0"/>
    <x v="8"/>
    <x v="0"/>
    <x v="8"/>
    <x v="8"/>
    <x v="8"/>
    <x v="4"/>
    <x v="4"/>
    <x v="0"/>
    <x v="0"/>
  </r>
  <r>
    <x v="1"/>
    <x v="883"/>
    <x v="883"/>
    <x v="882"/>
    <x v="1"/>
    <x v="8"/>
    <x v="8"/>
    <x v="0"/>
    <x v="8"/>
    <x v="0"/>
    <x v="8"/>
    <x v="8"/>
    <x v="8"/>
    <x v="4"/>
    <x v="4"/>
    <x v="0"/>
    <x v="0"/>
  </r>
  <r>
    <x v="2"/>
    <x v="884"/>
    <x v="884"/>
    <x v="883"/>
    <x v="1"/>
    <x v="8"/>
    <x v="8"/>
    <x v="0"/>
    <x v="8"/>
    <x v="0"/>
    <x v="8"/>
    <x v="8"/>
    <x v="8"/>
    <x v="4"/>
    <x v="4"/>
    <x v="0"/>
    <x v="0"/>
  </r>
  <r>
    <x v="2"/>
    <x v="885"/>
    <x v="885"/>
    <x v="884"/>
    <x v="1"/>
    <x v="8"/>
    <x v="8"/>
    <x v="0"/>
    <x v="8"/>
    <x v="0"/>
    <x v="8"/>
    <x v="8"/>
    <x v="8"/>
    <x v="4"/>
    <x v="4"/>
    <x v="0"/>
    <x v="0"/>
  </r>
  <r>
    <x v="2"/>
    <x v="886"/>
    <x v="886"/>
    <x v="885"/>
    <x v="1"/>
    <x v="8"/>
    <x v="8"/>
    <x v="0"/>
    <x v="8"/>
    <x v="0"/>
    <x v="8"/>
    <x v="8"/>
    <x v="8"/>
    <x v="4"/>
    <x v="4"/>
    <x v="0"/>
    <x v="0"/>
  </r>
  <r>
    <x v="0"/>
    <x v="887"/>
    <x v="887"/>
    <x v="886"/>
    <x v="1"/>
    <x v="8"/>
    <x v="8"/>
    <x v="0"/>
    <x v="8"/>
    <x v="0"/>
    <x v="8"/>
    <x v="8"/>
    <x v="8"/>
    <x v="4"/>
    <x v="4"/>
    <x v="0"/>
    <x v="0"/>
  </r>
  <r>
    <x v="3"/>
    <x v="888"/>
    <x v="888"/>
    <x v="887"/>
    <x v="2"/>
    <x v="287"/>
    <x v="304"/>
    <x v="32"/>
    <x v="295"/>
    <x v="34"/>
    <x v="299"/>
    <x v="245"/>
    <x v="306"/>
    <x v="190"/>
    <x v="196"/>
    <x v="102"/>
    <x v="1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9:D14" firstHeaderRow="1" firstDataRow="2" firstDataCol="1"/>
  <pivotFields count="17">
    <pivotField axis="axisRow" compact="0" showAll="0">
      <items count="5">
        <item x="0"/>
        <item x="1"/>
        <item x="2"/>
        <item x="3"/>
        <item t="default"/>
      </items>
    </pivotField>
    <pivotField dataField="1" compact="0" showAll="0">
      <items count="8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t="default"/>
      </items>
    </pivotField>
    <pivotField compact="0" showAll="0">
      <items count="8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t="default"/>
      </items>
    </pivotField>
    <pivotField compact="0" showAll="0">
      <items count="8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t="default"/>
      </items>
    </pivotField>
    <pivotField axis="axisCol" compact="0" multipleItemSelectionAllowed="1" showAll="0">
      <items count="4">
        <item x="1"/>
        <item x="0"/>
        <item h="1" x="2"/>
        <item t="default"/>
      </items>
    </pivotField>
    <pivotField compact="0" showAll="0">
      <items count="2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compact="0" showAll="0">
      <items count="3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t="default"/>
      </items>
    </pivotField>
    <pivotField compact="0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showAll="0">
      <items count="2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t="default"/>
      </items>
    </pivotField>
    <pivotField compact="0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compact="0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compact="0" showAll="0">
      <items count="2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t="default"/>
      </items>
    </pivotField>
    <pivotField compact="0" showAll="0">
      <items count="3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compact="0" showAll="0">
      <items count="1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compact="0" showAll="0">
      <items count="1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compact="0" showAll="0">
      <items count="1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compact="0" showAll="0">
      <items count="1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计数项:用户手机号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6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18:E22" firstHeaderRow="0" firstDataRow="1" firstDataCol="1" rowPageCount="1" colPageCount="1"/>
  <pivotFields count="17">
    <pivotField axis="axisRow" compact="0" showAll="0">
      <items count="5">
        <item x="0"/>
        <item x="1"/>
        <item x="2"/>
        <item x="3"/>
        <item t="default"/>
      </items>
    </pivotField>
    <pivotField compact="0" showAll="0">
      <items count="8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t="default"/>
      </items>
    </pivotField>
    <pivotField compact="0" showAll="0">
      <items count="8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t="default"/>
      </items>
    </pivotField>
    <pivotField compact="0" showAll="0">
      <items count="8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t="default"/>
      </items>
    </pivotField>
    <pivotField axis="axisPage" dataField="1" compact="0" multipleItemSelectionAllowed="1" showAll="0">
      <items count="4">
        <item h="1" x="1"/>
        <item x="0"/>
        <item h="1" x="2"/>
        <item t="default"/>
      </items>
    </pivotField>
    <pivotField compact="0" showAll="0">
      <items count="2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dataField="1" compact="0" showAll="0">
      <items count="3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t="default"/>
      </items>
    </pivotField>
    <pivotField compact="0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showAll="0">
      <items count="2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t="default"/>
      </items>
    </pivotField>
    <pivotField compact="0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compact="0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compact="0" showAll="0">
      <items count="2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t="default"/>
      </items>
    </pivotField>
    <pivotField dataField="1" compact="0" showAll="0">
      <items count="3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compact="0" showAll="0">
      <items count="1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dataField="1" compact="0" showAll="0">
      <items count="1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compact="0" showAll="0">
      <items count="1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compact="0" showAll="0">
      <items count="1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4"/>
  </pageFields>
  <dataFields count="4">
    <dataField name="计数项:是否有效回归" fld="4" subtotal="count" baseField="0" baseItem="0"/>
    <dataField name="求和项:总投注流水（本地货币）" fld="6" baseField="0" baseItem="0"/>
    <dataField name="求和项:全部ggr（本地货币）" fld="12" baseField="0" baseItem="0"/>
    <dataField name="求和项:充值金额（本地货币）" fld="1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25"/>
  <sheetViews>
    <sheetView workbookViewId="0">
      <selection activeCell="R1" sqref="R$1:R$1048576"/>
    </sheetView>
  </sheetViews>
  <sheetFormatPr defaultColWidth="9" defaultRowHeight="13.5"/>
  <cols>
    <col min="1" max="1" width="12.4247787610619" customWidth="1"/>
    <col min="4" max="4" width="18.3893805309735" style="16"/>
  </cols>
  <sheetData>
    <row r="1" s="18" customFormat="1" spans="1:27">
      <c r="A1" s="18" t="s">
        <v>0</v>
      </c>
      <c r="B1" s="18" t="s">
        <v>1</v>
      </c>
      <c r="C1" s="18" t="s">
        <v>2</v>
      </c>
      <c r="D1" s="17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</row>
    <row r="2" s="18" customFormat="1" spans="1:27">
      <c r="A2" s="18" t="s">
        <v>27</v>
      </c>
      <c r="B2" s="18" t="s">
        <v>28</v>
      </c>
      <c r="C2" s="18">
        <v>15642980</v>
      </c>
      <c r="D2" s="17">
        <v>254115464651</v>
      </c>
      <c r="E2" s="20">
        <v>45686.8578125</v>
      </c>
      <c r="F2" s="18">
        <v>305.99</v>
      </c>
      <c r="G2" s="18">
        <v>0.64</v>
      </c>
      <c r="H2" s="18">
        <v>305.35</v>
      </c>
      <c r="I2" s="18">
        <v>44</v>
      </c>
      <c r="J2" s="18">
        <v>0.64</v>
      </c>
      <c r="K2" s="18">
        <v>43.36</v>
      </c>
      <c r="L2" s="18">
        <v>171.61</v>
      </c>
      <c r="M2" s="18">
        <v>22824</v>
      </c>
      <c r="N2" s="18">
        <v>0</v>
      </c>
      <c r="O2" s="18">
        <v>0</v>
      </c>
      <c r="P2" s="18" t="s">
        <v>29</v>
      </c>
      <c r="Q2" s="18" t="s">
        <v>30</v>
      </c>
      <c r="R2" s="18" t="s">
        <v>31</v>
      </c>
      <c r="S2" s="18">
        <v>0</v>
      </c>
      <c r="T2" s="18">
        <v>0</v>
      </c>
      <c r="U2" s="18">
        <v>0</v>
      </c>
      <c r="V2" s="18" t="s">
        <v>32</v>
      </c>
      <c r="W2" s="18" t="s">
        <v>32</v>
      </c>
      <c r="X2" s="18" t="s">
        <v>32</v>
      </c>
      <c r="Y2" s="18" t="s">
        <v>32</v>
      </c>
      <c r="Z2" s="18" t="s">
        <v>32</v>
      </c>
      <c r="AA2" s="18" t="s">
        <v>32</v>
      </c>
    </row>
    <row r="3" s="18" customFormat="1" spans="1:27">
      <c r="A3" s="18" t="s">
        <v>27</v>
      </c>
      <c r="B3" s="18" t="s">
        <v>28</v>
      </c>
      <c r="C3" s="18">
        <v>22090260</v>
      </c>
      <c r="D3" s="17">
        <v>254116255629</v>
      </c>
      <c r="E3" s="20">
        <v>46107.1898842593</v>
      </c>
      <c r="F3" s="18">
        <v>547.32</v>
      </c>
      <c r="G3" s="18">
        <v>0</v>
      </c>
      <c r="H3" s="18">
        <v>547.32</v>
      </c>
      <c r="I3" s="18">
        <v>2.33</v>
      </c>
      <c r="J3" s="18">
        <v>0</v>
      </c>
      <c r="K3" s="18">
        <v>2.33</v>
      </c>
      <c r="L3" s="18">
        <v>78.57</v>
      </c>
      <c r="M3" s="18">
        <v>10450</v>
      </c>
      <c r="N3" s="18">
        <v>74.64</v>
      </c>
      <c r="O3" s="18">
        <v>9927.12</v>
      </c>
      <c r="P3" s="18" t="s">
        <v>29</v>
      </c>
      <c r="Q3" s="18" t="s">
        <v>30</v>
      </c>
      <c r="R3" s="18" t="s">
        <v>31</v>
      </c>
      <c r="S3" s="18">
        <v>0</v>
      </c>
      <c r="T3" s="18">
        <v>0</v>
      </c>
      <c r="U3" s="18">
        <v>0</v>
      </c>
      <c r="V3" s="18" t="s">
        <v>32</v>
      </c>
      <c r="W3" s="18" t="s">
        <v>32</v>
      </c>
      <c r="X3" s="18" t="s">
        <v>32</v>
      </c>
      <c r="Y3" s="18" t="s">
        <v>32</v>
      </c>
      <c r="Z3" s="18" t="s">
        <v>32</v>
      </c>
      <c r="AA3" s="18" t="s">
        <v>32</v>
      </c>
    </row>
    <row r="4" s="18" customFormat="1" spans="1:27">
      <c r="A4" s="18" t="s">
        <v>27</v>
      </c>
      <c r="B4" s="18" t="s">
        <v>28</v>
      </c>
      <c r="C4" s="18">
        <v>18902240</v>
      </c>
      <c r="D4" s="17">
        <v>254116611542</v>
      </c>
      <c r="E4" s="20">
        <v>45941.4961689815</v>
      </c>
      <c r="F4" s="18">
        <v>21706.07</v>
      </c>
      <c r="G4" s="18">
        <v>0.01</v>
      </c>
      <c r="H4" s="18">
        <v>21706.06</v>
      </c>
      <c r="I4" s="18">
        <v>1695.64</v>
      </c>
      <c r="J4" s="18">
        <v>0.01</v>
      </c>
      <c r="K4" s="18">
        <v>1695.64</v>
      </c>
      <c r="L4" s="18">
        <v>3937.71</v>
      </c>
      <c r="M4" s="18">
        <v>523715</v>
      </c>
      <c r="N4" s="18">
        <v>627.16</v>
      </c>
      <c r="O4" s="18">
        <v>83412.28</v>
      </c>
      <c r="P4" s="18" t="s">
        <v>29</v>
      </c>
      <c r="Q4" s="18" t="s">
        <v>33</v>
      </c>
      <c r="R4" s="18" t="s">
        <v>31</v>
      </c>
      <c r="S4" s="18">
        <v>0</v>
      </c>
      <c r="T4" s="18">
        <v>0</v>
      </c>
      <c r="U4" s="18">
        <v>1</v>
      </c>
      <c r="V4" s="18">
        <v>1</v>
      </c>
      <c r="W4" s="18" t="s">
        <v>32</v>
      </c>
      <c r="X4" s="18" t="s">
        <v>32</v>
      </c>
      <c r="Y4" s="18" t="s">
        <v>32</v>
      </c>
      <c r="Z4" s="18" t="s">
        <v>32</v>
      </c>
      <c r="AA4" s="18" t="s">
        <v>32</v>
      </c>
    </row>
    <row r="5" s="18" customFormat="1" spans="1:27">
      <c r="A5" s="18" t="s">
        <v>27</v>
      </c>
      <c r="B5" s="18" t="s">
        <v>28</v>
      </c>
      <c r="C5" s="18">
        <v>21777972</v>
      </c>
      <c r="D5" s="17">
        <v>254140047631</v>
      </c>
      <c r="E5" s="20">
        <v>46089.6780208333</v>
      </c>
      <c r="F5" s="18">
        <v>2928.16</v>
      </c>
      <c r="G5" s="18">
        <v>0</v>
      </c>
      <c r="H5" s="18">
        <v>2928.16</v>
      </c>
      <c r="I5" s="18">
        <v>-24.94</v>
      </c>
      <c r="J5" s="18">
        <v>0</v>
      </c>
      <c r="K5" s="18">
        <v>-24.94</v>
      </c>
      <c r="L5" s="18">
        <v>202.47</v>
      </c>
      <c r="M5" s="18">
        <v>26929</v>
      </c>
      <c r="N5" s="18">
        <v>192.35</v>
      </c>
      <c r="O5" s="18">
        <v>25582.55</v>
      </c>
      <c r="P5" s="18" t="s">
        <v>29</v>
      </c>
      <c r="Q5" s="18" t="s">
        <v>30</v>
      </c>
      <c r="R5" s="18" t="s">
        <v>31</v>
      </c>
      <c r="S5" s="18">
        <v>0</v>
      </c>
      <c r="T5" s="18">
        <v>0</v>
      </c>
      <c r="U5" s="18">
        <v>0</v>
      </c>
      <c r="V5" s="18" t="s">
        <v>32</v>
      </c>
      <c r="W5" s="18" t="s">
        <v>32</v>
      </c>
      <c r="X5" s="18" t="s">
        <v>32</v>
      </c>
      <c r="Y5" s="18" t="s">
        <v>32</v>
      </c>
      <c r="Z5" s="18" t="s">
        <v>32</v>
      </c>
      <c r="AA5" s="18" t="s">
        <v>32</v>
      </c>
    </row>
    <row r="6" s="18" customFormat="1" spans="1:27">
      <c r="A6" s="18" t="s">
        <v>27</v>
      </c>
      <c r="B6" s="18" t="s">
        <v>28</v>
      </c>
      <c r="C6" s="18">
        <v>22920322</v>
      </c>
      <c r="D6" s="17">
        <v>254140414468</v>
      </c>
      <c r="E6" s="20">
        <v>46160.3575925926</v>
      </c>
      <c r="F6" s="18">
        <v>1.5</v>
      </c>
      <c r="G6" s="18">
        <v>0</v>
      </c>
      <c r="H6" s="18">
        <v>1.5</v>
      </c>
      <c r="I6" s="18">
        <v>1.5</v>
      </c>
      <c r="J6" s="18">
        <v>0</v>
      </c>
      <c r="K6" s="18">
        <v>1.5</v>
      </c>
      <c r="L6" s="18">
        <v>326.09</v>
      </c>
      <c r="M6" s="18">
        <v>43370</v>
      </c>
      <c r="N6" s="18">
        <v>309.79</v>
      </c>
      <c r="O6" s="18">
        <v>41202.07</v>
      </c>
      <c r="P6" s="18" t="s">
        <v>29</v>
      </c>
      <c r="Q6" s="18" t="s">
        <v>30</v>
      </c>
      <c r="R6" s="18" t="s">
        <v>31</v>
      </c>
      <c r="S6" s="18">
        <v>0</v>
      </c>
      <c r="T6" s="18">
        <v>0</v>
      </c>
      <c r="U6" s="18">
        <v>0</v>
      </c>
      <c r="V6" s="18" t="s">
        <v>32</v>
      </c>
      <c r="W6" s="18" t="s">
        <v>32</v>
      </c>
      <c r="X6" s="18" t="s">
        <v>32</v>
      </c>
      <c r="Y6" s="18" t="s">
        <v>32</v>
      </c>
      <c r="Z6" s="18" t="s">
        <v>32</v>
      </c>
      <c r="AA6" s="18" t="s">
        <v>32</v>
      </c>
    </row>
    <row r="7" s="18" customFormat="1" spans="1:27">
      <c r="A7" s="18" t="s">
        <v>27</v>
      </c>
      <c r="B7" s="18" t="s">
        <v>28</v>
      </c>
      <c r="C7" s="18">
        <v>22818880</v>
      </c>
      <c r="D7" s="17">
        <v>254141464090</v>
      </c>
      <c r="E7" s="20">
        <v>46153.0606134259</v>
      </c>
      <c r="F7" s="18">
        <v>994.79</v>
      </c>
      <c r="G7" s="18">
        <v>0</v>
      </c>
      <c r="H7" s="18">
        <v>994.79</v>
      </c>
      <c r="I7" s="18">
        <v>14.96</v>
      </c>
      <c r="J7" s="18">
        <v>0</v>
      </c>
      <c r="K7" s="18">
        <v>14.96</v>
      </c>
      <c r="L7" s="18">
        <v>264.46</v>
      </c>
      <c r="M7" s="18">
        <v>35173</v>
      </c>
      <c r="N7" s="18">
        <v>251.24</v>
      </c>
      <c r="O7" s="18">
        <v>33414.92</v>
      </c>
      <c r="P7" s="18" t="s">
        <v>29</v>
      </c>
      <c r="Q7" s="18" t="s">
        <v>30</v>
      </c>
      <c r="R7" s="18" t="s">
        <v>31</v>
      </c>
      <c r="S7" s="18">
        <v>0</v>
      </c>
      <c r="T7" s="18">
        <v>0</v>
      </c>
      <c r="U7" s="18">
        <v>0</v>
      </c>
      <c r="V7" s="18" t="s">
        <v>32</v>
      </c>
      <c r="W7" s="18" t="s">
        <v>32</v>
      </c>
      <c r="X7" s="18" t="s">
        <v>32</v>
      </c>
      <c r="Y7" s="18" t="s">
        <v>32</v>
      </c>
      <c r="Z7" s="18" t="s">
        <v>32</v>
      </c>
      <c r="AA7" s="18" t="s">
        <v>32</v>
      </c>
    </row>
    <row r="8" s="18" customFormat="1" spans="1:27">
      <c r="A8" s="18" t="s">
        <v>27</v>
      </c>
      <c r="B8" s="18" t="s">
        <v>28</v>
      </c>
      <c r="C8" s="18">
        <v>11675230</v>
      </c>
      <c r="D8" s="17">
        <v>254700785323</v>
      </c>
      <c r="E8" s="20">
        <v>45273.4466782407</v>
      </c>
      <c r="F8" s="18">
        <v>177.2</v>
      </c>
      <c r="G8" s="18">
        <v>0</v>
      </c>
      <c r="H8" s="18">
        <v>177.2</v>
      </c>
      <c r="I8" s="18">
        <v>18.82</v>
      </c>
      <c r="J8" s="18">
        <v>0</v>
      </c>
      <c r="K8" s="18">
        <v>18.82</v>
      </c>
      <c r="L8" s="18">
        <v>74.11</v>
      </c>
      <c r="M8" s="18">
        <v>9856</v>
      </c>
      <c r="N8" s="18">
        <v>1.81</v>
      </c>
      <c r="O8" s="18">
        <v>240.73</v>
      </c>
      <c r="P8" s="18" t="s">
        <v>29</v>
      </c>
      <c r="Q8" s="18" t="s">
        <v>30</v>
      </c>
      <c r="R8" s="18" t="s">
        <v>31</v>
      </c>
      <c r="S8" s="18">
        <v>0</v>
      </c>
      <c r="T8" s="18">
        <v>0</v>
      </c>
      <c r="U8" s="18">
        <v>0</v>
      </c>
      <c r="V8" s="18" t="s">
        <v>32</v>
      </c>
      <c r="W8" s="18" t="s">
        <v>32</v>
      </c>
      <c r="X8" s="18" t="s">
        <v>32</v>
      </c>
      <c r="Y8" s="18" t="s">
        <v>32</v>
      </c>
      <c r="Z8" s="18" t="s">
        <v>32</v>
      </c>
      <c r="AA8" s="18" t="s">
        <v>32</v>
      </c>
    </row>
    <row r="9" s="18" customFormat="1" spans="1:27">
      <c r="A9" s="18" t="s">
        <v>27</v>
      </c>
      <c r="B9" s="18" t="s">
        <v>28</v>
      </c>
      <c r="C9" s="18">
        <v>12450521</v>
      </c>
      <c r="D9" s="17">
        <v>254703325859</v>
      </c>
      <c r="E9" s="20">
        <v>45361.0617361111</v>
      </c>
      <c r="F9" s="18">
        <v>971.38</v>
      </c>
      <c r="G9" s="18">
        <v>0</v>
      </c>
      <c r="H9" s="18">
        <v>971.38</v>
      </c>
      <c r="I9" s="18">
        <v>69.88</v>
      </c>
      <c r="J9" s="18">
        <v>0</v>
      </c>
      <c r="K9" s="18">
        <v>69.88</v>
      </c>
      <c r="L9" s="18">
        <v>89.4</v>
      </c>
      <c r="M9" s="18">
        <v>11890</v>
      </c>
      <c r="N9" s="18">
        <v>20.25</v>
      </c>
      <c r="O9" s="18">
        <v>2693.25</v>
      </c>
      <c r="P9" s="18" t="s">
        <v>29</v>
      </c>
      <c r="Q9" s="18" t="s">
        <v>30</v>
      </c>
      <c r="R9" s="18" t="s">
        <v>31</v>
      </c>
      <c r="S9" s="18">
        <v>0</v>
      </c>
      <c r="T9" s="18">
        <v>0</v>
      </c>
      <c r="U9" s="18">
        <v>0</v>
      </c>
      <c r="V9" s="18" t="s">
        <v>32</v>
      </c>
      <c r="W9" s="18" t="s">
        <v>32</v>
      </c>
      <c r="X9" s="18" t="s">
        <v>32</v>
      </c>
      <c r="Y9" s="18" t="s">
        <v>32</v>
      </c>
      <c r="Z9" s="18" t="s">
        <v>32</v>
      </c>
      <c r="AA9" s="18" t="s">
        <v>32</v>
      </c>
    </row>
    <row r="10" s="18" customFormat="1" spans="1:27">
      <c r="A10" s="18" t="s">
        <v>27</v>
      </c>
      <c r="B10" s="18" t="s">
        <v>28</v>
      </c>
      <c r="C10" s="18">
        <v>8093860</v>
      </c>
      <c r="D10" s="17">
        <v>254703581163</v>
      </c>
      <c r="E10" s="20">
        <v>44723.8184953704</v>
      </c>
      <c r="F10" s="18">
        <v>3944.05</v>
      </c>
      <c r="G10" s="18">
        <v>0.04</v>
      </c>
      <c r="H10" s="18">
        <v>3944.02</v>
      </c>
      <c r="I10" s="18">
        <v>214.33</v>
      </c>
      <c r="J10" s="18">
        <v>0.04</v>
      </c>
      <c r="K10" s="18">
        <v>214.29</v>
      </c>
      <c r="L10" s="18">
        <v>447.96</v>
      </c>
      <c r="M10" s="18">
        <v>59579</v>
      </c>
      <c r="N10" s="18">
        <v>0</v>
      </c>
      <c r="O10" s="18">
        <v>0</v>
      </c>
      <c r="P10" s="18" t="s">
        <v>34</v>
      </c>
      <c r="Q10" s="18" t="s">
        <v>30</v>
      </c>
      <c r="R10" s="18" t="s">
        <v>31</v>
      </c>
      <c r="S10" s="18">
        <v>0</v>
      </c>
      <c r="T10" s="18">
        <v>0</v>
      </c>
      <c r="U10" s="18">
        <v>0</v>
      </c>
      <c r="V10" s="18" t="s">
        <v>32</v>
      </c>
      <c r="W10" s="18" t="s">
        <v>32</v>
      </c>
      <c r="X10" s="18" t="s">
        <v>32</v>
      </c>
      <c r="Y10" s="18" t="s">
        <v>32</v>
      </c>
      <c r="Z10" s="18" t="s">
        <v>32</v>
      </c>
      <c r="AA10" s="18" t="s">
        <v>32</v>
      </c>
    </row>
    <row r="11" s="18" customFormat="1" spans="1:27">
      <c r="A11" s="18" t="s">
        <v>27</v>
      </c>
      <c r="B11" s="18" t="s">
        <v>28</v>
      </c>
      <c r="C11" s="18">
        <v>21941060</v>
      </c>
      <c r="D11" s="17">
        <v>254707025433</v>
      </c>
      <c r="E11" s="20">
        <v>46098.5500810185</v>
      </c>
      <c r="F11" s="18">
        <v>880.3</v>
      </c>
      <c r="G11" s="18">
        <v>0</v>
      </c>
      <c r="H11" s="18">
        <v>880.3</v>
      </c>
      <c r="I11" s="18">
        <v>12.97</v>
      </c>
      <c r="J11" s="18">
        <v>0</v>
      </c>
      <c r="K11" s="18">
        <v>12.97</v>
      </c>
      <c r="L11" s="18">
        <v>51.09</v>
      </c>
      <c r="M11" s="18">
        <v>6795</v>
      </c>
      <c r="N11" s="18">
        <v>97.07</v>
      </c>
      <c r="O11" s="18">
        <v>12910.31</v>
      </c>
      <c r="P11" s="18" t="s">
        <v>29</v>
      </c>
      <c r="Q11" s="18" t="s">
        <v>30</v>
      </c>
      <c r="R11" s="18" t="s">
        <v>31</v>
      </c>
      <c r="S11" s="18">
        <v>0</v>
      </c>
      <c r="T11" s="18">
        <v>0</v>
      </c>
      <c r="U11" s="18">
        <v>0</v>
      </c>
      <c r="V11" s="18" t="s">
        <v>32</v>
      </c>
      <c r="W11" s="18" t="s">
        <v>32</v>
      </c>
      <c r="X11" s="18" t="s">
        <v>32</v>
      </c>
      <c r="Y11" s="18" t="s">
        <v>32</v>
      </c>
      <c r="Z11" s="18" t="s">
        <v>32</v>
      </c>
      <c r="AA11" s="18" t="s">
        <v>32</v>
      </c>
    </row>
    <row r="12" s="18" customFormat="1" spans="1:27">
      <c r="A12" s="18" t="s">
        <v>27</v>
      </c>
      <c r="B12" s="18" t="s">
        <v>28</v>
      </c>
      <c r="C12" s="18">
        <v>3021851</v>
      </c>
      <c r="D12" s="17">
        <v>254707829195</v>
      </c>
      <c r="E12" s="20">
        <v>44132.5841550926</v>
      </c>
      <c r="F12" s="18">
        <v>1139.86</v>
      </c>
      <c r="G12" s="18">
        <v>0.76</v>
      </c>
      <c r="H12" s="18">
        <v>1139.1</v>
      </c>
      <c r="I12" s="18">
        <v>130.88</v>
      </c>
      <c r="J12" s="18">
        <v>0.5</v>
      </c>
      <c r="K12" s="18">
        <v>131.13</v>
      </c>
      <c r="L12" s="18">
        <v>342.45</v>
      </c>
      <c r="M12" s="18">
        <v>45546</v>
      </c>
      <c r="N12" s="18">
        <v>28.07</v>
      </c>
      <c r="O12" s="18">
        <v>3733.31</v>
      </c>
      <c r="P12" s="18" t="s">
        <v>34</v>
      </c>
      <c r="Q12" s="18" t="s">
        <v>30</v>
      </c>
      <c r="R12" s="18" t="s">
        <v>31</v>
      </c>
      <c r="S12" s="18">
        <v>0</v>
      </c>
      <c r="T12" s="18">
        <v>0</v>
      </c>
      <c r="U12" s="18">
        <v>0</v>
      </c>
      <c r="V12" s="18" t="s">
        <v>32</v>
      </c>
      <c r="W12" s="18" t="s">
        <v>32</v>
      </c>
      <c r="X12" s="18" t="s">
        <v>32</v>
      </c>
      <c r="Y12" s="18" t="s">
        <v>32</v>
      </c>
      <c r="Z12" s="18" t="s">
        <v>32</v>
      </c>
      <c r="AA12" s="18" t="s">
        <v>32</v>
      </c>
    </row>
    <row r="13" s="18" customFormat="1" spans="1:27">
      <c r="A13" s="18" t="s">
        <v>27</v>
      </c>
      <c r="B13" s="18" t="s">
        <v>28</v>
      </c>
      <c r="C13" s="18">
        <v>15251970</v>
      </c>
      <c r="D13" s="17">
        <v>254710659278</v>
      </c>
      <c r="E13" s="20">
        <v>45657.3490856482</v>
      </c>
      <c r="F13" s="18">
        <v>565.21</v>
      </c>
      <c r="G13" s="18">
        <v>0.9</v>
      </c>
      <c r="H13" s="18">
        <v>563.18</v>
      </c>
      <c r="I13" s="18">
        <v>73.49</v>
      </c>
      <c r="J13" s="18">
        <v>0.9</v>
      </c>
      <c r="K13" s="18">
        <v>72.59</v>
      </c>
      <c r="L13" s="18">
        <v>86.1</v>
      </c>
      <c r="M13" s="18">
        <v>11451</v>
      </c>
      <c r="N13" s="18">
        <v>68.71</v>
      </c>
      <c r="O13" s="18">
        <v>9138.43</v>
      </c>
      <c r="P13" s="18" t="s">
        <v>34</v>
      </c>
      <c r="Q13" s="18" t="s">
        <v>30</v>
      </c>
      <c r="R13" s="18" t="s">
        <v>31</v>
      </c>
      <c r="S13" s="18">
        <v>0</v>
      </c>
      <c r="T13" s="18">
        <v>0</v>
      </c>
      <c r="U13" s="18">
        <v>0</v>
      </c>
      <c r="V13" s="18" t="s">
        <v>32</v>
      </c>
      <c r="W13" s="18" t="s">
        <v>32</v>
      </c>
      <c r="X13" s="18" t="s">
        <v>32</v>
      </c>
      <c r="Y13" s="18" t="s">
        <v>32</v>
      </c>
      <c r="Z13" s="18" t="s">
        <v>32</v>
      </c>
      <c r="AA13" s="18" t="s">
        <v>32</v>
      </c>
    </row>
    <row r="14" s="18" customFormat="1" spans="1:27">
      <c r="A14" s="18" t="s">
        <v>27</v>
      </c>
      <c r="B14" s="18" t="s">
        <v>28</v>
      </c>
      <c r="C14" s="18">
        <v>17453882</v>
      </c>
      <c r="D14" s="17">
        <v>254712366285</v>
      </c>
      <c r="E14" s="20">
        <v>45856.3438773148</v>
      </c>
      <c r="F14" s="18">
        <v>23141.11</v>
      </c>
      <c r="G14" s="18">
        <v>0</v>
      </c>
      <c r="H14" s="18">
        <v>23141.11</v>
      </c>
      <c r="I14" s="18">
        <v>301.26</v>
      </c>
      <c r="J14" s="18">
        <v>0</v>
      </c>
      <c r="K14" s="18">
        <v>301.26</v>
      </c>
      <c r="L14" s="18">
        <v>3194.11</v>
      </c>
      <c r="M14" s="18">
        <v>424817</v>
      </c>
      <c r="N14" s="18">
        <v>241.43</v>
      </c>
      <c r="O14" s="18">
        <v>32110.19</v>
      </c>
      <c r="P14" s="18" t="s">
        <v>29</v>
      </c>
      <c r="Q14" s="18" t="s">
        <v>33</v>
      </c>
      <c r="R14" s="18" t="s">
        <v>31</v>
      </c>
      <c r="S14" s="18">
        <v>0</v>
      </c>
      <c r="T14" s="18">
        <v>0</v>
      </c>
      <c r="U14" s="18">
        <v>0</v>
      </c>
      <c r="V14" s="18" t="s">
        <v>32</v>
      </c>
      <c r="W14" s="18" t="s">
        <v>32</v>
      </c>
      <c r="X14" s="18" t="s">
        <v>32</v>
      </c>
      <c r="Y14" s="18" t="s">
        <v>32</v>
      </c>
      <c r="Z14" s="18" t="s">
        <v>32</v>
      </c>
      <c r="AA14" s="18" t="s">
        <v>32</v>
      </c>
    </row>
    <row r="15" s="18" customFormat="1" spans="1:27">
      <c r="A15" s="18" t="s">
        <v>27</v>
      </c>
      <c r="B15" s="18" t="s">
        <v>28</v>
      </c>
      <c r="C15" s="18">
        <v>19874242</v>
      </c>
      <c r="D15" s="17">
        <v>254712666371</v>
      </c>
      <c r="E15" s="20">
        <v>45994.9310648148</v>
      </c>
      <c r="F15" s="18">
        <v>435.15</v>
      </c>
      <c r="G15" s="18">
        <v>0</v>
      </c>
      <c r="H15" s="18">
        <v>435.15</v>
      </c>
      <c r="I15" s="18">
        <v>18.06</v>
      </c>
      <c r="J15" s="18">
        <v>0</v>
      </c>
      <c r="K15" s="18">
        <v>18.06</v>
      </c>
      <c r="L15" s="18">
        <v>149.07</v>
      </c>
      <c r="M15" s="18">
        <v>19826</v>
      </c>
      <c r="N15" s="18">
        <v>53.29</v>
      </c>
      <c r="O15" s="18">
        <v>7087.57</v>
      </c>
      <c r="P15" s="18" t="s">
        <v>29</v>
      </c>
      <c r="Q15" s="18" t="s">
        <v>30</v>
      </c>
      <c r="R15" s="18" t="s">
        <v>31</v>
      </c>
      <c r="S15" s="18">
        <v>0</v>
      </c>
      <c r="T15" s="18">
        <v>0</v>
      </c>
      <c r="U15" s="18">
        <v>0</v>
      </c>
      <c r="V15" s="18" t="s">
        <v>32</v>
      </c>
      <c r="W15" s="18" t="s">
        <v>32</v>
      </c>
      <c r="X15" s="18" t="s">
        <v>32</v>
      </c>
      <c r="Y15" s="18" t="s">
        <v>32</v>
      </c>
      <c r="Z15" s="18" t="s">
        <v>32</v>
      </c>
      <c r="AA15" s="18" t="s">
        <v>32</v>
      </c>
    </row>
    <row r="16" s="18" customFormat="1" spans="1:27">
      <c r="A16" s="18" t="s">
        <v>27</v>
      </c>
      <c r="B16" s="18" t="s">
        <v>28</v>
      </c>
      <c r="C16" s="18">
        <v>17833170</v>
      </c>
      <c r="D16" s="17">
        <v>254712671248</v>
      </c>
      <c r="E16" s="20">
        <v>45877.6059027778</v>
      </c>
      <c r="F16" s="18">
        <v>291.34</v>
      </c>
      <c r="G16" s="18">
        <v>0.21</v>
      </c>
      <c r="H16" s="18">
        <v>291.13</v>
      </c>
      <c r="I16" s="18">
        <v>123.02</v>
      </c>
      <c r="J16" s="18">
        <v>0.21</v>
      </c>
      <c r="K16" s="18">
        <v>122.8</v>
      </c>
      <c r="L16" s="18">
        <v>129.55</v>
      </c>
      <c r="M16" s="18">
        <v>17230</v>
      </c>
      <c r="N16" s="18">
        <v>123.07</v>
      </c>
      <c r="O16" s="18">
        <v>16368.31</v>
      </c>
      <c r="P16" s="18" t="s">
        <v>29</v>
      </c>
      <c r="Q16" s="18" t="s">
        <v>30</v>
      </c>
      <c r="R16" s="18" t="s">
        <v>31</v>
      </c>
      <c r="S16" s="18">
        <v>0</v>
      </c>
      <c r="T16" s="18">
        <v>0</v>
      </c>
      <c r="U16" s="18">
        <v>0</v>
      </c>
      <c r="V16" s="18" t="s">
        <v>32</v>
      </c>
      <c r="W16" s="18" t="s">
        <v>32</v>
      </c>
      <c r="X16" s="18" t="s">
        <v>32</v>
      </c>
      <c r="Y16" s="18" t="s">
        <v>32</v>
      </c>
      <c r="Z16" s="18" t="s">
        <v>32</v>
      </c>
      <c r="AA16" s="18" t="s">
        <v>32</v>
      </c>
    </row>
    <row r="17" s="18" customFormat="1" spans="1:27">
      <c r="A17" s="18" t="s">
        <v>27</v>
      </c>
      <c r="B17" s="18" t="s">
        <v>28</v>
      </c>
      <c r="C17" s="18">
        <v>19698011</v>
      </c>
      <c r="D17" s="17">
        <v>254712905066</v>
      </c>
      <c r="E17" s="20">
        <v>45986.4950462963</v>
      </c>
      <c r="F17" s="18">
        <v>837.89</v>
      </c>
      <c r="G17" s="18">
        <v>0.08</v>
      </c>
      <c r="H17" s="18">
        <v>837.82</v>
      </c>
      <c r="I17" s="18">
        <v>12.43</v>
      </c>
      <c r="J17" s="18">
        <v>0.08</v>
      </c>
      <c r="K17" s="18">
        <v>12.35</v>
      </c>
      <c r="L17" s="18">
        <v>120.07</v>
      </c>
      <c r="M17" s="18">
        <v>15969</v>
      </c>
      <c r="N17" s="18">
        <v>92.32</v>
      </c>
      <c r="O17" s="18">
        <v>12278.56</v>
      </c>
      <c r="P17" s="18" t="s">
        <v>29</v>
      </c>
      <c r="Q17" s="18" t="s">
        <v>30</v>
      </c>
      <c r="R17" s="18" t="s">
        <v>31</v>
      </c>
      <c r="S17" s="18">
        <v>0</v>
      </c>
      <c r="T17" s="18">
        <v>0</v>
      </c>
      <c r="U17" s="18">
        <v>0</v>
      </c>
      <c r="V17" s="18" t="s">
        <v>32</v>
      </c>
      <c r="W17" s="18" t="s">
        <v>32</v>
      </c>
      <c r="X17" s="18" t="s">
        <v>32</v>
      </c>
      <c r="Y17" s="18" t="s">
        <v>32</v>
      </c>
      <c r="Z17" s="18" t="s">
        <v>32</v>
      </c>
      <c r="AA17" s="18" t="s">
        <v>32</v>
      </c>
    </row>
    <row r="18" s="18" customFormat="1" spans="1:27">
      <c r="A18" s="18" t="s">
        <v>27</v>
      </c>
      <c r="B18" s="18" t="s">
        <v>28</v>
      </c>
      <c r="C18" s="18">
        <v>12692550</v>
      </c>
      <c r="D18" s="17">
        <v>254713120430</v>
      </c>
      <c r="E18" s="20">
        <v>45393.9566550926</v>
      </c>
      <c r="F18" s="18">
        <v>3153.75</v>
      </c>
      <c r="G18" s="18">
        <v>0</v>
      </c>
      <c r="H18" s="18">
        <v>3153.75</v>
      </c>
      <c r="I18" s="18">
        <v>54.56</v>
      </c>
      <c r="J18" s="18">
        <v>0</v>
      </c>
      <c r="K18" s="18">
        <v>54.56</v>
      </c>
      <c r="L18" s="18">
        <v>239.91</v>
      </c>
      <c r="M18" s="18">
        <v>31908</v>
      </c>
      <c r="N18" s="18">
        <v>147.14</v>
      </c>
      <c r="O18" s="18">
        <v>19569.62</v>
      </c>
      <c r="P18" s="18" t="s">
        <v>34</v>
      </c>
      <c r="Q18" s="18" t="s">
        <v>30</v>
      </c>
      <c r="R18" s="18" t="s">
        <v>31</v>
      </c>
      <c r="S18" s="18">
        <v>0</v>
      </c>
      <c r="T18" s="18">
        <v>0</v>
      </c>
      <c r="U18" s="18">
        <v>0</v>
      </c>
      <c r="V18" s="18" t="s">
        <v>32</v>
      </c>
      <c r="W18" s="18" t="s">
        <v>32</v>
      </c>
      <c r="X18" s="18" t="s">
        <v>32</v>
      </c>
      <c r="Y18" s="18" t="s">
        <v>32</v>
      </c>
      <c r="Z18" s="18" t="s">
        <v>32</v>
      </c>
      <c r="AA18" s="18" t="s">
        <v>32</v>
      </c>
    </row>
    <row r="19" s="18" customFormat="1" spans="1:27">
      <c r="A19" s="18" t="s">
        <v>27</v>
      </c>
      <c r="B19" s="18" t="s">
        <v>28</v>
      </c>
      <c r="C19" s="18">
        <v>15886930</v>
      </c>
      <c r="D19" s="17">
        <v>254713873683</v>
      </c>
      <c r="E19" s="20">
        <v>45708.8230324074</v>
      </c>
      <c r="F19" s="18">
        <v>672.91</v>
      </c>
      <c r="G19" s="18">
        <v>0</v>
      </c>
      <c r="H19" s="18">
        <v>672.91</v>
      </c>
      <c r="I19" s="18">
        <v>57.89</v>
      </c>
      <c r="J19" s="18">
        <v>0</v>
      </c>
      <c r="K19" s="18">
        <v>57.89</v>
      </c>
      <c r="L19" s="18">
        <v>199.17</v>
      </c>
      <c r="M19" s="18">
        <v>26490</v>
      </c>
      <c r="N19" s="18">
        <v>187.57</v>
      </c>
      <c r="O19" s="18">
        <v>24946.81</v>
      </c>
      <c r="P19" s="18" t="s">
        <v>29</v>
      </c>
      <c r="Q19" s="18" t="s">
        <v>30</v>
      </c>
      <c r="R19" s="18" t="s">
        <v>31</v>
      </c>
      <c r="S19" s="18">
        <v>0</v>
      </c>
      <c r="T19" s="18">
        <v>0</v>
      </c>
      <c r="U19" s="18">
        <v>0</v>
      </c>
      <c r="V19" s="18" t="s">
        <v>32</v>
      </c>
      <c r="W19" s="18" t="s">
        <v>32</v>
      </c>
      <c r="X19" s="18" t="s">
        <v>32</v>
      </c>
      <c r="Y19" s="18" t="s">
        <v>32</v>
      </c>
      <c r="Z19" s="18" t="s">
        <v>32</v>
      </c>
      <c r="AA19" s="18" t="s">
        <v>32</v>
      </c>
    </row>
    <row r="20" s="18" customFormat="1" spans="1:27">
      <c r="A20" s="18" t="s">
        <v>27</v>
      </c>
      <c r="B20" s="18" t="s">
        <v>28</v>
      </c>
      <c r="C20" s="18">
        <v>19869210</v>
      </c>
      <c r="D20" s="17">
        <v>254714511213</v>
      </c>
      <c r="E20" s="20">
        <v>45994.7013541667</v>
      </c>
      <c r="F20" s="18">
        <v>504.21</v>
      </c>
      <c r="G20" s="18">
        <v>0</v>
      </c>
      <c r="H20" s="18">
        <v>504.21</v>
      </c>
      <c r="I20" s="18">
        <v>47.71</v>
      </c>
      <c r="J20" s="18">
        <v>0</v>
      </c>
      <c r="K20" s="18">
        <v>47.71</v>
      </c>
      <c r="L20" s="18">
        <v>62.23</v>
      </c>
      <c r="M20" s="18">
        <v>8276</v>
      </c>
      <c r="N20" s="18">
        <v>1.82</v>
      </c>
      <c r="O20" s="18">
        <v>242.06</v>
      </c>
      <c r="P20" s="18" t="s">
        <v>29</v>
      </c>
      <c r="Q20" s="18" t="s">
        <v>30</v>
      </c>
      <c r="R20" s="18" t="s">
        <v>31</v>
      </c>
      <c r="S20" s="18">
        <v>0</v>
      </c>
      <c r="T20" s="18">
        <v>0</v>
      </c>
      <c r="U20" s="18">
        <v>0</v>
      </c>
      <c r="V20" s="18" t="s">
        <v>32</v>
      </c>
      <c r="W20" s="18" t="s">
        <v>32</v>
      </c>
      <c r="X20" s="18" t="s">
        <v>32</v>
      </c>
      <c r="Y20" s="18" t="s">
        <v>32</v>
      </c>
      <c r="Z20" s="18" t="s">
        <v>32</v>
      </c>
      <c r="AA20" s="18" t="s">
        <v>32</v>
      </c>
    </row>
    <row r="21" s="18" customFormat="1" spans="1:27">
      <c r="A21" s="18" t="s">
        <v>27</v>
      </c>
      <c r="B21" s="18" t="s">
        <v>28</v>
      </c>
      <c r="C21" s="18">
        <v>814580</v>
      </c>
      <c r="D21" s="17">
        <v>254715397260</v>
      </c>
      <c r="E21" s="20">
        <v>43965.4252893518</v>
      </c>
      <c r="F21" s="18">
        <v>371.83</v>
      </c>
      <c r="G21" s="18">
        <v>0.11</v>
      </c>
      <c r="H21" s="18">
        <v>371.73</v>
      </c>
      <c r="I21" s="18">
        <v>-5.76</v>
      </c>
      <c r="J21" s="18">
        <v>0.11</v>
      </c>
      <c r="K21" s="18">
        <v>-5.86</v>
      </c>
      <c r="L21" s="18">
        <v>68.38</v>
      </c>
      <c r="M21" s="18">
        <v>9095</v>
      </c>
      <c r="N21" s="18">
        <v>33.57</v>
      </c>
      <c r="O21" s="18">
        <v>4464.81</v>
      </c>
      <c r="P21" s="18" t="s">
        <v>34</v>
      </c>
      <c r="Q21" s="18" t="s">
        <v>30</v>
      </c>
      <c r="R21" s="18" t="s">
        <v>31</v>
      </c>
      <c r="S21" s="18">
        <v>0</v>
      </c>
      <c r="T21" s="18">
        <v>0</v>
      </c>
      <c r="U21" s="18">
        <v>0</v>
      </c>
      <c r="V21" s="18" t="s">
        <v>32</v>
      </c>
      <c r="W21" s="18" t="s">
        <v>32</v>
      </c>
      <c r="X21" s="18" t="s">
        <v>32</v>
      </c>
      <c r="Y21" s="18" t="s">
        <v>32</v>
      </c>
      <c r="Z21" s="18" t="s">
        <v>32</v>
      </c>
      <c r="AA21" s="18" t="s">
        <v>32</v>
      </c>
    </row>
    <row r="22" s="18" customFormat="1" spans="1:27">
      <c r="A22" s="18" t="s">
        <v>27</v>
      </c>
      <c r="B22" s="18" t="s">
        <v>28</v>
      </c>
      <c r="C22" s="18">
        <v>13167920</v>
      </c>
      <c r="D22" s="17">
        <v>254715925936</v>
      </c>
      <c r="E22" s="20">
        <v>45458.2608449074</v>
      </c>
      <c r="F22" s="18">
        <v>11071.71</v>
      </c>
      <c r="G22" s="18">
        <v>0.02</v>
      </c>
      <c r="H22" s="18">
        <v>11071.69</v>
      </c>
      <c r="I22" s="18">
        <v>354.56</v>
      </c>
      <c r="J22" s="18">
        <v>0.02</v>
      </c>
      <c r="K22" s="18">
        <v>354.55</v>
      </c>
      <c r="L22" s="18">
        <v>3065.35</v>
      </c>
      <c r="M22" s="18">
        <v>407691</v>
      </c>
      <c r="N22" s="18">
        <v>1356.01</v>
      </c>
      <c r="O22" s="18">
        <v>180349.33</v>
      </c>
      <c r="P22" s="18" t="s">
        <v>29</v>
      </c>
      <c r="Q22" s="18" t="s">
        <v>33</v>
      </c>
      <c r="R22" s="18" t="s">
        <v>31</v>
      </c>
      <c r="S22" s="18">
        <v>0</v>
      </c>
      <c r="T22" s="18">
        <v>0</v>
      </c>
      <c r="U22" s="18">
        <v>0</v>
      </c>
      <c r="V22" s="18" t="s">
        <v>32</v>
      </c>
      <c r="W22" s="18" t="s">
        <v>32</v>
      </c>
      <c r="X22" s="18" t="s">
        <v>32</v>
      </c>
      <c r="Y22" s="18" t="s">
        <v>32</v>
      </c>
      <c r="Z22" s="18" t="s">
        <v>32</v>
      </c>
      <c r="AA22" s="18" t="s">
        <v>32</v>
      </c>
    </row>
    <row r="23" s="18" customFormat="1" spans="1:27">
      <c r="A23" s="18" t="s">
        <v>27</v>
      </c>
      <c r="B23" s="18" t="s">
        <v>28</v>
      </c>
      <c r="C23" s="18">
        <v>2519690</v>
      </c>
      <c r="D23" s="17">
        <v>254717058847</v>
      </c>
      <c r="E23" s="20">
        <v>44090.3333796296</v>
      </c>
      <c r="F23" s="18">
        <v>800.03</v>
      </c>
      <c r="G23" s="18">
        <v>0</v>
      </c>
      <c r="H23" s="18">
        <v>800.03</v>
      </c>
      <c r="I23" s="18">
        <v>0.68</v>
      </c>
      <c r="J23" s="18">
        <v>0</v>
      </c>
      <c r="K23" s="18">
        <v>0.68</v>
      </c>
      <c r="L23" s="18">
        <v>93.92</v>
      </c>
      <c r="M23" s="18">
        <v>12491</v>
      </c>
      <c r="N23" s="18">
        <v>89.22</v>
      </c>
      <c r="O23" s="18">
        <v>11866.26</v>
      </c>
      <c r="P23" s="18" t="s">
        <v>34</v>
      </c>
      <c r="Q23" s="18" t="s">
        <v>30</v>
      </c>
      <c r="R23" s="18" t="s">
        <v>31</v>
      </c>
      <c r="S23" s="18">
        <v>0</v>
      </c>
      <c r="T23" s="18">
        <v>0</v>
      </c>
      <c r="U23" s="18">
        <v>0</v>
      </c>
      <c r="V23" s="18" t="s">
        <v>32</v>
      </c>
      <c r="W23" s="18" t="s">
        <v>32</v>
      </c>
      <c r="X23" s="18" t="s">
        <v>32</v>
      </c>
      <c r="Y23" s="18" t="s">
        <v>32</v>
      </c>
      <c r="Z23" s="18" t="s">
        <v>32</v>
      </c>
      <c r="AA23" s="18" t="s">
        <v>32</v>
      </c>
    </row>
    <row r="24" s="18" customFormat="1" spans="1:27">
      <c r="A24" s="18" t="s">
        <v>27</v>
      </c>
      <c r="B24" s="18" t="s">
        <v>28</v>
      </c>
      <c r="C24" s="18">
        <v>9293610</v>
      </c>
      <c r="D24" s="17">
        <v>254717489723</v>
      </c>
      <c r="E24" s="20">
        <v>44923.7166435185</v>
      </c>
      <c r="F24" s="18">
        <v>790.82</v>
      </c>
      <c r="G24" s="18">
        <v>0.31</v>
      </c>
      <c r="H24" s="18">
        <v>790.51</v>
      </c>
      <c r="I24" s="18">
        <v>-50.7</v>
      </c>
      <c r="J24" s="18">
        <v>0.31</v>
      </c>
      <c r="K24" s="18">
        <v>-51.01</v>
      </c>
      <c r="L24" s="18">
        <v>283.82</v>
      </c>
      <c r="M24" s="18">
        <v>37748</v>
      </c>
      <c r="N24" s="18">
        <v>49.99</v>
      </c>
      <c r="O24" s="18">
        <v>6648.67</v>
      </c>
      <c r="P24" s="18" t="s">
        <v>29</v>
      </c>
      <c r="Q24" s="18" t="s">
        <v>30</v>
      </c>
      <c r="R24" s="18" t="s">
        <v>31</v>
      </c>
      <c r="S24" s="18">
        <v>0</v>
      </c>
      <c r="T24" s="18">
        <v>0</v>
      </c>
      <c r="U24" s="18">
        <v>0</v>
      </c>
      <c r="V24" s="18" t="s">
        <v>32</v>
      </c>
      <c r="W24" s="18" t="s">
        <v>32</v>
      </c>
      <c r="X24" s="18" t="s">
        <v>32</v>
      </c>
      <c r="Y24" s="18" t="s">
        <v>32</v>
      </c>
      <c r="Z24" s="18" t="s">
        <v>32</v>
      </c>
      <c r="AA24" s="18" t="s">
        <v>32</v>
      </c>
    </row>
    <row r="25" s="18" customFormat="1" spans="1:27">
      <c r="A25" s="18" t="s">
        <v>27</v>
      </c>
      <c r="B25" s="18" t="s">
        <v>28</v>
      </c>
      <c r="C25" s="18">
        <v>22076041</v>
      </c>
      <c r="D25" s="17">
        <v>254718571705</v>
      </c>
      <c r="E25" s="20">
        <v>46106.3422106481</v>
      </c>
      <c r="F25" s="18">
        <v>5432.94</v>
      </c>
      <c r="G25" s="18">
        <v>0</v>
      </c>
      <c r="H25" s="18">
        <v>5432.94</v>
      </c>
      <c r="I25" s="18">
        <v>-22.58</v>
      </c>
      <c r="J25" s="18">
        <v>0</v>
      </c>
      <c r="K25" s="18">
        <v>-22.58</v>
      </c>
      <c r="L25" s="18">
        <v>385.34</v>
      </c>
      <c r="M25" s="18">
        <v>51250</v>
      </c>
      <c r="N25" s="18">
        <v>732.14</v>
      </c>
      <c r="O25" s="18">
        <v>97374.62</v>
      </c>
      <c r="P25" s="18" t="s">
        <v>29</v>
      </c>
      <c r="Q25" s="18" t="s">
        <v>30</v>
      </c>
      <c r="R25" s="18" t="s">
        <v>31</v>
      </c>
      <c r="S25" s="18">
        <v>0</v>
      </c>
      <c r="T25" s="18">
        <v>0</v>
      </c>
      <c r="U25" s="18">
        <v>0</v>
      </c>
      <c r="V25" s="18" t="s">
        <v>32</v>
      </c>
      <c r="W25" s="18" t="s">
        <v>32</v>
      </c>
      <c r="X25" s="18" t="s">
        <v>32</v>
      </c>
      <c r="Y25" s="18" t="s">
        <v>32</v>
      </c>
      <c r="Z25" s="18" t="s">
        <v>32</v>
      </c>
      <c r="AA25" s="18" t="s">
        <v>32</v>
      </c>
    </row>
    <row r="26" s="18" customFormat="1" spans="1:27">
      <c r="A26" s="18" t="s">
        <v>27</v>
      </c>
      <c r="B26" s="18" t="s">
        <v>28</v>
      </c>
      <c r="C26" s="18">
        <v>86150</v>
      </c>
      <c r="D26" s="17">
        <v>254718873432</v>
      </c>
      <c r="E26" s="20">
        <v>43869.4140509259</v>
      </c>
      <c r="F26" s="18">
        <v>201439.51</v>
      </c>
      <c r="G26" s="18">
        <v>57.16</v>
      </c>
      <c r="H26" s="18">
        <v>201382.35</v>
      </c>
      <c r="I26" s="18">
        <v>2408.51</v>
      </c>
      <c r="J26" s="18">
        <v>14.91</v>
      </c>
      <c r="K26" s="18">
        <v>2393.59</v>
      </c>
      <c r="L26" s="18">
        <v>35000.12</v>
      </c>
      <c r="M26" s="18">
        <v>4655016</v>
      </c>
      <c r="N26" s="18">
        <v>2453.74</v>
      </c>
      <c r="O26" s="18">
        <v>326347.42</v>
      </c>
      <c r="P26" s="18" t="s">
        <v>34</v>
      </c>
      <c r="Q26" s="18" t="s">
        <v>33</v>
      </c>
      <c r="R26" s="18" t="s">
        <v>31</v>
      </c>
      <c r="S26" s="18">
        <v>0</v>
      </c>
      <c r="T26" s="18">
        <v>0</v>
      </c>
      <c r="U26" s="18">
        <v>1</v>
      </c>
      <c r="V26" s="18">
        <v>1</v>
      </c>
      <c r="W26" s="18" t="s">
        <v>32</v>
      </c>
      <c r="X26" s="18" t="s">
        <v>32</v>
      </c>
      <c r="Y26" s="18" t="s">
        <v>32</v>
      </c>
      <c r="Z26" s="18" t="s">
        <v>32</v>
      </c>
      <c r="AA26" s="18" t="s">
        <v>32</v>
      </c>
    </row>
    <row r="27" s="18" customFormat="1" spans="1:27">
      <c r="A27" s="18" t="s">
        <v>27</v>
      </c>
      <c r="B27" s="18" t="s">
        <v>28</v>
      </c>
      <c r="C27" s="18">
        <v>433962</v>
      </c>
      <c r="D27" s="17">
        <v>254719211217</v>
      </c>
      <c r="E27" s="20">
        <v>43919.4321064815</v>
      </c>
      <c r="F27" s="18">
        <v>269.4</v>
      </c>
      <c r="G27" s="18">
        <v>0.01</v>
      </c>
      <c r="H27" s="18">
        <v>269.39</v>
      </c>
      <c r="I27" s="18">
        <v>48.57</v>
      </c>
      <c r="J27" s="18">
        <v>0.01</v>
      </c>
      <c r="K27" s="18">
        <v>48.57</v>
      </c>
      <c r="L27" s="18">
        <v>102.66</v>
      </c>
      <c r="M27" s="18">
        <v>13654</v>
      </c>
      <c r="N27" s="18">
        <v>0</v>
      </c>
      <c r="O27" s="18">
        <v>0</v>
      </c>
      <c r="P27" s="18" t="s">
        <v>34</v>
      </c>
      <c r="Q27" s="18" t="s">
        <v>30</v>
      </c>
      <c r="R27" s="18" t="s">
        <v>31</v>
      </c>
      <c r="S27" s="18">
        <v>0</v>
      </c>
      <c r="T27" s="18">
        <v>0</v>
      </c>
      <c r="U27" s="18">
        <v>0</v>
      </c>
      <c r="V27" s="18" t="s">
        <v>32</v>
      </c>
      <c r="W27" s="18" t="s">
        <v>32</v>
      </c>
      <c r="X27" s="18" t="s">
        <v>32</v>
      </c>
      <c r="Y27" s="18" t="s">
        <v>32</v>
      </c>
      <c r="Z27" s="18" t="s">
        <v>32</v>
      </c>
      <c r="AA27" s="18" t="s">
        <v>32</v>
      </c>
    </row>
    <row r="28" s="18" customFormat="1" spans="1:27">
      <c r="A28" s="18" t="s">
        <v>27</v>
      </c>
      <c r="B28" s="18" t="s">
        <v>28</v>
      </c>
      <c r="C28" s="18">
        <v>7890230</v>
      </c>
      <c r="D28" s="17">
        <v>254722484393</v>
      </c>
      <c r="E28" s="20">
        <v>44685.7315856482</v>
      </c>
      <c r="F28" s="18">
        <v>277.17</v>
      </c>
      <c r="G28" s="18">
        <v>19.62</v>
      </c>
      <c r="H28" s="18">
        <v>257.55</v>
      </c>
      <c r="I28" s="18">
        <v>-13.89</v>
      </c>
      <c r="J28" s="18">
        <v>-18.98</v>
      </c>
      <c r="K28" s="18">
        <v>5.85</v>
      </c>
      <c r="L28" s="18">
        <v>58.29</v>
      </c>
      <c r="M28" s="18">
        <v>7752</v>
      </c>
      <c r="N28" s="18">
        <v>44.66</v>
      </c>
      <c r="O28" s="18">
        <v>5939.78</v>
      </c>
      <c r="P28" s="18" t="s">
        <v>29</v>
      </c>
      <c r="Q28" s="18" t="s">
        <v>30</v>
      </c>
      <c r="R28" s="18" t="s">
        <v>31</v>
      </c>
      <c r="S28" s="18">
        <v>0</v>
      </c>
      <c r="T28" s="18">
        <v>0</v>
      </c>
      <c r="U28" s="18">
        <v>0</v>
      </c>
      <c r="V28" s="18" t="s">
        <v>32</v>
      </c>
      <c r="W28" s="18" t="s">
        <v>32</v>
      </c>
      <c r="X28" s="18" t="s">
        <v>32</v>
      </c>
      <c r="Y28" s="18" t="s">
        <v>32</v>
      </c>
      <c r="Z28" s="18" t="s">
        <v>32</v>
      </c>
      <c r="AA28" s="18" t="s">
        <v>32</v>
      </c>
    </row>
    <row r="29" s="18" customFormat="1" spans="1:27">
      <c r="A29" s="18" t="s">
        <v>27</v>
      </c>
      <c r="B29" s="18" t="s">
        <v>28</v>
      </c>
      <c r="C29" s="18">
        <v>8075822</v>
      </c>
      <c r="D29" s="17">
        <v>254722520329</v>
      </c>
      <c r="E29" s="20">
        <v>44720.3089699074</v>
      </c>
      <c r="F29" s="18">
        <v>7478.73</v>
      </c>
      <c r="G29" s="18">
        <v>87.22</v>
      </c>
      <c r="H29" s="18">
        <v>7391.51</v>
      </c>
      <c r="I29" s="18">
        <v>268.24</v>
      </c>
      <c r="J29" s="18">
        <v>77.78</v>
      </c>
      <c r="K29" s="18">
        <v>190.46</v>
      </c>
      <c r="L29" s="18">
        <v>451.68</v>
      </c>
      <c r="M29" s="18">
        <v>60074</v>
      </c>
      <c r="N29" s="18">
        <v>0</v>
      </c>
      <c r="O29" s="18">
        <v>0</v>
      </c>
      <c r="P29" s="18" t="s">
        <v>34</v>
      </c>
      <c r="Q29" s="18" t="s">
        <v>30</v>
      </c>
      <c r="R29" s="18" t="s">
        <v>31</v>
      </c>
      <c r="S29" s="18">
        <v>0</v>
      </c>
      <c r="T29" s="18">
        <v>0</v>
      </c>
      <c r="U29" s="18">
        <v>0</v>
      </c>
      <c r="V29" s="18" t="s">
        <v>32</v>
      </c>
      <c r="W29" s="18" t="s">
        <v>32</v>
      </c>
      <c r="X29" s="18" t="s">
        <v>32</v>
      </c>
      <c r="Y29" s="18" t="s">
        <v>32</v>
      </c>
      <c r="Z29" s="18" t="s">
        <v>32</v>
      </c>
      <c r="AA29" s="18" t="s">
        <v>32</v>
      </c>
    </row>
    <row r="30" s="18" customFormat="1" spans="1:27">
      <c r="A30" s="18" t="s">
        <v>27</v>
      </c>
      <c r="B30" s="18" t="s">
        <v>28</v>
      </c>
      <c r="C30" s="18">
        <v>13831930</v>
      </c>
      <c r="D30" s="17">
        <v>254722896574</v>
      </c>
      <c r="E30" s="20">
        <v>45560.7065740741</v>
      </c>
      <c r="F30" s="18">
        <v>1438.72</v>
      </c>
      <c r="G30" s="18">
        <v>0</v>
      </c>
      <c r="H30" s="18">
        <v>1438.72</v>
      </c>
      <c r="I30" s="18">
        <v>239.77</v>
      </c>
      <c r="J30" s="18">
        <v>0</v>
      </c>
      <c r="K30" s="18">
        <v>239.77</v>
      </c>
      <c r="L30" s="18">
        <v>371.12</v>
      </c>
      <c r="M30" s="18">
        <v>49359</v>
      </c>
      <c r="N30" s="18">
        <v>0</v>
      </c>
      <c r="O30" s="18">
        <v>0</v>
      </c>
      <c r="P30" s="18" t="s">
        <v>34</v>
      </c>
      <c r="Q30" s="18" t="s">
        <v>30</v>
      </c>
      <c r="R30" s="18" t="s">
        <v>31</v>
      </c>
      <c r="S30" s="18">
        <v>0</v>
      </c>
      <c r="T30" s="18">
        <v>0</v>
      </c>
      <c r="U30" s="18">
        <v>0</v>
      </c>
      <c r="V30" s="18" t="s">
        <v>32</v>
      </c>
      <c r="W30" s="18" t="s">
        <v>32</v>
      </c>
      <c r="X30" s="18" t="s">
        <v>32</v>
      </c>
      <c r="Y30" s="18" t="s">
        <v>32</v>
      </c>
      <c r="Z30" s="18" t="s">
        <v>32</v>
      </c>
      <c r="AA30" s="18" t="s">
        <v>32</v>
      </c>
    </row>
    <row r="31" s="18" customFormat="1" spans="1:27">
      <c r="A31" s="18" t="s">
        <v>27</v>
      </c>
      <c r="B31" s="18" t="s">
        <v>28</v>
      </c>
      <c r="C31" s="18">
        <v>4979980</v>
      </c>
      <c r="D31" s="17">
        <v>254723936569</v>
      </c>
      <c r="E31" s="20">
        <v>44380.607025463</v>
      </c>
      <c r="F31" s="18">
        <v>2976.11</v>
      </c>
      <c r="G31" s="18">
        <v>0.04</v>
      </c>
      <c r="H31" s="18">
        <v>2976.07</v>
      </c>
      <c r="I31" s="18">
        <v>108.66</v>
      </c>
      <c r="J31" s="18">
        <v>0.04</v>
      </c>
      <c r="K31" s="18">
        <v>108.63</v>
      </c>
      <c r="L31" s="18">
        <v>453.08</v>
      </c>
      <c r="M31" s="18">
        <v>60260</v>
      </c>
      <c r="N31" s="18">
        <v>0</v>
      </c>
      <c r="O31" s="18">
        <v>0</v>
      </c>
      <c r="P31" s="18" t="s">
        <v>34</v>
      </c>
      <c r="Q31" s="18" t="s">
        <v>30</v>
      </c>
      <c r="R31" s="18" t="s">
        <v>31</v>
      </c>
      <c r="S31" s="18">
        <v>0</v>
      </c>
      <c r="T31" s="18">
        <v>0</v>
      </c>
      <c r="U31" s="18">
        <v>0</v>
      </c>
      <c r="V31" s="18" t="s">
        <v>32</v>
      </c>
      <c r="W31" s="18" t="s">
        <v>32</v>
      </c>
      <c r="X31" s="18" t="s">
        <v>32</v>
      </c>
      <c r="Y31" s="18" t="s">
        <v>32</v>
      </c>
      <c r="Z31" s="18" t="s">
        <v>32</v>
      </c>
      <c r="AA31" s="18" t="s">
        <v>32</v>
      </c>
    </row>
    <row r="32" s="18" customFormat="1" spans="1:27">
      <c r="A32" s="18" t="s">
        <v>27</v>
      </c>
      <c r="B32" s="18" t="s">
        <v>28</v>
      </c>
      <c r="C32" s="18">
        <v>12171341</v>
      </c>
      <c r="D32" s="17">
        <v>254725227759</v>
      </c>
      <c r="E32" s="20">
        <v>45318.533599537</v>
      </c>
      <c r="F32" s="18">
        <v>9806.87</v>
      </c>
      <c r="G32" s="18">
        <v>0.01</v>
      </c>
      <c r="H32" s="18">
        <v>9806.87</v>
      </c>
      <c r="I32" s="18">
        <v>-119.58</v>
      </c>
      <c r="J32" s="18">
        <v>0.01</v>
      </c>
      <c r="K32" s="18">
        <v>-119.59</v>
      </c>
      <c r="L32" s="18">
        <v>1381.2</v>
      </c>
      <c r="M32" s="18">
        <v>183700</v>
      </c>
      <c r="N32" s="18">
        <v>107.14</v>
      </c>
      <c r="O32" s="18">
        <v>14249.62</v>
      </c>
      <c r="P32" s="18" t="s">
        <v>29</v>
      </c>
      <c r="Q32" s="18" t="s">
        <v>33</v>
      </c>
      <c r="R32" s="18" t="s">
        <v>31</v>
      </c>
      <c r="S32" s="18">
        <v>0</v>
      </c>
      <c r="T32" s="18">
        <v>0</v>
      </c>
      <c r="U32" s="18">
        <v>0</v>
      </c>
      <c r="V32" s="18" t="s">
        <v>32</v>
      </c>
      <c r="W32" s="18" t="s">
        <v>32</v>
      </c>
      <c r="X32" s="18" t="s">
        <v>32</v>
      </c>
      <c r="Y32" s="18" t="s">
        <v>32</v>
      </c>
      <c r="Z32" s="18" t="s">
        <v>32</v>
      </c>
      <c r="AA32" s="18" t="s">
        <v>32</v>
      </c>
    </row>
    <row r="33" s="18" customFormat="1" spans="1:27">
      <c r="A33" s="18" t="s">
        <v>27</v>
      </c>
      <c r="B33" s="18" t="s">
        <v>28</v>
      </c>
      <c r="C33" s="18">
        <v>12051141</v>
      </c>
      <c r="D33" s="17">
        <v>254725327057</v>
      </c>
      <c r="E33" s="20">
        <v>45307.8005555556</v>
      </c>
      <c r="F33" s="18">
        <v>403.76</v>
      </c>
      <c r="G33" s="18">
        <v>0</v>
      </c>
      <c r="H33" s="18">
        <v>403.76</v>
      </c>
      <c r="I33" s="18">
        <v>212.1</v>
      </c>
      <c r="J33" s="18">
        <v>0</v>
      </c>
      <c r="K33" s="18">
        <v>212.1</v>
      </c>
      <c r="L33" s="18">
        <v>236.68</v>
      </c>
      <c r="M33" s="18">
        <v>31479</v>
      </c>
      <c r="N33" s="18">
        <v>14.29</v>
      </c>
      <c r="O33" s="18">
        <v>1900.57</v>
      </c>
      <c r="P33" s="18" t="s">
        <v>29</v>
      </c>
      <c r="Q33" s="18" t="s">
        <v>30</v>
      </c>
      <c r="R33" s="18" t="s">
        <v>31</v>
      </c>
      <c r="S33" s="18">
        <v>0</v>
      </c>
      <c r="T33" s="18">
        <v>0</v>
      </c>
      <c r="U33" s="18">
        <v>0</v>
      </c>
      <c r="V33" s="18" t="s">
        <v>32</v>
      </c>
      <c r="W33" s="18" t="s">
        <v>32</v>
      </c>
      <c r="X33" s="18" t="s">
        <v>32</v>
      </c>
      <c r="Y33" s="18" t="s">
        <v>32</v>
      </c>
      <c r="Z33" s="18" t="s">
        <v>32</v>
      </c>
      <c r="AA33" s="18" t="s">
        <v>32</v>
      </c>
    </row>
    <row r="34" s="18" customFormat="1" spans="1:27">
      <c r="A34" s="18" t="s">
        <v>27</v>
      </c>
      <c r="B34" s="18" t="s">
        <v>28</v>
      </c>
      <c r="C34" s="18">
        <v>16230890</v>
      </c>
      <c r="D34" s="17">
        <v>254726479727</v>
      </c>
      <c r="E34" s="20">
        <v>45760.6439351852</v>
      </c>
      <c r="F34" s="18">
        <v>322.68</v>
      </c>
      <c r="G34" s="18">
        <v>0</v>
      </c>
      <c r="H34" s="18">
        <v>322.68</v>
      </c>
      <c r="I34" s="18">
        <v>36.34</v>
      </c>
      <c r="J34" s="18">
        <v>0</v>
      </c>
      <c r="K34" s="18">
        <v>36.34</v>
      </c>
      <c r="L34" s="18">
        <v>85.85</v>
      </c>
      <c r="M34" s="18">
        <v>11418</v>
      </c>
      <c r="N34" s="18">
        <v>81.23</v>
      </c>
      <c r="O34" s="18">
        <v>10803.59</v>
      </c>
      <c r="P34" s="18" t="s">
        <v>29</v>
      </c>
      <c r="Q34" s="18" t="s">
        <v>30</v>
      </c>
      <c r="R34" s="18" t="s">
        <v>31</v>
      </c>
      <c r="S34" s="18">
        <v>0</v>
      </c>
      <c r="T34" s="18">
        <v>0</v>
      </c>
      <c r="U34" s="18">
        <v>0</v>
      </c>
      <c r="V34" s="18" t="s">
        <v>32</v>
      </c>
      <c r="W34" s="18" t="s">
        <v>32</v>
      </c>
      <c r="X34" s="18" t="s">
        <v>32</v>
      </c>
      <c r="Y34" s="18" t="s">
        <v>32</v>
      </c>
      <c r="Z34" s="18" t="s">
        <v>32</v>
      </c>
      <c r="AA34" s="18" t="s">
        <v>32</v>
      </c>
    </row>
    <row r="35" s="18" customFormat="1" spans="1:27">
      <c r="A35" s="18" t="s">
        <v>27</v>
      </c>
      <c r="B35" s="18" t="s">
        <v>28</v>
      </c>
      <c r="C35" s="18">
        <v>3908470</v>
      </c>
      <c r="D35" s="17">
        <v>254726552750</v>
      </c>
      <c r="E35" s="20">
        <v>44278.4358333333</v>
      </c>
      <c r="F35" s="18">
        <v>967.55</v>
      </c>
      <c r="G35" s="18">
        <v>0.23</v>
      </c>
      <c r="H35" s="18">
        <v>967.32</v>
      </c>
      <c r="I35" s="18">
        <v>120.47</v>
      </c>
      <c r="J35" s="18">
        <v>0.23</v>
      </c>
      <c r="K35" s="18">
        <v>120.99</v>
      </c>
      <c r="L35" s="18">
        <v>260.55</v>
      </c>
      <c r="M35" s="18">
        <v>34653</v>
      </c>
      <c r="N35" s="18">
        <v>0</v>
      </c>
      <c r="O35" s="18">
        <v>0</v>
      </c>
      <c r="P35" s="18" t="s">
        <v>34</v>
      </c>
      <c r="Q35" s="18" t="s">
        <v>30</v>
      </c>
      <c r="R35" s="18" t="s">
        <v>31</v>
      </c>
      <c r="S35" s="18">
        <v>0</v>
      </c>
      <c r="T35" s="18">
        <v>0</v>
      </c>
      <c r="U35" s="18">
        <v>0</v>
      </c>
      <c r="V35" s="18" t="s">
        <v>32</v>
      </c>
      <c r="W35" s="18" t="s">
        <v>32</v>
      </c>
      <c r="X35" s="18" t="s">
        <v>32</v>
      </c>
      <c r="Y35" s="18" t="s">
        <v>32</v>
      </c>
      <c r="Z35" s="18" t="s">
        <v>32</v>
      </c>
      <c r="AA35" s="18" t="s">
        <v>32</v>
      </c>
    </row>
    <row r="36" s="18" customFormat="1" spans="1:27">
      <c r="A36" s="18" t="s">
        <v>27</v>
      </c>
      <c r="B36" s="18" t="s">
        <v>28</v>
      </c>
      <c r="C36" s="18">
        <v>21745740</v>
      </c>
      <c r="D36" s="17">
        <v>254726713819</v>
      </c>
      <c r="E36" s="20">
        <v>46087.9978703704</v>
      </c>
      <c r="F36" s="18">
        <v>401.02</v>
      </c>
      <c r="G36" s="18">
        <v>0</v>
      </c>
      <c r="H36" s="18">
        <v>401.02</v>
      </c>
      <c r="I36" s="18">
        <v>-71.83</v>
      </c>
      <c r="J36" s="18">
        <v>0</v>
      </c>
      <c r="K36" s="18">
        <v>-71.83</v>
      </c>
      <c r="L36" s="18">
        <v>89.31</v>
      </c>
      <c r="M36" s="18">
        <v>11878</v>
      </c>
      <c r="N36" s="18">
        <v>84.84</v>
      </c>
      <c r="O36" s="18">
        <v>11283.72</v>
      </c>
      <c r="P36" s="18" t="s">
        <v>34</v>
      </c>
      <c r="Q36" s="18" t="s">
        <v>30</v>
      </c>
      <c r="R36" s="18" t="s">
        <v>31</v>
      </c>
      <c r="S36" s="18">
        <v>0</v>
      </c>
      <c r="T36" s="18">
        <v>0</v>
      </c>
      <c r="U36" s="18">
        <v>0</v>
      </c>
      <c r="V36" s="18" t="s">
        <v>32</v>
      </c>
      <c r="W36" s="18" t="s">
        <v>32</v>
      </c>
      <c r="X36" s="18" t="s">
        <v>32</v>
      </c>
      <c r="Y36" s="18" t="s">
        <v>32</v>
      </c>
      <c r="Z36" s="18" t="s">
        <v>32</v>
      </c>
      <c r="AA36" s="18" t="s">
        <v>32</v>
      </c>
    </row>
    <row r="37" s="18" customFormat="1" spans="1:27">
      <c r="A37" s="18" t="s">
        <v>27</v>
      </c>
      <c r="B37" s="18" t="s">
        <v>28</v>
      </c>
      <c r="C37" s="18">
        <v>16787552</v>
      </c>
      <c r="D37" s="17">
        <v>254729060989</v>
      </c>
      <c r="E37" s="20">
        <v>45802.8579976852</v>
      </c>
      <c r="F37" s="18">
        <v>35399.22</v>
      </c>
      <c r="G37" s="18">
        <v>4.26</v>
      </c>
      <c r="H37" s="18">
        <v>35394.97</v>
      </c>
      <c r="I37" s="18">
        <v>1370.06</v>
      </c>
      <c r="J37" s="18">
        <v>4.26</v>
      </c>
      <c r="K37" s="18">
        <v>1365.8</v>
      </c>
      <c r="L37" s="18">
        <v>2381.45</v>
      </c>
      <c r="M37" s="18">
        <v>316733</v>
      </c>
      <c r="N37" s="18">
        <v>2826</v>
      </c>
      <c r="O37" s="18">
        <v>375858</v>
      </c>
      <c r="P37" s="18" t="s">
        <v>34</v>
      </c>
      <c r="Q37" s="18" t="s">
        <v>33</v>
      </c>
      <c r="R37" s="18" t="s">
        <v>31</v>
      </c>
      <c r="S37" s="18">
        <v>0</v>
      </c>
      <c r="T37" s="18">
        <v>0</v>
      </c>
      <c r="U37" s="18">
        <v>0</v>
      </c>
      <c r="V37" s="18" t="s">
        <v>32</v>
      </c>
      <c r="W37" s="18" t="s">
        <v>32</v>
      </c>
      <c r="X37" s="18" t="s">
        <v>32</v>
      </c>
      <c r="Y37" s="18" t="s">
        <v>32</v>
      </c>
      <c r="Z37" s="18" t="s">
        <v>32</v>
      </c>
      <c r="AA37" s="18" t="s">
        <v>32</v>
      </c>
    </row>
    <row r="38" s="18" customFormat="1" spans="1:27">
      <c r="A38" s="18" t="s">
        <v>27</v>
      </c>
      <c r="B38" s="18" t="s">
        <v>28</v>
      </c>
      <c r="C38" s="18">
        <v>8736450</v>
      </c>
      <c r="D38" s="17">
        <v>254740659395</v>
      </c>
      <c r="E38" s="20">
        <v>44822.8731134259</v>
      </c>
      <c r="F38" s="18">
        <v>17855.71</v>
      </c>
      <c r="G38" s="18">
        <v>1.77</v>
      </c>
      <c r="H38" s="18">
        <v>17853.94</v>
      </c>
      <c r="I38" s="18">
        <v>756.78</v>
      </c>
      <c r="J38" s="18">
        <v>1.77</v>
      </c>
      <c r="K38" s="18">
        <v>755.01</v>
      </c>
      <c r="L38" s="18">
        <v>1995.02</v>
      </c>
      <c r="M38" s="18">
        <v>265337</v>
      </c>
      <c r="N38" s="18">
        <v>109.91</v>
      </c>
      <c r="O38" s="18">
        <v>14618.03</v>
      </c>
      <c r="P38" s="18" t="s">
        <v>34</v>
      </c>
      <c r="Q38" s="18" t="s">
        <v>33</v>
      </c>
      <c r="R38" s="18" t="s">
        <v>31</v>
      </c>
      <c r="S38" s="18">
        <v>0</v>
      </c>
      <c r="T38" s="18">
        <v>0</v>
      </c>
      <c r="U38" s="18">
        <v>0</v>
      </c>
      <c r="V38" s="18" t="s">
        <v>32</v>
      </c>
      <c r="W38" s="18" t="s">
        <v>32</v>
      </c>
      <c r="X38" s="18" t="s">
        <v>32</v>
      </c>
      <c r="Y38" s="18" t="s">
        <v>32</v>
      </c>
      <c r="Z38" s="18" t="s">
        <v>32</v>
      </c>
      <c r="AA38" s="18" t="s">
        <v>32</v>
      </c>
    </row>
    <row r="39" s="18" customFormat="1" spans="1:27">
      <c r="A39" s="18" t="s">
        <v>27</v>
      </c>
      <c r="B39" s="18" t="s">
        <v>28</v>
      </c>
      <c r="C39" s="18">
        <v>8327961</v>
      </c>
      <c r="D39" s="17">
        <v>254746569776</v>
      </c>
      <c r="E39" s="20">
        <v>44761.5632638889</v>
      </c>
      <c r="F39" s="18">
        <v>282.06</v>
      </c>
      <c r="G39" s="18">
        <v>0.2</v>
      </c>
      <c r="H39" s="18">
        <v>281.86</v>
      </c>
      <c r="I39" s="18">
        <v>62.47</v>
      </c>
      <c r="J39" s="18">
        <v>0.2</v>
      </c>
      <c r="K39" s="18">
        <v>63.02</v>
      </c>
      <c r="L39" s="18">
        <v>65.79</v>
      </c>
      <c r="M39" s="18">
        <v>8750</v>
      </c>
      <c r="N39" s="18">
        <v>5</v>
      </c>
      <c r="O39" s="18">
        <v>665</v>
      </c>
      <c r="P39" s="18" t="s">
        <v>34</v>
      </c>
      <c r="Q39" s="18" t="s">
        <v>30</v>
      </c>
      <c r="R39" s="18" t="s">
        <v>31</v>
      </c>
      <c r="S39" s="18">
        <v>0</v>
      </c>
      <c r="T39" s="18">
        <v>0</v>
      </c>
      <c r="U39" s="18">
        <v>0</v>
      </c>
      <c r="V39" s="18" t="s">
        <v>32</v>
      </c>
      <c r="W39" s="18" t="s">
        <v>32</v>
      </c>
      <c r="X39" s="18" t="s">
        <v>32</v>
      </c>
      <c r="Y39" s="18" t="s">
        <v>32</v>
      </c>
      <c r="Z39" s="18" t="s">
        <v>32</v>
      </c>
      <c r="AA39" s="18" t="s">
        <v>32</v>
      </c>
    </row>
    <row r="40" s="18" customFormat="1" spans="1:27">
      <c r="A40" s="18" t="s">
        <v>27</v>
      </c>
      <c r="B40" s="18" t="s">
        <v>28</v>
      </c>
      <c r="C40" s="18">
        <v>28640</v>
      </c>
      <c r="D40" s="17">
        <v>254757917406</v>
      </c>
      <c r="E40" s="20">
        <v>43818.8213310185</v>
      </c>
      <c r="F40" s="18">
        <v>390.21</v>
      </c>
      <c r="G40" s="18">
        <v>1.41</v>
      </c>
      <c r="H40" s="18">
        <v>388.8</v>
      </c>
      <c r="I40" s="18">
        <v>37.84</v>
      </c>
      <c r="J40" s="18">
        <v>1.29</v>
      </c>
      <c r="K40" s="18">
        <v>36.55</v>
      </c>
      <c r="L40" s="18">
        <v>76.88</v>
      </c>
      <c r="M40" s="18">
        <v>10225</v>
      </c>
      <c r="N40" s="18">
        <v>0.23</v>
      </c>
      <c r="O40" s="18">
        <v>30.59</v>
      </c>
      <c r="P40" s="18" t="s">
        <v>34</v>
      </c>
      <c r="Q40" s="18" t="s">
        <v>30</v>
      </c>
      <c r="R40" s="18" t="s">
        <v>31</v>
      </c>
      <c r="S40" s="18">
        <v>0</v>
      </c>
      <c r="T40" s="18">
        <v>0</v>
      </c>
      <c r="U40" s="18">
        <v>0</v>
      </c>
      <c r="V40" s="18" t="s">
        <v>32</v>
      </c>
      <c r="W40" s="18" t="s">
        <v>32</v>
      </c>
      <c r="X40" s="18" t="s">
        <v>32</v>
      </c>
      <c r="Y40" s="18" t="s">
        <v>32</v>
      </c>
      <c r="Z40" s="18" t="s">
        <v>32</v>
      </c>
      <c r="AA40" s="18" t="s">
        <v>32</v>
      </c>
    </row>
    <row r="41" s="18" customFormat="1" spans="1:27">
      <c r="A41" s="18" t="s">
        <v>27</v>
      </c>
      <c r="B41" s="18" t="s">
        <v>28</v>
      </c>
      <c r="C41" s="18">
        <v>18095941</v>
      </c>
      <c r="D41" s="17">
        <v>254758323547</v>
      </c>
      <c r="E41" s="20">
        <v>45892.251875</v>
      </c>
      <c r="F41" s="18">
        <v>1588.94</v>
      </c>
      <c r="G41" s="18">
        <v>0</v>
      </c>
      <c r="H41" s="18">
        <v>1588.94</v>
      </c>
      <c r="I41" s="18">
        <v>104.81</v>
      </c>
      <c r="J41" s="18">
        <v>0</v>
      </c>
      <c r="K41" s="18">
        <v>104.81</v>
      </c>
      <c r="L41" s="18">
        <v>618.23</v>
      </c>
      <c r="M41" s="18">
        <v>82225</v>
      </c>
      <c r="N41" s="18">
        <v>133.54</v>
      </c>
      <c r="O41" s="18">
        <v>17760.82</v>
      </c>
      <c r="P41" s="18" t="s">
        <v>29</v>
      </c>
      <c r="Q41" s="18" t="s">
        <v>30</v>
      </c>
      <c r="R41" s="18" t="s">
        <v>31</v>
      </c>
      <c r="S41" s="18">
        <v>0</v>
      </c>
      <c r="T41" s="18">
        <v>0</v>
      </c>
      <c r="U41" s="18">
        <v>0</v>
      </c>
      <c r="V41" s="18" t="s">
        <v>32</v>
      </c>
      <c r="W41" s="18" t="s">
        <v>32</v>
      </c>
      <c r="X41" s="18" t="s">
        <v>32</v>
      </c>
      <c r="Y41" s="18" t="s">
        <v>32</v>
      </c>
      <c r="Z41" s="18" t="s">
        <v>32</v>
      </c>
      <c r="AA41" s="18" t="s">
        <v>32</v>
      </c>
    </row>
    <row r="42" s="18" customFormat="1" spans="1:27">
      <c r="A42" s="18" t="s">
        <v>27</v>
      </c>
      <c r="B42" s="18" t="s">
        <v>28</v>
      </c>
      <c r="C42" s="18">
        <v>19444992</v>
      </c>
      <c r="D42" s="17">
        <v>254758678467</v>
      </c>
      <c r="E42" s="20">
        <v>45975.5655555556</v>
      </c>
      <c r="F42" s="18">
        <v>4722.59</v>
      </c>
      <c r="G42" s="18">
        <v>16.88</v>
      </c>
      <c r="H42" s="18">
        <v>4705.71</v>
      </c>
      <c r="I42" s="18">
        <v>344.78</v>
      </c>
      <c r="J42" s="18">
        <v>16.88</v>
      </c>
      <c r="K42" s="18">
        <v>327.9</v>
      </c>
      <c r="L42" s="18">
        <v>1454.14</v>
      </c>
      <c r="M42" s="18">
        <v>193400</v>
      </c>
      <c r="N42" s="18">
        <v>661.43</v>
      </c>
      <c r="O42" s="18">
        <v>87970.19</v>
      </c>
      <c r="P42" s="18" t="s">
        <v>34</v>
      </c>
      <c r="Q42" s="18" t="s">
        <v>33</v>
      </c>
      <c r="R42" s="18" t="s">
        <v>31</v>
      </c>
      <c r="S42" s="18">
        <v>0</v>
      </c>
      <c r="T42" s="18">
        <v>0</v>
      </c>
      <c r="U42" s="18">
        <v>0</v>
      </c>
      <c r="V42" s="18" t="s">
        <v>32</v>
      </c>
      <c r="W42" s="18" t="s">
        <v>32</v>
      </c>
      <c r="X42" s="18" t="s">
        <v>32</v>
      </c>
      <c r="Y42" s="18" t="s">
        <v>32</v>
      </c>
      <c r="Z42" s="18" t="s">
        <v>32</v>
      </c>
      <c r="AA42" s="18" t="s">
        <v>32</v>
      </c>
    </row>
    <row r="43" s="18" customFormat="1" spans="1:27">
      <c r="A43" s="18" t="s">
        <v>27</v>
      </c>
      <c r="B43" s="18" t="s">
        <v>28</v>
      </c>
      <c r="C43" s="18">
        <v>20714812</v>
      </c>
      <c r="D43" s="17">
        <v>254768264749</v>
      </c>
      <c r="E43" s="20">
        <v>46034.6306712963</v>
      </c>
      <c r="F43" s="18">
        <v>266.75</v>
      </c>
      <c r="G43" s="18">
        <v>0.16</v>
      </c>
      <c r="H43" s="18">
        <v>266.6</v>
      </c>
      <c r="I43" s="18">
        <v>16.09</v>
      </c>
      <c r="J43" s="18">
        <v>-0.23</v>
      </c>
      <c r="K43" s="18">
        <v>16.32</v>
      </c>
      <c r="L43" s="18">
        <v>116.77</v>
      </c>
      <c r="M43" s="18">
        <v>15530</v>
      </c>
      <c r="N43" s="18">
        <v>0</v>
      </c>
      <c r="O43" s="18">
        <v>0</v>
      </c>
      <c r="P43" s="18" t="s">
        <v>29</v>
      </c>
      <c r="Q43" s="18" t="s">
        <v>30</v>
      </c>
      <c r="R43" s="18" t="s">
        <v>31</v>
      </c>
      <c r="S43" s="18">
        <v>0</v>
      </c>
      <c r="T43" s="18">
        <v>0</v>
      </c>
      <c r="U43" s="18">
        <v>0</v>
      </c>
      <c r="V43" s="18" t="s">
        <v>32</v>
      </c>
      <c r="W43" s="18" t="s">
        <v>32</v>
      </c>
      <c r="X43" s="18" t="s">
        <v>32</v>
      </c>
      <c r="Y43" s="18" t="s">
        <v>32</v>
      </c>
      <c r="Z43" s="18" t="s">
        <v>32</v>
      </c>
      <c r="AA43" s="18" t="s">
        <v>32</v>
      </c>
    </row>
    <row r="44" s="18" customFormat="1" spans="1:27">
      <c r="A44" s="18" t="s">
        <v>27</v>
      </c>
      <c r="B44" s="18" t="s">
        <v>28</v>
      </c>
      <c r="C44" s="18">
        <v>180792</v>
      </c>
      <c r="D44" s="17">
        <v>254768286644</v>
      </c>
      <c r="E44" s="20">
        <v>43917.6320833333</v>
      </c>
      <c r="F44" s="18">
        <v>1476.19</v>
      </c>
      <c r="G44" s="18">
        <v>0.71</v>
      </c>
      <c r="H44" s="18">
        <v>1475.47</v>
      </c>
      <c r="I44" s="18">
        <v>60.11</v>
      </c>
      <c r="J44" s="18">
        <v>0.22</v>
      </c>
      <c r="K44" s="18">
        <v>59.88</v>
      </c>
      <c r="L44" s="18">
        <v>175.94</v>
      </c>
      <c r="M44" s="18">
        <v>23400</v>
      </c>
      <c r="N44" s="18">
        <v>35</v>
      </c>
      <c r="O44" s="18">
        <v>4655</v>
      </c>
      <c r="P44" s="18" t="s">
        <v>34</v>
      </c>
      <c r="Q44" s="18" t="s">
        <v>30</v>
      </c>
      <c r="R44" s="18" t="s">
        <v>31</v>
      </c>
      <c r="S44" s="18">
        <v>0</v>
      </c>
      <c r="T44" s="18">
        <v>0</v>
      </c>
      <c r="U44" s="18">
        <v>0</v>
      </c>
      <c r="V44" s="18" t="s">
        <v>32</v>
      </c>
      <c r="W44" s="18" t="s">
        <v>32</v>
      </c>
      <c r="X44" s="18" t="s">
        <v>32</v>
      </c>
      <c r="Y44" s="18" t="s">
        <v>32</v>
      </c>
      <c r="Z44" s="18" t="s">
        <v>32</v>
      </c>
      <c r="AA44" s="18" t="s">
        <v>32</v>
      </c>
    </row>
    <row r="45" s="18" customFormat="1" spans="1:27">
      <c r="A45" s="18" t="s">
        <v>27</v>
      </c>
      <c r="B45" s="18" t="s">
        <v>28</v>
      </c>
      <c r="C45" s="18">
        <v>17027140</v>
      </c>
      <c r="D45" s="17">
        <v>254769164317</v>
      </c>
      <c r="E45" s="20">
        <v>45824.7228009259</v>
      </c>
      <c r="F45" s="18">
        <v>925.49</v>
      </c>
      <c r="G45" s="18">
        <v>0.19</v>
      </c>
      <c r="H45" s="18">
        <v>925.3</v>
      </c>
      <c r="I45" s="18">
        <v>-11.53</v>
      </c>
      <c r="J45" s="18">
        <v>0.17</v>
      </c>
      <c r="K45" s="18">
        <v>-11.7</v>
      </c>
      <c r="L45" s="18">
        <v>93.26</v>
      </c>
      <c r="M45" s="18">
        <v>12404</v>
      </c>
      <c r="N45" s="18">
        <v>0</v>
      </c>
      <c r="O45" s="18">
        <v>0</v>
      </c>
      <c r="P45" s="18" t="s">
        <v>34</v>
      </c>
      <c r="Q45" s="18" t="s">
        <v>30</v>
      </c>
      <c r="R45" s="18" t="s">
        <v>31</v>
      </c>
      <c r="S45" s="18">
        <v>0</v>
      </c>
      <c r="T45" s="18">
        <v>0</v>
      </c>
      <c r="U45" s="18">
        <v>0</v>
      </c>
      <c r="V45" s="18" t="s">
        <v>32</v>
      </c>
      <c r="W45" s="18" t="s">
        <v>32</v>
      </c>
      <c r="X45" s="18" t="s">
        <v>32</v>
      </c>
      <c r="Y45" s="18" t="s">
        <v>32</v>
      </c>
      <c r="Z45" s="18" t="s">
        <v>32</v>
      </c>
      <c r="AA45" s="18" t="s">
        <v>32</v>
      </c>
    </row>
    <row r="46" s="18" customFormat="1" spans="1:27">
      <c r="A46" s="18" t="s">
        <v>27</v>
      </c>
      <c r="B46" s="18" t="s">
        <v>28</v>
      </c>
      <c r="C46" s="18">
        <v>22610</v>
      </c>
      <c r="D46" s="17">
        <v>254791350676</v>
      </c>
      <c r="E46" s="20">
        <v>43811.4657638889</v>
      </c>
      <c r="F46" s="18">
        <v>6796.78</v>
      </c>
      <c r="G46" s="18">
        <v>0.01</v>
      </c>
      <c r="H46" s="18">
        <v>6796.77</v>
      </c>
      <c r="I46" s="18">
        <v>272.39</v>
      </c>
      <c r="J46" s="18">
        <v>0.01</v>
      </c>
      <c r="K46" s="18">
        <v>272.38</v>
      </c>
      <c r="L46" s="18">
        <v>652.41</v>
      </c>
      <c r="M46" s="18">
        <v>86771</v>
      </c>
      <c r="N46" s="18">
        <v>110.28</v>
      </c>
      <c r="O46" s="18">
        <v>14667.24</v>
      </c>
      <c r="P46" s="18" t="s">
        <v>34</v>
      </c>
      <c r="Q46" s="18" t="s">
        <v>30</v>
      </c>
      <c r="R46" s="18" t="s">
        <v>31</v>
      </c>
      <c r="S46" s="18">
        <v>0</v>
      </c>
      <c r="T46" s="18">
        <v>0</v>
      </c>
      <c r="U46" s="18">
        <v>0</v>
      </c>
      <c r="V46" s="18" t="s">
        <v>32</v>
      </c>
      <c r="W46" s="18" t="s">
        <v>32</v>
      </c>
      <c r="X46" s="18" t="s">
        <v>32</v>
      </c>
      <c r="Y46" s="18" t="s">
        <v>32</v>
      </c>
      <c r="Z46" s="18" t="s">
        <v>32</v>
      </c>
      <c r="AA46" s="18" t="s">
        <v>32</v>
      </c>
    </row>
    <row r="47" s="18" customFormat="1" spans="1:27">
      <c r="A47" s="18" t="s">
        <v>27</v>
      </c>
      <c r="B47" s="18" t="s">
        <v>28</v>
      </c>
      <c r="C47" s="18">
        <v>13612342</v>
      </c>
      <c r="D47" s="17">
        <v>254791804303</v>
      </c>
      <c r="E47" s="20">
        <v>45541.915462963</v>
      </c>
      <c r="F47" s="18">
        <v>1291.82</v>
      </c>
      <c r="G47" s="18">
        <v>0.02</v>
      </c>
      <c r="H47" s="18">
        <v>1291.8</v>
      </c>
      <c r="I47" s="18">
        <v>50.45</v>
      </c>
      <c r="J47" s="18">
        <v>0.02</v>
      </c>
      <c r="K47" s="18">
        <v>50.43</v>
      </c>
      <c r="L47" s="18">
        <v>181.02</v>
      </c>
      <c r="M47" s="18">
        <v>24075</v>
      </c>
      <c r="N47" s="18">
        <v>8.22</v>
      </c>
      <c r="O47" s="18">
        <v>1093.26</v>
      </c>
      <c r="P47" s="18" t="s">
        <v>29</v>
      </c>
      <c r="Q47" s="18" t="s">
        <v>30</v>
      </c>
      <c r="R47" s="18" t="s">
        <v>31</v>
      </c>
      <c r="S47" s="18">
        <v>0</v>
      </c>
      <c r="T47" s="18">
        <v>0</v>
      </c>
      <c r="U47" s="18">
        <v>0</v>
      </c>
      <c r="V47" s="18" t="s">
        <v>32</v>
      </c>
      <c r="W47" s="18" t="s">
        <v>32</v>
      </c>
      <c r="X47" s="18" t="s">
        <v>32</v>
      </c>
      <c r="Y47" s="18" t="s">
        <v>32</v>
      </c>
      <c r="Z47" s="18" t="s">
        <v>32</v>
      </c>
      <c r="AA47" s="18" t="s">
        <v>32</v>
      </c>
    </row>
    <row r="48" s="18" customFormat="1" spans="1:27">
      <c r="A48" s="18" t="s">
        <v>27</v>
      </c>
      <c r="B48" s="18" t="s">
        <v>28</v>
      </c>
      <c r="C48" s="18">
        <v>3932362</v>
      </c>
      <c r="D48" s="17">
        <v>254792037353</v>
      </c>
      <c r="E48" s="20">
        <v>44280.7057638889</v>
      </c>
      <c r="F48" s="18">
        <v>176.41</v>
      </c>
      <c r="G48" s="18">
        <v>67.41</v>
      </c>
      <c r="H48" s="18">
        <v>109</v>
      </c>
      <c r="I48" s="18">
        <v>21.69</v>
      </c>
      <c r="J48" s="18">
        <v>18.58</v>
      </c>
      <c r="K48" s="18">
        <v>3.11</v>
      </c>
      <c r="L48" s="18">
        <v>57.31</v>
      </c>
      <c r="M48" s="18">
        <v>7622</v>
      </c>
      <c r="N48" s="18">
        <v>0.71</v>
      </c>
      <c r="O48" s="18">
        <v>94.43</v>
      </c>
      <c r="P48" s="18" t="s">
        <v>35</v>
      </c>
      <c r="Q48" s="18" t="s">
        <v>30</v>
      </c>
      <c r="R48" s="18" t="s">
        <v>31</v>
      </c>
      <c r="S48" s="18">
        <v>2000</v>
      </c>
      <c r="T48" s="18">
        <v>0</v>
      </c>
      <c r="U48" s="18">
        <v>0</v>
      </c>
      <c r="V48" s="18" t="s">
        <v>32</v>
      </c>
      <c r="W48" s="18" t="s">
        <v>32</v>
      </c>
      <c r="X48" s="18" t="s">
        <v>32</v>
      </c>
      <c r="Y48" s="18" t="s">
        <v>32</v>
      </c>
      <c r="Z48" s="18" t="s">
        <v>32</v>
      </c>
      <c r="AA48" s="18" t="s">
        <v>32</v>
      </c>
    </row>
    <row r="49" s="18" customFormat="1" spans="1:27">
      <c r="A49" s="18" t="s">
        <v>27</v>
      </c>
      <c r="B49" s="18" t="s">
        <v>28</v>
      </c>
      <c r="C49" s="18">
        <v>22601010</v>
      </c>
      <c r="D49" s="17">
        <v>254792410078</v>
      </c>
      <c r="E49" s="20">
        <v>46137.5687152778</v>
      </c>
      <c r="F49" s="18">
        <v>4520.85</v>
      </c>
      <c r="G49" s="18">
        <v>202.41</v>
      </c>
      <c r="H49" s="18">
        <v>4318.43</v>
      </c>
      <c r="I49" s="18">
        <v>691.48</v>
      </c>
      <c r="J49" s="18">
        <v>186.89</v>
      </c>
      <c r="K49" s="18">
        <v>504.59</v>
      </c>
      <c r="L49" s="18">
        <v>994.28</v>
      </c>
      <c r="M49" s="18">
        <v>132239</v>
      </c>
      <c r="N49" s="18">
        <v>944.56</v>
      </c>
      <c r="O49" s="18">
        <v>125626.48</v>
      </c>
      <c r="P49" s="18" t="s">
        <v>29</v>
      </c>
      <c r="Q49" s="18" t="s">
        <v>30</v>
      </c>
      <c r="R49" s="18" t="s">
        <v>31</v>
      </c>
      <c r="S49" s="18">
        <v>0</v>
      </c>
      <c r="T49" s="18">
        <v>0</v>
      </c>
      <c r="U49" s="18">
        <v>0</v>
      </c>
      <c r="V49" s="18" t="s">
        <v>32</v>
      </c>
      <c r="W49" s="18" t="s">
        <v>32</v>
      </c>
      <c r="X49" s="18" t="s">
        <v>32</v>
      </c>
      <c r="Y49" s="18" t="s">
        <v>32</v>
      </c>
      <c r="Z49" s="18" t="s">
        <v>32</v>
      </c>
      <c r="AA49" s="18" t="s">
        <v>32</v>
      </c>
    </row>
    <row r="50" s="18" customFormat="1" spans="1:27">
      <c r="A50" s="18" t="s">
        <v>27</v>
      </c>
      <c r="B50" s="18" t="s">
        <v>28</v>
      </c>
      <c r="C50" s="18">
        <v>14221742</v>
      </c>
      <c r="D50" s="17">
        <v>254792495599</v>
      </c>
      <c r="E50" s="20">
        <v>45586.5751851852</v>
      </c>
      <c r="F50" s="18">
        <v>389.61</v>
      </c>
      <c r="G50" s="18">
        <v>0.08</v>
      </c>
      <c r="H50" s="18">
        <v>389.52</v>
      </c>
      <c r="I50" s="18">
        <v>-100.27</v>
      </c>
      <c r="J50" s="18">
        <v>0.06</v>
      </c>
      <c r="K50" s="18">
        <v>-100.33</v>
      </c>
      <c r="L50" s="18">
        <v>129.89</v>
      </c>
      <c r="M50" s="18">
        <v>17275</v>
      </c>
      <c r="N50" s="18">
        <v>10</v>
      </c>
      <c r="O50" s="18">
        <v>1330</v>
      </c>
      <c r="P50" s="18" t="s">
        <v>34</v>
      </c>
      <c r="Q50" s="18" t="s">
        <v>30</v>
      </c>
      <c r="R50" s="18" t="s">
        <v>31</v>
      </c>
      <c r="S50" s="18">
        <v>0</v>
      </c>
      <c r="T50" s="18">
        <v>0</v>
      </c>
      <c r="U50" s="18">
        <v>0</v>
      </c>
      <c r="V50" s="18" t="s">
        <v>32</v>
      </c>
      <c r="W50" s="18" t="s">
        <v>32</v>
      </c>
      <c r="X50" s="18" t="s">
        <v>32</v>
      </c>
      <c r="Y50" s="18" t="s">
        <v>32</v>
      </c>
      <c r="Z50" s="18" t="s">
        <v>32</v>
      </c>
      <c r="AA50" s="18" t="s">
        <v>32</v>
      </c>
    </row>
    <row r="51" s="18" customFormat="1" spans="1:27">
      <c r="A51" s="18" t="s">
        <v>27</v>
      </c>
      <c r="B51" s="18" t="s">
        <v>28</v>
      </c>
      <c r="C51" s="18">
        <v>17313531</v>
      </c>
      <c r="D51" s="17">
        <v>254793621557</v>
      </c>
      <c r="E51" s="20">
        <v>45845.6978472222</v>
      </c>
      <c r="F51" s="18">
        <v>397.86</v>
      </c>
      <c r="G51" s="18">
        <v>0.05</v>
      </c>
      <c r="H51" s="18">
        <v>397.81</v>
      </c>
      <c r="I51" s="18">
        <v>52.42</v>
      </c>
      <c r="J51" s="18">
        <v>-0.03</v>
      </c>
      <c r="K51" s="18">
        <v>52.45</v>
      </c>
      <c r="L51" s="18">
        <v>158.05</v>
      </c>
      <c r="M51" s="18">
        <v>21021</v>
      </c>
      <c r="N51" s="18">
        <v>30.54</v>
      </c>
      <c r="O51" s="18">
        <v>4061.82</v>
      </c>
      <c r="P51" s="18" t="s">
        <v>29</v>
      </c>
      <c r="Q51" s="18" t="s">
        <v>30</v>
      </c>
      <c r="R51" s="18" t="s">
        <v>31</v>
      </c>
      <c r="S51" s="18">
        <v>0</v>
      </c>
      <c r="T51" s="18">
        <v>0</v>
      </c>
      <c r="U51" s="18">
        <v>0</v>
      </c>
      <c r="V51" s="18" t="s">
        <v>32</v>
      </c>
      <c r="W51" s="18" t="s">
        <v>32</v>
      </c>
      <c r="X51" s="18" t="s">
        <v>32</v>
      </c>
      <c r="Y51" s="18" t="s">
        <v>32</v>
      </c>
      <c r="Z51" s="18" t="s">
        <v>32</v>
      </c>
      <c r="AA51" s="18" t="s">
        <v>32</v>
      </c>
    </row>
    <row r="52" s="18" customFormat="1" spans="1:27">
      <c r="A52" s="18" t="s">
        <v>27</v>
      </c>
      <c r="B52" s="18" t="s">
        <v>28</v>
      </c>
      <c r="C52" s="18">
        <v>1748370</v>
      </c>
      <c r="D52" s="17">
        <v>254794251162</v>
      </c>
      <c r="E52" s="20">
        <v>44015.6464236111</v>
      </c>
      <c r="F52" s="18">
        <v>1760.61</v>
      </c>
      <c r="G52" s="18">
        <v>0.12</v>
      </c>
      <c r="H52" s="18">
        <v>1760.49</v>
      </c>
      <c r="I52" s="18">
        <v>-26.26</v>
      </c>
      <c r="J52" s="18">
        <v>0.12</v>
      </c>
      <c r="K52" s="18">
        <v>-26.38</v>
      </c>
      <c r="L52" s="18">
        <v>88.72</v>
      </c>
      <c r="M52" s="18">
        <v>11800</v>
      </c>
      <c r="N52" s="18">
        <v>168.57</v>
      </c>
      <c r="O52" s="18">
        <v>22419.81</v>
      </c>
      <c r="P52" s="18" t="s">
        <v>34</v>
      </c>
      <c r="Q52" s="18" t="s">
        <v>30</v>
      </c>
      <c r="R52" s="18" t="s">
        <v>31</v>
      </c>
      <c r="S52" s="18">
        <v>0</v>
      </c>
      <c r="T52" s="18">
        <v>0</v>
      </c>
      <c r="U52" s="18">
        <v>0</v>
      </c>
      <c r="V52" s="18" t="s">
        <v>32</v>
      </c>
      <c r="W52" s="18" t="s">
        <v>32</v>
      </c>
      <c r="X52" s="18" t="s">
        <v>32</v>
      </c>
      <c r="Y52" s="18" t="s">
        <v>32</v>
      </c>
      <c r="Z52" s="18" t="s">
        <v>32</v>
      </c>
      <c r="AA52" s="18" t="s">
        <v>32</v>
      </c>
    </row>
    <row r="53" s="18" customFormat="1" spans="1:27">
      <c r="A53" s="18" t="s">
        <v>27</v>
      </c>
      <c r="B53" s="18" t="s">
        <v>28</v>
      </c>
      <c r="C53" s="18">
        <v>2633202</v>
      </c>
      <c r="D53" s="17">
        <v>254794966115</v>
      </c>
      <c r="E53" s="20">
        <v>44098.542037037</v>
      </c>
      <c r="F53" s="18">
        <v>150.57</v>
      </c>
      <c r="G53" s="18">
        <v>0</v>
      </c>
      <c r="H53" s="18">
        <v>150.57</v>
      </c>
      <c r="I53" s="18">
        <v>1.61</v>
      </c>
      <c r="J53" s="18">
        <v>0</v>
      </c>
      <c r="K53" s="18">
        <v>1.61</v>
      </c>
      <c r="L53" s="18">
        <v>81.02</v>
      </c>
      <c r="M53" s="18">
        <v>10775</v>
      </c>
      <c r="N53" s="18">
        <v>2.5</v>
      </c>
      <c r="O53" s="18">
        <v>332.5</v>
      </c>
      <c r="P53" s="18" t="s">
        <v>29</v>
      </c>
      <c r="Q53" s="18" t="s">
        <v>30</v>
      </c>
      <c r="R53" s="18" t="s">
        <v>31</v>
      </c>
      <c r="S53" s="18">
        <v>0</v>
      </c>
      <c r="T53" s="18">
        <v>0</v>
      </c>
      <c r="U53" s="18">
        <v>0</v>
      </c>
      <c r="V53" s="18" t="s">
        <v>32</v>
      </c>
      <c r="W53" s="18" t="s">
        <v>32</v>
      </c>
      <c r="X53" s="18" t="s">
        <v>32</v>
      </c>
      <c r="Y53" s="18" t="s">
        <v>32</v>
      </c>
      <c r="Z53" s="18" t="s">
        <v>32</v>
      </c>
      <c r="AA53" s="18" t="s">
        <v>32</v>
      </c>
    </row>
    <row r="54" s="18" customFormat="1" spans="1:27">
      <c r="A54" s="18" t="s">
        <v>27</v>
      </c>
      <c r="B54" s="18" t="s">
        <v>28</v>
      </c>
      <c r="C54" s="18">
        <v>14048372</v>
      </c>
      <c r="D54" s="17">
        <v>254795085758</v>
      </c>
      <c r="E54" s="20">
        <v>45573.0281944444</v>
      </c>
      <c r="F54" s="18">
        <v>463.08</v>
      </c>
      <c r="G54" s="18">
        <v>0</v>
      </c>
      <c r="H54" s="18">
        <v>463.08</v>
      </c>
      <c r="I54" s="18">
        <v>57.46</v>
      </c>
      <c r="J54" s="18">
        <v>0</v>
      </c>
      <c r="K54" s="18">
        <v>57.46</v>
      </c>
      <c r="L54" s="18">
        <v>79.39</v>
      </c>
      <c r="M54" s="18">
        <v>10559</v>
      </c>
      <c r="N54" s="18">
        <v>0.67</v>
      </c>
      <c r="O54" s="18">
        <v>89.11</v>
      </c>
      <c r="P54" s="18" t="s">
        <v>29</v>
      </c>
      <c r="Q54" s="18" t="s">
        <v>30</v>
      </c>
      <c r="R54" s="18" t="s">
        <v>31</v>
      </c>
      <c r="S54" s="18">
        <v>0</v>
      </c>
      <c r="T54" s="18">
        <v>0</v>
      </c>
      <c r="U54" s="18">
        <v>0</v>
      </c>
      <c r="V54" s="18" t="s">
        <v>32</v>
      </c>
      <c r="W54" s="18" t="s">
        <v>32</v>
      </c>
      <c r="X54" s="18" t="s">
        <v>32</v>
      </c>
      <c r="Y54" s="18" t="s">
        <v>32</v>
      </c>
      <c r="Z54" s="18" t="s">
        <v>32</v>
      </c>
      <c r="AA54" s="18" t="s">
        <v>32</v>
      </c>
    </row>
    <row r="55" s="18" customFormat="1" spans="1:27">
      <c r="A55" s="18" t="s">
        <v>27</v>
      </c>
      <c r="B55" s="18" t="s">
        <v>28</v>
      </c>
      <c r="C55" s="18">
        <v>17840181</v>
      </c>
      <c r="D55" s="17">
        <v>254795123062</v>
      </c>
      <c r="E55" s="20">
        <v>45878.0794675926</v>
      </c>
      <c r="F55" s="18">
        <v>603.71</v>
      </c>
      <c r="G55" s="18">
        <v>0.4</v>
      </c>
      <c r="H55" s="18">
        <v>603.32</v>
      </c>
      <c r="I55" s="18">
        <v>20.62</v>
      </c>
      <c r="J55" s="18">
        <v>0.4</v>
      </c>
      <c r="K55" s="18">
        <v>20.22</v>
      </c>
      <c r="L55" s="18">
        <v>52.36</v>
      </c>
      <c r="M55" s="18">
        <v>6964</v>
      </c>
      <c r="N55" s="18">
        <v>6.99</v>
      </c>
      <c r="O55" s="18">
        <v>929.67</v>
      </c>
      <c r="P55" s="18" t="s">
        <v>29</v>
      </c>
      <c r="Q55" s="18" t="s">
        <v>30</v>
      </c>
      <c r="R55" s="18" t="s">
        <v>31</v>
      </c>
      <c r="S55" s="18">
        <v>0</v>
      </c>
      <c r="T55" s="18">
        <v>0</v>
      </c>
      <c r="U55" s="18">
        <v>0</v>
      </c>
      <c r="V55" s="18" t="s">
        <v>32</v>
      </c>
      <c r="W55" s="18" t="s">
        <v>32</v>
      </c>
      <c r="X55" s="18" t="s">
        <v>32</v>
      </c>
      <c r="Y55" s="18" t="s">
        <v>32</v>
      </c>
      <c r="Z55" s="18" t="s">
        <v>32</v>
      </c>
      <c r="AA55" s="18" t="s">
        <v>32</v>
      </c>
    </row>
    <row r="56" s="18" customFormat="1" spans="1:27">
      <c r="A56" s="18" t="s">
        <v>27</v>
      </c>
      <c r="B56" s="18" t="s">
        <v>28</v>
      </c>
      <c r="C56" s="18">
        <v>4059531</v>
      </c>
      <c r="D56" s="17">
        <v>254795375790</v>
      </c>
      <c r="E56" s="20">
        <v>44292.1606712963</v>
      </c>
      <c r="F56" s="18">
        <v>1168.12</v>
      </c>
      <c r="G56" s="18">
        <v>0.23</v>
      </c>
      <c r="H56" s="18">
        <v>1167.89</v>
      </c>
      <c r="I56" s="18">
        <v>103.49</v>
      </c>
      <c r="J56" s="18">
        <v>0.23</v>
      </c>
      <c r="K56" s="18">
        <v>103.26</v>
      </c>
      <c r="L56" s="18">
        <v>219.02</v>
      </c>
      <c r="M56" s="18">
        <v>29129</v>
      </c>
      <c r="N56" s="18">
        <v>57.69</v>
      </c>
      <c r="O56" s="18">
        <v>7672.77</v>
      </c>
      <c r="P56" s="18" t="s">
        <v>34</v>
      </c>
      <c r="Q56" s="18" t="s">
        <v>30</v>
      </c>
      <c r="R56" s="18" t="s">
        <v>31</v>
      </c>
      <c r="S56" s="18">
        <v>0</v>
      </c>
      <c r="T56" s="18">
        <v>0</v>
      </c>
      <c r="U56" s="18">
        <v>0</v>
      </c>
      <c r="V56" s="18" t="s">
        <v>32</v>
      </c>
      <c r="W56" s="18" t="s">
        <v>32</v>
      </c>
      <c r="X56" s="18" t="s">
        <v>32</v>
      </c>
      <c r="Y56" s="18" t="s">
        <v>32</v>
      </c>
      <c r="Z56" s="18" t="s">
        <v>32</v>
      </c>
      <c r="AA56" s="18" t="s">
        <v>32</v>
      </c>
    </row>
    <row r="57" s="18" customFormat="1" spans="1:27">
      <c r="A57" s="18" t="s">
        <v>27</v>
      </c>
      <c r="B57" s="18" t="s">
        <v>28</v>
      </c>
      <c r="C57" s="18">
        <v>2225702</v>
      </c>
      <c r="D57" s="17">
        <v>254795874620</v>
      </c>
      <c r="E57" s="20">
        <v>44060.4280324074</v>
      </c>
      <c r="F57" s="18">
        <v>235.71</v>
      </c>
      <c r="G57" s="18">
        <v>0.03</v>
      </c>
      <c r="H57" s="18">
        <v>235.68</v>
      </c>
      <c r="I57" s="18">
        <v>38.21</v>
      </c>
      <c r="J57" s="18">
        <v>0.01</v>
      </c>
      <c r="K57" s="18">
        <v>38.2</v>
      </c>
      <c r="L57" s="18">
        <v>67.14</v>
      </c>
      <c r="M57" s="18">
        <v>8930</v>
      </c>
      <c r="N57" s="18">
        <v>8.57</v>
      </c>
      <c r="O57" s="18">
        <v>1139.81</v>
      </c>
      <c r="P57" s="18" t="s">
        <v>34</v>
      </c>
      <c r="Q57" s="18" t="s">
        <v>30</v>
      </c>
      <c r="R57" s="18" t="s">
        <v>31</v>
      </c>
      <c r="S57" s="18">
        <v>0</v>
      </c>
      <c r="T57" s="18">
        <v>0</v>
      </c>
      <c r="U57" s="18">
        <v>0</v>
      </c>
      <c r="V57" s="18" t="s">
        <v>32</v>
      </c>
      <c r="W57" s="18" t="s">
        <v>32</v>
      </c>
      <c r="X57" s="18" t="s">
        <v>32</v>
      </c>
      <c r="Y57" s="18" t="s">
        <v>32</v>
      </c>
      <c r="Z57" s="18" t="s">
        <v>32</v>
      </c>
      <c r="AA57" s="18" t="s">
        <v>32</v>
      </c>
    </row>
    <row r="58" s="18" customFormat="1" spans="1:27">
      <c r="A58" s="18" t="s">
        <v>27</v>
      </c>
      <c r="B58" s="18" t="s">
        <v>28</v>
      </c>
      <c r="C58" s="18">
        <v>20679651</v>
      </c>
      <c r="D58" s="17">
        <v>254796811544</v>
      </c>
      <c r="E58" s="20">
        <v>46032.8410300926</v>
      </c>
      <c r="F58" s="18">
        <v>8199.47</v>
      </c>
      <c r="G58" s="18">
        <v>0</v>
      </c>
      <c r="H58" s="18">
        <v>8199.47</v>
      </c>
      <c r="I58" s="18">
        <v>630.3</v>
      </c>
      <c r="J58" s="18">
        <v>0</v>
      </c>
      <c r="K58" s="18">
        <v>630.3</v>
      </c>
      <c r="L58" s="18">
        <v>2183.16</v>
      </c>
      <c r="M58" s="18">
        <v>290360</v>
      </c>
      <c r="N58" s="18">
        <v>1325.19</v>
      </c>
      <c r="O58" s="18">
        <v>176250.27</v>
      </c>
      <c r="P58" s="18" t="s">
        <v>29</v>
      </c>
      <c r="Q58" s="18" t="s">
        <v>33</v>
      </c>
      <c r="R58" s="18" t="s">
        <v>31</v>
      </c>
      <c r="S58" s="18">
        <v>0</v>
      </c>
      <c r="T58" s="18">
        <v>0</v>
      </c>
      <c r="U58" s="18">
        <v>0</v>
      </c>
      <c r="V58" s="18" t="s">
        <v>32</v>
      </c>
      <c r="W58" s="18" t="s">
        <v>32</v>
      </c>
      <c r="X58" s="18" t="s">
        <v>32</v>
      </c>
      <c r="Y58" s="18" t="s">
        <v>32</v>
      </c>
      <c r="Z58" s="18" t="s">
        <v>32</v>
      </c>
      <c r="AA58" s="18" t="s">
        <v>32</v>
      </c>
    </row>
    <row r="59" s="4" customFormat="1" spans="1:27">
      <c r="A59" s="4" t="s">
        <v>36</v>
      </c>
      <c r="B59" s="4" t="s">
        <v>28</v>
      </c>
      <c r="C59" s="4">
        <v>8786540</v>
      </c>
      <c r="D59" s="19" t="s">
        <v>37</v>
      </c>
      <c r="E59" s="21">
        <v>44833.1743171296</v>
      </c>
      <c r="F59" s="4">
        <v>6185.22</v>
      </c>
      <c r="G59" s="4">
        <v>3.75</v>
      </c>
      <c r="H59" s="4">
        <v>6181.46</v>
      </c>
      <c r="I59" s="4">
        <v>-55.13</v>
      </c>
      <c r="J59" s="4">
        <v>3.75</v>
      </c>
      <c r="K59" s="4">
        <v>-58.88</v>
      </c>
      <c r="L59" s="4">
        <v>1580.49</v>
      </c>
      <c r="M59" s="4">
        <v>210205</v>
      </c>
      <c r="N59" s="4">
        <v>24.37</v>
      </c>
      <c r="O59" s="4">
        <v>3241.21</v>
      </c>
      <c r="P59" s="4" t="s">
        <v>34</v>
      </c>
      <c r="Q59" s="4" t="s">
        <v>33</v>
      </c>
      <c r="R59" s="4" t="s">
        <v>38</v>
      </c>
      <c r="S59" s="4">
        <v>0</v>
      </c>
      <c r="T59" s="4">
        <v>0</v>
      </c>
      <c r="U59" s="4">
        <v>0</v>
      </c>
      <c r="V59" s="4" t="s">
        <v>32</v>
      </c>
      <c r="W59" s="4" t="s">
        <v>32</v>
      </c>
      <c r="X59" s="4" t="s">
        <v>32</v>
      </c>
      <c r="Y59" s="4" t="s">
        <v>32</v>
      </c>
      <c r="Z59" s="4" t="s">
        <v>32</v>
      </c>
      <c r="AA59" s="4" t="s">
        <v>32</v>
      </c>
    </row>
    <row r="60" s="4" customFormat="1" spans="1:27">
      <c r="A60" s="4" t="s">
        <v>36</v>
      </c>
      <c r="B60" s="4" t="s">
        <v>28</v>
      </c>
      <c r="C60" s="4">
        <v>18838120</v>
      </c>
      <c r="D60" s="19" t="s">
        <v>39</v>
      </c>
      <c r="E60" s="21">
        <v>45937.5319560185</v>
      </c>
      <c r="F60" s="4">
        <v>330.93</v>
      </c>
      <c r="G60" s="4">
        <v>0.1</v>
      </c>
      <c r="H60" s="4">
        <v>330.83</v>
      </c>
      <c r="I60" s="4">
        <v>15.62</v>
      </c>
      <c r="J60" s="4">
        <v>-0.22</v>
      </c>
      <c r="K60" s="4">
        <v>15.84</v>
      </c>
      <c r="L60" s="4">
        <v>70.53</v>
      </c>
      <c r="M60" s="4">
        <v>9381</v>
      </c>
      <c r="N60" s="4">
        <v>67.01</v>
      </c>
      <c r="O60" s="4">
        <v>8912.33</v>
      </c>
      <c r="P60" s="4" t="s">
        <v>29</v>
      </c>
      <c r="Q60" s="4" t="s">
        <v>30</v>
      </c>
      <c r="R60" s="4" t="s">
        <v>38</v>
      </c>
      <c r="S60" s="4">
        <v>0</v>
      </c>
      <c r="T60" s="4">
        <v>0</v>
      </c>
      <c r="U60" s="4">
        <v>0</v>
      </c>
      <c r="V60" s="4" t="s">
        <v>32</v>
      </c>
      <c r="W60" s="4" t="s">
        <v>32</v>
      </c>
      <c r="X60" s="4" t="s">
        <v>32</v>
      </c>
      <c r="Y60" s="4" t="s">
        <v>32</v>
      </c>
      <c r="Z60" s="4" t="s">
        <v>32</v>
      </c>
      <c r="AA60" s="4" t="s">
        <v>32</v>
      </c>
    </row>
    <row r="61" s="4" customFormat="1" spans="1:27">
      <c r="A61" s="4" t="s">
        <v>36</v>
      </c>
      <c r="B61" s="4" t="s">
        <v>28</v>
      </c>
      <c r="C61" s="4">
        <v>20667840</v>
      </c>
      <c r="D61" s="19" t="s">
        <v>40</v>
      </c>
      <c r="E61" s="21">
        <v>46032.4128009259</v>
      </c>
      <c r="F61" s="4">
        <v>2441.78</v>
      </c>
      <c r="G61" s="4">
        <v>0.14</v>
      </c>
      <c r="H61" s="4">
        <v>2441.65</v>
      </c>
      <c r="I61" s="4">
        <v>207.81</v>
      </c>
      <c r="J61" s="4">
        <v>0.14</v>
      </c>
      <c r="K61" s="4">
        <v>207.68</v>
      </c>
      <c r="L61" s="4">
        <v>341.47</v>
      </c>
      <c r="M61" s="4">
        <v>45415</v>
      </c>
      <c r="N61" s="4">
        <v>264.04</v>
      </c>
      <c r="O61" s="4">
        <v>35117.32</v>
      </c>
      <c r="P61" s="4" t="s">
        <v>34</v>
      </c>
      <c r="Q61" s="4" t="s">
        <v>30</v>
      </c>
      <c r="R61" s="4" t="s">
        <v>38</v>
      </c>
      <c r="S61" s="4">
        <v>0</v>
      </c>
      <c r="T61" s="4">
        <v>0</v>
      </c>
      <c r="U61" s="4">
        <v>0</v>
      </c>
      <c r="V61" s="4" t="s">
        <v>32</v>
      </c>
      <c r="W61" s="4" t="s">
        <v>32</v>
      </c>
      <c r="X61" s="4" t="s">
        <v>32</v>
      </c>
      <c r="Y61" s="4" t="s">
        <v>32</v>
      </c>
      <c r="Z61" s="4" t="s">
        <v>32</v>
      </c>
      <c r="AA61" s="4" t="s">
        <v>32</v>
      </c>
    </row>
    <row r="62" s="4" customFormat="1" spans="1:27">
      <c r="A62" s="4" t="s">
        <v>36</v>
      </c>
      <c r="B62" s="4" t="s">
        <v>28</v>
      </c>
      <c r="C62" s="4">
        <v>22263010</v>
      </c>
      <c r="D62" s="19" t="s">
        <v>41</v>
      </c>
      <c r="E62" s="21">
        <v>46117.5976736111</v>
      </c>
      <c r="F62" s="4">
        <v>515.15</v>
      </c>
      <c r="G62" s="4">
        <v>0</v>
      </c>
      <c r="H62" s="4">
        <v>515.15</v>
      </c>
      <c r="I62" s="4">
        <v>50.53</v>
      </c>
      <c r="J62" s="4">
        <v>0</v>
      </c>
      <c r="K62" s="4">
        <v>50.53</v>
      </c>
      <c r="L62" s="4">
        <v>109.74</v>
      </c>
      <c r="M62" s="4">
        <v>14595</v>
      </c>
      <c r="N62" s="4">
        <v>104.25</v>
      </c>
      <c r="O62" s="4">
        <v>13865.25</v>
      </c>
      <c r="P62" s="4" t="s">
        <v>29</v>
      </c>
      <c r="Q62" s="4" t="s">
        <v>30</v>
      </c>
      <c r="R62" s="4" t="s">
        <v>38</v>
      </c>
      <c r="S62" s="4">
        <v>0</v>
      </c>
      <c r="T62" s="4">
        <v>0</v>
      </c>
      <c r="U62" s="4">
        <v>0</v>
      </c>
      <c r="V62" s="4" t="s">
        <v>32</v>
      </c>
      <c r="W62" s="4" t="s">
        <v>32</v>
      </c>
      <c r="X62" s="4" t="s">
        <v>32</v>
      </c>
      <c r="Y62" s="4" t="s">
        <v>32</v>
      </c>
      <c r="Z62" s="4" t="s">
        <v>32</v>
      </c>
      <c r="AA62" s="4" t="s">
        <v>32</v>
      </c>
    </row>
    <row r="63" s="4" customFormat="1" spans="1:27">
      <c r="A63" s="4" t="s">
        <v>36</v>
      </c>
      <c r="B63" s="4" t="s">
        <v>28</v>
      </c>
      <c r="C63" s="4">
        <v>20967302</v>
      </c>
      <c r="D63" s="19" t="s">
        <v>42</v>
      </c>
      <c r="E63" s="21">
        <v>46047.6954050926</v>
      </c>
      <c r="F63" s="4">
        <v>1586.22</v>
      </c>
      <c r="G63" s="4">
        <v>0</v>
      </c>
      <c r="H63" s="4">
        <v>1586.22</v>
      </c>
      <c r="I63" s="4">
        <v>98.33</v>
      </c>
      <c r="J63" s="4">
        <v>-0.24</v>
      </c>
      <c r="K63" s="4">
        <v>98.57</v>
      </c>
      <c r="L63" s="4">
        <v>103.51</v>
      </c>
      <c r="M63" s="4">
        <v>13767</v>
      </c>
      <c r="N63" s="4">
        <v>50.98</v>
      </c>
      <c r="O63" s="4">
        <v>6780.34</v>
      </c>
      <c r="P63" s="4" t="s">
        <v>34</v>
      </c>
      <c r="Q63" s="4" t="s">
        <v>30</v>
      </c>
      <c r="R63" s="4" t="s">
        <v>38</v>
      </c>
      <c r="S63" s="4">
        <v>0</v>
      </c>
      <c r="T63" s="4">
        <v>0</v>
      </c>
      <c r="U63" s="4">
        <v>0</v>
      </c>
      <c r="V63" s="4" t="s">
        <v>32</v>
      </c>
      <c r="W63" s="4" t="s">
        <v>32</v>
      </c>
      <c r="X63" s="4" t="s">
        <v>32</v>
      </c>
      <c r="Y63" s="4" t="s">
        <v>32</v>
      </c>
      <c r="Z63" s="4" t="s">
        <v>32</v>
      </c>
      <c r="AA63" s="4" t="s">
        <v>32</v>
      </c>
    </row>
    <row r="64" s="4" customFormat="1" spans="1:27">
      <c r="A64" s="4" t="s">
        <v>36</v>
      </c>
      <c r="B64" s="4" t="s">
        <v>28</v>
      </c>
      <c r="C64" s="4">
        <v>20089772</v>
      </c>
      <c r="D64" s="19" t="s">
        <v>43</v>
      </c>
      <c r="E64" s="21">
        <v>46004.620162037</v>
      </c>
      <c r="F64" s="4">
        <v>1836.36</v>
      </c>
      <c r="G64" s="4">
        <v>0</v>
      </c>
      <c r="H64" s="4">
        <v>1836.36</v>
      </c>
      <c r="I64" s="4">
        <v>147.32</v>
      </c>
      <c r="J64" s="4">
        <v>0</v>
      </c>
      <c r="K64" s="4">
        <v>147.32</v>
      </c>
      <c r="L64" s="4">
        <v>437.11</v>
      </c>
      <c r="M64" s="4">
        <v>58135</v>
      </c>
      <c r="N64" s="4">
        <v>414.29</v>
      </c>
      <c r="O64" s="4">
        <v>55100.57</v>
      </c>
      <c r="P64" s="4" t="s">
        <v>29</v>
      </c>
      <c r="Q64" s="4" t="s">
        <v>30</v>
      </c>
      <c r="R64" s="4" t="s">
        <v>38</v>
      </c>
      <c r="S64" s="4">
        <v>0</v>
      </c>
      <c r="T64" s="4">
        <v>0</v>
      </c>
      <c r="U64" s="4">
        <v>0</v>
      </c>
      <c r="V64" s="4" t="s">
        <v>32</v>
      </c>
      <c r="W64" s="4" t="s">
        <v>32</v>
      </c>
      <c r="X64" s="4" t="s">
        <v>32</v>
      </c>
      <c r="Y64" s="4" t="s">
        <v>32</v>
      </c>
      <c r="Z64" s="4" t="s">
        <v>32</v>
      </c>
      <c r="AA64" s="4" t="s">
        <v>32</v>
      </c>
    </row>
    <row r="65" s="4" customFormat="1" spans="1:27">
      <c r="A65" s="4" t="s">
        <v>36</v>
      </c>
      <c r="B65" s="4" t="s">
        <v>28</v>
      </c>
      <c r="C65" s="4">
        <v>11930770</v>
      </c>
      <c r="D65" s="19" t="s">
        <v>44</v>
      </c>
      <c r="E65" s="21">
        <v>45297.5372800926</v>
      </c>
      <c r="F65" s="4">
        <v>232.91</v>
      </c>
      <c r="G65" s="4">
        <v>0</v>
      </c>
      <c r="H65" s="4">
        <v>232.91</v>
      </c>
      <c r="I65" s="4">
        <v>42.06</v>
      </c>
      <c r="J65" s="4">
        <v>0</v>
      </c>
      <c r="K65" s="4">
        <v>42.06</v>
      </c>
      <c r="L65" s="4">
        <v>83.41</v>
      </c>
      <c r="M65" s="4">
        <v>11094</v>
      </c>
      <c r="N65" s="4">
        <v>51.4</v>
      </c>
      <c r="O65" s="4">
        <v>6836.2</v>
      </c>
      <c r="P65" s="4" t="s">
        <v>34</v>
      </c>
      <c r="Q65" s="4" t="s">
        <v>30</v>
      </c>
      <c r="R65" s="4" t="s">
        <v>38</v>
      </c>
      <c r="S65" s="4">
        <v>0</v>
      </c>
      <c r="T65" s="4">
        <v>0</v>
      </c>
      <c r="U65" s="4">
        <v>0</v>
      </c>
      <c r="V65" s="4" t="s">
        <v>32</v>
      </c>
      <c r="W65" s="4" t="s">
        <v>32</v>
      </c>
      <c r="X65" s="4" t="s">
        <v>32</v>
      </c>
      <c r="Y65" s="4" t="s">
        <v>32</v>
      </c>
      <c r="Z65" s="4" t="s">
        <v>32</v>
      </c>
      <c r="AA65" s="4" t="s">
        <v>32</v>
      </c>
    </row>
    <row r="66" s="4" customFormat="1" spans="1:27">
      <c r="A66" s="4" t="s">
        <v>36</v>
      </c>
      <c r="B66" s="4" t="s">
        <v>28</v>
      </c>
      <c r="C66" s="4">
        <v>4819872</v>
      </c>
      <c r="D66" s="19" t="s">
        <v>45</v>
      </c>
      <c r="E66" s="21">
        <v>44367.3291550926</v>
      </c>
      <c r="F66" s="4">
        <v>336.43</v>
      </c>
      <c r="G66" s="4">
        <v>0</v>
      </c>
      <c r="H66" s="4">
        <v>336.43</v>
      </c>
      <c r="I66" s="4">
        <v>31.4</v>
      </c>
      <c r="J66" s="4">
        <v>0</v>
      </c>
      <c r="K66" s="4">
        <v>31.4</v>
      </c>
      <c r="L66" s="4">
        <v>100.24</v>
      </c>
      <c r="M66" s="4">
        <v>13332</v>
      </c>
      <c r="N66" s="4">
        <v>0</v>
      </c>
      <c r="O66" s="4">
        <v>0</v>
      </c>
      <c r="P66" s="4" t="s">
        <v>34</v>
      </c>
      <c r="Q66" s="4" t="s">
        <v>30</v>
      </c>
      <c r="R66" s="4" t="s">
        <v>38</v>
      </c>
      <c r="S66" s="4">
        <v>0</v>
      </c>
      <c r="T66" s="4">
        <v>0</v>
      </c>
      <c r="U66" s="4">
        <v>0</v>
      </c>
      <c r="V66" s="4" t="s">
        <v>32</v>
      </c>
      <c r="W66" s="4" t="s">
        <v>32</v>
      </c>
      <c r="X66" s="4" t="s">
        <v>32</v>
      </c>
      <c r="Y66" s="4" t="s">
        <v>32</v>
      </c>
      <c r="Z66" s="4" t="s">
        <v>32</v>
      </c>
      <c r="AA66" s="4" t="s">
        <v>32</v>
      </c>
    </row>
    <row r="67" s="4" customFormat="1" spans="1:27">
      <c r="A67" s="4" t="s">
        <v>36</v>
      </c>
      <c r="B67" s="4" t="s">
        <v>28</v>
      </c>
      <c r="C67" s="4">
        <v>22174682</v>
      </c>
      <c r="D67" s="19" t="s">
        <v>46</v>
      </c>
      <c r="E67" s="21">
        <v>46112.3816898148</v>
      </c>
      <c r="F67" s="4">
        <v>1015.07</v>
      </c>
      <c r="G67" s="4">
        <v>1.2</v>
      </c>
      <c r="H67" s="4">
        <v>1013.87</v>
      </c>
      <c r="I67" s="4">
        <v>60.7</v>
      </c>
      <c r="J67" s="4">
        <v>-0.03</v>
      </c>
      <c r="K67" s="4">
        <v>60.73</v>
      </c>
      <c r="L67" s="4">
        <v>105.45</v>
      </c>
      <c r="M67" s="4">
        <v>14025</v>
      </c>
      <c r="N67" s="4">
        <v>100.18</v>
      </c>
      <c r="O67" s="4">
        <v>13323.94</v>
      </c>
      <c r="P67" s="4" t="s">
        <v>34</v>
      </c>
      <c r="Q67" s="4" t="s">
        <v>30</v>
      </c>
      <c r="R67" s="4" t="s">
        <v>38</v>
      </c>
      <c r="S67" s="4">
        <v>0</v>
      </c>
      <c r="T67" s="4">
        <v>0</v>
      </c>
      <c r="U67" s="4">
        <v>0</v>
      </c>
      <c r="V67" s="4" t="s">
        <v>32</v>
      </c>
      <c r="W67" s="4" t="s">
        <v>32</v>
      </c>
      <c r="X67" s="4" t="s">
        <v>32</v>
      </c>
      <c r="Y67" s="4" t="s">
        <v>32</v>
      </c>
      <c r="Z67" s="4" t="s">
        <v>32</v>
      </c>
      <c r="AA67" s="4" t="s">
        <v>32</v>
      </c>
    </row>
    <row r="68" s="4" customFormat="1" spans="1:27">
      <c r="A68" s="4" t="s">
        <v>36</v>
      </c>
      <c r="B68" s="4" t="s">
        <v>28</v>
      </c>
      <c r="C68" s="4">
        <v>13220582</v>
      </c>
      <c r="D68" s="19" t="s">
        <v>47</v>
      </c>
      <c r="E68" s="21">
        <v>45468.5904050926</v>
      </c>
      <c r="F68" s="4">
        <v>231.41</v>
      </c>
      <c r="G68" s="4">
        <v>0.08</v>
      </c>
      <c r="H68" s="4">
        <v>231.33</v>
      </c>
      <c r="I68" s="4">
        <v>9.57</v>
      </c>
      <c r="J68" s="4">
        <v>0.08</v>
      </c>
      <c r="K68" s="4">
        <v>9.48</v>
      </c>
      <c r="L68" s="4">
        <v>57.57</v>
      </c>
      <c r="M68" s="4">
        <v>7657</v>
      </c>
      <c r="N68" s="4">
        <v>0</v>
      </c>
      <c r="O68" s="4">
        <v>0</v>
      </c>
      <c r="P68" s="4" t="s">
        <v>34</v>
      </c>
      <c r="Q68" s="4" t="s">
        <v>30</v>
      </c>
      <c r="R68" s="4" t="s">
        <v>38</v>
      </c>
      <c r="S68" s="4">
        <v>0</v>
      </c>
      <c r="T68" s="4">
        <v>0</v>
      </c>
      <c r="U68" s="4">
        <v>0</v>
      </c>
      <c r="V68" s="4" t="s">
        <v>32</v>
      </c>
      <c r="W68" s="4" t="s">
        <v>32</v>
      </c>
      <c r="X68" s="4" t="s">
        <v>32</v>
      </c>
      <c r="Y68" s="4" t="s">
        <v>32</v>
      </c>
      <c r="Z68" s="4" t="s">
        <v>32</v>
      </c>
      <c r="AA68" s="4" t="s">
        <v>32</v>
      </c>
    </row>
    <row r="69" s="4" customFormat="1" spans="1:27">
      <c r="A69" s="4" t="s">
        <v>36</v>
      </c>
      <c r="B69" s="4" t="s">
        <v>28</v>
      </c>
      <c r="C69" s="4">
        <v>18815111</v>
      </c>
      <c r="D69" s="19" t="s">
        <v>48</v>
      </c>
      <c r="E69" s="21">
        <v>45935.6820601852</v>
      </c>
      <c r="F69" s="4">
        <v>1128.66</v>
      </c>
      <c r="G69" s="4">
        <v>0</v>
      </c>
      <c r="H69" s="4">
        <v>1128.66</v>
      </c>
      <c r="I69" s="4">
        <v>39.4</v>
      </c>
      <c r="J69" s="4">
        <v>0</v>
      </c>
      <c r="K69" s="4">
        <v>39.4</v>
      </c>
      <c r="L69" s="4">
        <v>144.89</v>
      </c>
      <c r="M69" s="4">
        <v>19270</v>
      </c>
      <c r="N69" s="4">
        <v>29.57</v>
      </c>
      <c r="O69" s="4">
        <v>3932.81</v>
      </c>
      <c r="P69" s="4" t="s">
        <v>29</v>
      </c>
      <c r="Q69" s="4" t="s">
        <v>30</v>
      </c>
      <c r="R69" s="4" t="s">
        <v>38</v>
      </c>
      <c r="S69" s="4">
        <v>0</v>
      </c>
      <c r="T69" s="4">
        <v>0</v>
      </c>
      <c r="U69" s="4">
        <v>0</v>
      </c>
      <c r="V69" s="4" t="s">
        <v>32</v>
      </c>
      <c r="W69" s="4" t="s">
        <v>32</v>
      </c>
      <c r="X69" s="4" t="s">
        <v>32</v>
      </c>
      <c r="Y69" s="4" t="s">
        <v>32</v>
      </c>
      <c r="Z69" s="4" t="s">
        <v>32</v>
      </c>
      <c r="AA69" s="4" t="s">
        <v>32</v>
      </c>
    </row>
    <row r="70" s="4" customFormat="1" spans="1:27">
      <c r="A70" s="4" t="s">
        <v>36</v>
      </c>
      <c r="B70" s="4" t="s">
        <v>28</v>
      </c>
      <c r="C70" s="4">
        <v>17841480</v>
      </c>
      <c r="D70" s="19" t="s">
        <v>49</v>
      </c>
      <c r="E70" s="21">
        <v>45878.2861226852</v>
      </c>
      <c r="F70" s="4">
        <v>2845.08</v>
      </c>
      <c r="G70" s="4">
        <v>0</v>
      </c>
      <c r="H70" s="4">
        <v>2845.08</v>
      </c>
      <c r="I70" s="4">
        <v>91.17</v>
      </c>
      <c r="J70" s="4">
        <v>0</v>
      </c>
      <c r="K70" s="4">
        <v>91.17</v>
      </c>
      <c r="L70" s="4">
        <v>266.31</v>
      </c>
      <c r="M70" s="4">
        <v>35419</v>
      </c>
      <c r="N70" s="4">
        <v>68.58</v>
      </c>
      <c r="O70" s="4">
        <v>9121.14</v>
      </c>
      <c r="P70" s="4" t="s">
        <v>29</v>
      </c>
      <c r="Q70" s="4" t="s">
        <v>30</v>
      </c>
      <c r="R70" s="4" t="s">
        <v>38</v>
      </c>
      <c r="S70" s="4">
        <v>0</v>
      </c>
      <c r="T70" s="4">
        <v>0</v>
      </c>
      <c r="U70" s="4">
        <v>0</v>
      </c>
      <c r="V70" s="4" t="s">
        <v>32</v>
      </c>
      <c r="W70" s="4" t="s">
        <v>32</v>
      </c>
      <c r="X70" s="4" t="s">
        <v>32</v>
      </c>
      <c r="Y70" s="4" t="s">
        <v>32</v>
      </c>
      <c r="Z70" s="4" t="s">
        <v>32</v>
      </c>
      <c r="AA70" s="4" t="s">
        <v>32</v>
      </c>
    </row>
    <row r="71" s="4" customFormat="1" spans="1:27">
      <c r="A71" s="4" t="s">
        <v>36</v>
      </c>
      <c r="B71" s="4" t="s">
        <v>28</v>
      </c>
      <c r="C71" s="4">
        <v>22895311</v>
      </c>
      <c r="D71" s="19" t="s">
        <v>50</v>
      </c>
      <c r="E71" s="21">
        <v>46158.3156597222</v>
      </c>
      <c r="F71" s="4">
        <v>610.59</v>
      </c>
      <c r="G71" s="4">
        <v>0</v>
      </c>
      <c r="H71" s="4">
        <v>610.59</v>
      </c>
      <c r="I71" s="4">
        <v>405.85</v>
      </c>
      <c r="J71" s="4">
        <v>0</v>
      </c>
      <c r="K71" s="4">
        <v>405.85</v>
      </c>
      <c r="L71" s="4">
        <v>427.22</v>
      </c>
      <c r="M71" s="4">
        <v>56820</v>
      </c>
      <c r="N71" s="4">
        <v>405.86</v>
      </c>
      <c r="O71" s="4">
        <v>53979.38</v>
      </c>
      <c r="P71" s="4" t="s">
        <v>29</v>
      </c>
      <c r="Q71" s="4" t="s">
        <v>30</v>
      </c>
      <c r="R71" s="4" t="s">
        <v>38</v>
      </c>
      <c r="S71" s="4">
        <v>0</v>
      </c>
      <c r="T71" s="4">
        <v>0</v>
      </c>
      <c r="U71" s="4">
        <v>0</v>
      </c>
      <c r="V71" s="4" t="s">
        <v>32</v>
      </c>
      <c r="W71" s="4" t="s">
        <v>32</v>
      </c>
      <c r="X71" s="4" t="s">
        <v>32</v>
      </c>
      <c r="Y71" s="4" t="s">
        <v>32</v>
      </c>
      <c r="Z71" s="4" t="s">
        <v>32</v>
      </c>
      <c r="AA71" s="4" t="s">
        <v>32</v>
      </c>
    </row>
    <row r="72" s="4" customFormat="1" spans="1:27">
      <c r="A72" s="4" t="s">
        <v>36</v>
      </c>
      <c r="B72" s="4" t="s">
        <v>28</v>
      </c>
      <c r="C72" s="4">
        <v>19226332</v>
      </c>
      <c r="D72" s="19" t="s">
        <v>51</v>
      </c>
      <c r="E72" s="21">
        <v>45962.6461111111</v>
      </c>
      <c r="F72" s="4">
        <v>959.48</v>
      </c>
      <c r="G72" s="4">
        <v>0.2</v>
      </c>
      <c r="H72" s="4">
        <v>959.29</v>
      </c>
      <c r="I72" s="4">
        <v>23.21</v>
      </c>
      <c r="J72" s="4">
        <v>0.2</v>
      </c>
      <c r="K72" s="4">
        <v>23.02</v>
      </c>
      <c r="L72" s="4">
        <v>194.57</v>
      </c>
      <c r="M72" s="4">
        <v>25878</v>
      </c>
      <c r="N72" s="4">
        <v>41.51</v>
      </c>
      <c r="O72" s="4">
        <v>5520.83</v>
      </c>
      <c r="P72" s="4" t="s">
        <v>34</v>
      </c>
      <c r="Q72" s="4" t="s">
        <v>30</v>
      </c>
      <c r="R72" s="4" t="s">
        <v>38</v>
      </c>
      <c r="S72" s="4">
        <v>0</v>
      </c>
      <c r="T72" s="4">
        <v>0</v>
      </c>
      <c r="U72" s="4">
        <v>0</v>
      </c>
      <c r="V72" s="4" t="s">
        <v>32</v>
      </c>
      <c r="W72" s="4" t="s">
        <v>32</v>
      </c>
      <c r="X72" s="4" t="s">
        <v>32</v>
      </c>
      <c r="Y72" s="4" t="s">
        <v>32</v>
      </c>
      <c r="Z72" s="4" t="s">
        <v>32</v>
      </c>
      <c r="AA72" s="4" t="s">
        <v>32</v>
      </c>
    </row>
    <row r="73" s="4" customFormat="1" spans="1:27">
      <c r="A73" s="4" t="s">
        <v>36</v>
      </c>
      <c r="B73" s="4" t="s">
        <v>28</v>
      </c>
      <c r="C73" s="4">
        <v>13520880</v>
      </c>
      <c r="D73" s="19" t="s">
        <v>52</v>
      </c>
      <c r="E73" s="21">
        <v>45528.3533449074</v>
      </c>
      <c r="F73" s="4">
        <v>1385.58</v>
      </c>
      <c r="G73" s="4">
        <v>0</v>
      </c>
      <c r="H73" s="4">
        <v>1385.58</v>
      </c>
      <c r="I73" s="4">
        <v>22.76</v>
      </c>
      <c r="J73" s="4">
        <v>0</v>
      </c>
      <c r="K73" s="4">
        <v>22.76</v>
      </c>
      <c r="L73" s="4">
        <v>123.08</v>
      </c>
      <c r="M73" s="4">
        <v>16369</v>
      </c>
      <c r="N73" s="4">
        <v>8.62</v>
      </c>
      <c r="O73" s="4">
        <v>1146.46</v>
      </c>
      <c r="P73" s="4" t="s">
        <v>29</v>
      </c>
      <c r="Q73" s="4" t="s">
        <v>30</v>
      </c>
      <c r="R73" s="4" t="s">
        <v>38</v>
      </c>
      <c r="S73" s="4">
        <v>0</v>
      </c>
      <c r="T73" s="4">
        <v>0</v>
      </c>
      <c r="U73" s="4">
        <v>0</v>
      </c>
      <c r="V73" s="4" t="s">
        <v>32</v>
      </c>
      <c r="W73" s="4" t="s">
        <v>32</v>
      </c>
      <c r="X73" s="4" t="s">
        <v>32</v>
      </c>
      <c r="Y73" s="4" t="s">
        <v>32</v>
      </c>
      <c r="Z73" s="4" t="s">
        <v>32</v>
      </c>
      <c r="AA73" s="4" t="s">
        <v>32</v>
      </c>
    </row>
    <row r="74" s="4" customFormat="1" spans="1:27">
      <c r="A74" s="4" t="s">
        <v>36</v>
      </c>
      <c r="B74" s="4" t="s">
        <v>28</v>
      </c>
      <c r="C74" s="4">
        <v>12248490</v>
      </c>
      <c r="D74" s="19" t="s">
        <v>53</v>
      </c>
      <c r="E74" s="21">
        <v>45326.4781597222</v>
      </c>
      <c r="F74" s="4">
        <v>462.66</v>
      </c>
      <c r="G74" s="4">
        <v>0.01</v>
      </c>
      <c r="H74" s="4">
        <v>462.65</v>
      </c>
      <c r="I74" s="4">
        <v>46.82</v>
      </c>
      <c r="J74" s="4">
        <v>0.01</v>
      </c>
      <c r="K74" s="4">
        <v>46.81</v>
      </c>
      <c r="L74" s="4">
        <v>128.77</v>
      </c>
      <c r="M74" s="4">
        <v>17126</v>
      </c>
      <c r="N74" s="4">
        <v>7.86</v>
      </c>
      <c r="O74" s="4">
        <v>1045.38</v>
      </c>
      <c r="P74" s="4" t="s">
        <v>34</v>
      </c>
      <c r="Q74" s="4" t="s">
        <v>30</v>
      </c>
      <c r="R74" s="4" t="s">
        <v>38</v>
      </c>
      <c r="S74" s="4">
        <v>0</v>
      </c>
      <c r="T74" s="4">
        <v>0</v>
      </c>
      <c r="U74" s="4">
        <v>0</v>
      </c>
      <c r="V74" s="4" t="s">
        <v>32</v>
      </c>
      <c r="W74" s="4" t="s">
        <v>32</v>
      </c>
      <c r="X74" s="4" t="s">
        <v>32</v>
      </c>
      <c r="Y74" s="4" t="s">
        <v>32</v>
      </c>
      <c r="Z74" s="4" t="s">
        <v>32</v>
      </c>
      <c r="AA74" s="4" t="s">
        <v>32</v>
      </c>
    </row>
    <row r="75" s="4" customFormat="1" spans="1:27">
      <c r="A75" s="4" t="s">
        <v>36</v>
      </c>
      <c r="B75" s="4" t="s">
        <v>28</v>
      </c>
      <c r="C75" s="4">
        <v>16630581</v>
      </c>
      <c r="D75" s="19" t="s">
        <v>54</v>
      </c>
      <c r="E75" s="21">
        <v>45786.4683680556</v>
      </c>
      <c r="F75" s="4">
        <v>313.08</v>
      </c>
      <c r="G75" s="4">
        <v>0</v>
      </c>
      <c r="H75" s="4">
        <v>313.08</v>
      </c>
      <c r="I75" s="4">
        <v>35.63</v>
      </c>
      <c r="J75" s="4">
        <v>0</v>
      </c>
      <c r="K75" s="4">
        <v>35.63</v>
      </c>
      <c r="L75" s="4">
        <v>61.24</v>
      </c>
      <c r="M75" s="4">
        <v>8145</v>
      </c>
      <c r="N75" s="4">
        <v>58.18</v>
      </c>
      <c r="O75" s="4">
        <v>7737.94</v>
      </c>
      <c r="P75" s="4" t="s">
        <v>29</v>
      </c>
      <c r="Q75" s="4" t="s">
        <v>30</v>
      </c>
      <c r="R75" s="4" t="s">
        <v>38</v>
      </c>
      <c r="S75" s="4">
        <v>0</v>
      </c>
      <c r="T75" s="4">
        <v>0</v>
      </c>
      <c r="U75" s="4">
        <v>0</v>
      </c>
      <c r="V75" s="4" t="s">
        <v>32</v>
      </c>
      <c r="W75" s="4" t="s">
        <v>32</v>
      </c>
      <c r="X75" s="4" t="s">
        <v>32</v>
      </c>
      <c r="Y75" s="4" t="s">
        <v>32</v>
      </c>
      <c r="Z75" s="4" t="s">
        <v>32</v>
      </c>
      <c r="AA75" s="4" t="s">
        <v>32</v>
      </c>
    </row>
    <row r="76" s="4" customFormat="1" spans="1:27">
      <c r="A76" s="4" t="s">
        <v>36</v>
      </c>
      <c r="B76" s="4" t="s">
        <v>28</v>
      </c>
      <c r="C76" s="4">
        <v>11496691</v>
      </c>
      <c r="D76" s="19" t="s">
        <v>55</v>
      </c>
      <c r="E76" s="21">
        <v>45257.4915509259</v>
      </c>
      <c r="F76" s="4">
        <v>3891.26</v>
      </c>
      <c r="G76" s="4">
        <v>0.01</v>
      </c>
      <c r="H76" s="4">
        <v>3891.25</v>
      </c>
      <c r="I76" s="4">
        <v>55.05</v>
      </c>
      <c r="J76" s="4">
        <v>0</v>
      </c>
      <c r="K76" s="4">
        <v>55.05</v>
      </c>
      <c r="L76" s="4">
        <v>765.95</v>
      </c>
      <c r="M76" s="4">
        <v>101872</v>
      </c>
      <c r="N76" s="4">
        <v>0</v>
      </c>
      <c r="O76" s="4">
        <v>0</v>
      </c>
      <c r="P76" s="4" t="s">
        <v>29</v>
      </c>
      <c r="Q76" s="4" t="s">
        <v>30</v>
      </c>
      <c r="R76" s="4" t="s">
        <v>38</v>
      </c>
      <c r="S76" s="4">
        <v>0</v>
      </c>
      <c r="T76" s="4">
        <v>0</v>
      </c>
      <c r="U76" s="4">
        <v>0</v>
      </c>
      <c r="V76" s="4" t="s">
        <v>32</v>
      </c>
      <c r="W76" s="4" t="s">
        <v>32</v>
      </c>
      <c r="X76" s="4" t="s">
        <v>32</v>
      </c>
      <c r="Y76" s="4" t="s">
        <v>32</v>
      </c>
      <c r="Z76" s="4" t="s">
        <v>32</v>
      </c>
      <c r="AA76" s="4" t="s">
        <v>32</v>
      </c>
    </row>
    <row r="77" s="4" customFormat="1" spans="1:27">
      <c r="A77" s="4" t="s">
        <v>36</v>
      </c>
      <c r="B77" s="4" t="s">
        <v>28</v>
      </c>
      <c r="C77" s="4">
        <v>8747812</v>
      </c>
      <c r="D77" s="19" t="s">
        <v>56</v>
      </c>
      <c r="E77" s="21">
        <v>44825.5132060185</v>
      </c>
      <c r="F77" s="4">
        <v>1353.25</v>
      </c>
      <c r="G77" s="4">
        <v>0</v>
      </c>
      <c r="H77" s="4">
        <v>1353.25</v>
      </c>
      <c r="I77" s="4">
        <v>-21.27</v>
      </c>
      <c r="J77" s="4">
        <v>0</v>
      </c>
      <c r="K77" s="4">
        <v>-21.27</v>
      </c>
      <c r="L77" s="4">
        <v>312.42</v>
      </c>
      <c r="M77" s="4">
        <v>41552</v>
      </c>
      <c r="N77" s="4">
        <v>46.64</v>
      </c>
      <c r="O77" s="4">
        <v>6203.12</v>
      </c>
      <c r="P77" s="4" t="s">
        <v>34</v>
      </c>
      <c r="Q77" s="4" t="s">
        <v>30</v>
      </c>
      <c r="R77" s="4" t="s">
        <v>38</v>
      </c>
      <c r="S77" s="4">
        <v>0</v>
      </c>
      <c r="T77" s="4">
        <v>0</v>
      </c>
      <c r="U77" s="4">
        <v>0</v>
      </c>
      <c r="V77" s="4" t="s">
        <v>32</v>
      </c>
      <c r="W77" s="4" t="s">
        <v>32</v>
      </c>
      <c r="X77" s="4" t="s">
        <v>32</v>
      </c>
      <c r="Y77" s="4" t="s">
        <v>32</v>
      </c>
      <c r="Z77" s="4" t="s">
        <v>32</v>
      </c>
      <c r="AA77" s="4" t="s">
        <v>32</v>
      </c>
    </row>
    <row r="78" s="4" customFormat="1" spans="1:27">
      <c r="A78" s="4" t="s">
        <v>36</v>
      </c>
      <c r="B78" s="4" t="s">
        <v>28</v>
      </c>
      <c r="C78" s="4">
        <v>122870</v>
      </c>
      <c r="D78" s="19" t="s">
        <v>57</v>
      </c>
      <c r="E78" s="21">
        <v>43895.2449421296</v>
      </c>
      <c r="F78" s="4">
        <v>4703.16</v>
      </c>
      <c r="G78" s="4">
        <v>17.01</v>
      </c>
      <c r="H78" s="4">
        <v>4686.15</v>
      </c>
      <c r="I78" s="4">
        <v>283.9</v>
      </c>
      <c r="J78" s="4">
        <v>17.01</v>
      </c>
      <c r="K78" s="4">
        <v>266.89</v>
      </c>
      <c r="L78" s="4">
        <v>1209.02</v>
      </c>
      <c r="M78" s="4">
        <v>160800</v>
      </c>
      <c r="N78" s="4">
        <v>1148.57</v>
      </c>
      <c r="O78" s="4">
        <v>152759.81</v>
      </c>
      <c r="P78" s="4" t="s">
        <v>29</v>
      </c>
      <c r="Q78" s="4" t="s">
        <v>33</v>
      </c>
      <c r="R78" s="4" t="s">
        <v>38</v>
      </c>
      <c r="S78" s="4">
        <v>0</v>
      </c>
      <c r="T78" s="4">
        <v>0</v>
      </c>
      <c r="U78" s="4">
        <v>0</v>
      </c>
      <c r="V78" s="4" t="s">
        <v>32</v>
      </c>
      <c r="W78" s="4" t="s">
        <v>32</v>
      </c>
      <c r="X78" s="4" t="s">
        <v>32</v>
      </c>
      <c r="Y78" s="4" t="s">
        <v>32</v>
      </c>
      <c r="Z78" s="4" t="s">
        <v>32</v>
      </c>
      <c r="AA78" s="4" t="s">
        <v>32</v>
      </c>
    </row>
    <row r="79" s="4" customFormat="1" spans="1:27">
      <c r="A79" s="4" t="s">
        <v>36</v>
      </c>
      <c r="B79" s="4" t="s">
        <v>28</v>
      </c>
      <c r="C79" s="4">
        <v>21885162</v>
      </c>
      <c r="D79" s="19" t="s">
        <v>58</v>
      </c>
      <c r="E79" s="21">
        <v>46095.200150463</v>
      </c>
      <c r="F79" s="4">
        <v>1191.01</v>
      </c>
      <c r="G79" s="4">
        <v>0.01</v>
      </c>
      <c r="H79" s="4">
        <v>1191</v>
      </c>
      <c r="I79" s="4">
        <v>-77.13</v>
      </c>
      <c r="J79" s="4">
        <v>0.01</v>
      </c>
      <c r="K79" s="4">
        <v>-77.13</v>
      </c>
      <c r="L79" s="4">
        <v>89.18</v>
      </c>
      <c r="M79" s="4">
        <v>11861</v>
      </c>
      <c r="N79" s="4">
        <v>84.72</v>
      </c>
      <c r="O79" s="4">
        <v>11267.76</v>
      </c>
      <c r="P79" s="4" t="s">
        <v>29</v>
      </c>
      <c r="Q79" s="4" t="s">
        <v>30</v>
      </c>
      <c r="R79" s="4" t="s">
        <v>38</v>
      </c>
      <c r="S79" s="4">
        <v>0</v>
      </c>
      <c r="T79" s="4">
        <v>0</v>
      </c>
      <c r="U79" s="4">
        <v>0</v>
      </c>
      <c r="V79" s="4" t="s">
        <v>32</v>
      </c>
      <c r="W79" s="4" t="s">
        <v>32</v>
      </c>
      <c r="X79" s="4" t="s">
        <v>32</v>
      </c>
      <c r="Y79" s="4" t="s">
        <v>32</v>
      </c>
      <c r="Z79" s="4" t="s">
        <v>32</v>
      </c>
      <c r="AA79" s="4" t="s">
        <v>32</v>
      </c>
    </row>
    <row r="80" s="4" customFormat="1" spans="1:27">
      <c r="A80" s="4" t="s">
        <v>36</v>
      </c>
      <c r="B80" s="4" t="s">
        <v>28</v>
      </c>
      <c r="C80" s="4">
        <v>17023880</v>
      </c>
      <c r="D80" s="19" t="s">
        <v>59</v>
      </c>
      <c r="E80" s="21">
        <v>45824.5703703704</v>
      </c>
      <c r="F80" s="4">
        <v>586.71</v>
      </c>
      <c r="G80" s="4">
        <v>0.15</v>
      </c>
      <c r="H80" s="4">
        <v>586.56</v>
      </c>
      <c r="I80" s="4">
        <v>26.21</v>
      </c>
      <c r="J80" s="4">
        <v>0</v>
      </c>
      <c r="K80" s="4">
        <v>26.21</v>
      </c>
      <c r="L80" s="4">
        <v>63.9</v>
      </c>
      <c r="M80" s="4">
        <v>8499</v>
      </c>
      <c r="N80" s="4">
        <v>0.39</v>
      </c>
      <c r="O80" s="4">
        <v>51.87</v>
      </c>
      <c r="P80" s="4" t="s">
        <v>29</v>
      </c>
      <c r="Q80" s="4" t="s">
        <v>30</v>
      </c>
      <c r="R80" s="4" t="s">
        <v>38</v>
      </c>
      <c r="S80" s="4">
        <v>0</v>
      </c>
      <c r="T80" s="4">
        <v>0</v>
      </c>
      <c r="U80" s="4">
        <v>0</v>
      </c>
      <c r="V80" s="4" t="s">
        <v>32</v>
      </c>
      <c r="W80" s="4" t="s">
        <v>32</v>
      </c>
      <c r="X80" s="4" t="s">
        <v>32</v>
      </c>
      <c r="Y80" s="4" t="s">
        <v>32</v>
      </c>
      <c r="Z80" s="4" t="s">
        <v>32</v>
      </c>
      <c r="AA80" s="4" t="s">
        <v>32</v>
      </c>
    </row>
    <row r="81" s="4" customFormat="1" spans="1:27">
      <c r="A81" s="4" t="s">
        <v>36</v>
      </c>
      <c r="B81" s="4" t="s">
        <v>28</v>
      </c>
      <c r="C81" s="4">
        <v>13808752</v>
      </c>
      <c r="D81" s="19" t="s">
        <v>60</v>
      </c>
      <c r="E81" s="21">
        <v>45558.375625</v>
      </c>
      <c r="F81" s="4">
        <v>566</v>
      </c>
      <c r="G81" s="4">
        <v>0</v>
      </c>
      <c r="H81" s="4">
        <v>566</v>
      </c>
      <c r="I81" s="4">
        <v>0.44</v>
      </c>
      <c r="J81" s="4">
        <v>0</v>
      </c>
      <c r="K81" s="4">
        <v>0.44</v>
      </c>
      <c r="L81" s="4">
        <v>75.54</v>
      </c>
      <c r="M81" s="4">
        <v>10047</v>
      </c>
      <c r="N81" s="4">
        <v>34.98</v>
      </c>
      <c r="O81" s="4">
        <v>4652.34</v>
      </c>
      <c r="P81" s="4" t="s">
        <v>34</v>
      </c>
      <c r="Q81" s="4" t="s">
        <v>30</v>
      </c>
      <c r="R81" s="4" t="s">
        <v>38</v>
      </c>
      <c r="S81" s="4">
        <v>0</v>
      </c>
      <c r="T81" s="4">
        <v>0</v>
      </c>
      <c r="U81" s="4">
        <v>0</v>
      </c>
      <c r="V81" s="4" t="s">
        <v>32</v>
      </c>
      <c r="W81" s="4" t="s">
        <v>32</v>
      </c>
      <c r="X81" s="4" t="s">
        <v>32</v>
      </c>
      <c r="Y81" s="4" t="s">
        <v>32</v>
      </c>
      <c r="Z81" s="4" t="s">
        <v>32</v>
      </c>
      <c r="AA81" s="4" t="s">
        <v>32</v>
      </c>
    </row>
    <row r="82" s="4" customFormat="1" spans="1:27">
      <c r="A82" s="4" t="s">
        <v>36</v>
      </c>
      <c r="B82" s="4" t="s">
        <v>28</v>
      </c>
      <c r="C82" s="4">
        <v>14243242</v>
      </c>
      <c r="D82" s="19" t="s">
        <v>61</v>
      </c>
      <c r="E82" s="21">
        <v>45588.5492708333</v>
      </c>
      <c r="F82" s="4">
        <v>655.19</v>
      </c>
      <c r="G82" s="4">
        <v>0.02</v>
      </c>
      <c r="H82" s="4">
        <v>655.17</v>
      </c>
      <c r="I82" s="4">
        <v>9.07</v>
      </c>
      <c r="J82" s="4">
        <v>-0.01</v>
      </c>
      <c r="K82" s="4">
        <v>9.08</v>
      </c>
      <c r="L82" s="4">
        <v>271.8</v>
      </c>
      <c r="M82" s="4">
        <v>36150</v>
      </c>
      <c r="N82" s="4">
        <v>77.5</v>
      </c>
      <c r="O82" s="4">
        <v>10307.5</v>
      </c>
      <c r="P82" s="4" t="s">
        <v>34</v>
      </c>
      <c r="Q82" s="4" t="s">
        <v>30</v>
      </c>
      <c r="R82" s="4" t="s">
        <v>38</v>
      </c>
      <c r="S82" s="4">
        <v>0</v>
      </c>
      <c r="T82" s="4">
        <v>0</v>
      </c>
      <c r="U82" s="4">
        <v>0</v>
      </c>
      <c r="V82" s="4" t="s">
        <v>32</v>
      </c>
      <c r="W82" s="4" t="s">
        <v>32</v>
      </c>
      <c r="X82" s="4" t="s">
        <v>32</v>
      </c>
      <c r="Y82" s="4" t="s">
        <v>32</v>
      </c>
      <c r="Z82" s="4" t="s">
        <v>32</v>
      </c>
      <c r="AA82" s="4" t="s">
        <v>32</v>
      </c>
    </row>
    <row r="83" s="4" customFormat="1" spans="1:27">
      <c r="A83" s="4" t="s">
        <v>36</v>
      </c>
      <c r="B83" s="4" t="s">
        <v>28</v>
      </c>
      <c r="C83" s="4">
        <v>95141</v>
      </c>
      <c r="D83" s="19" t="s">
        <v>62</v>
      </c>
      <c r="E83" s="21">
        <v>43876.4103703704</v>
      </c>
      <c r="F83" s="4">
        <v>121.79</v>
      </c>
      <c r="G83" s="4">
        <v>65.4</v>
      </c>
      <c r="H83" s="4">
        <v>56.39</v>
      </c>
      <c r="I83" s="4">
        <v>-15.87</v>
      </c>
      <c r="J83" s="4">
        <v>-22.18</v>
      </c>
      <c r="K83" s="4">
        <v>6.3</v>
      </c>
      <c r="L83" s="4">
        <v>55.56</v>
      </c>
      <c r="M83" s="4">
        <v>7389</v>
      </c>
      <c r="N83" s="4">
        <v>7.86</v>
      </c>
      <c r="O83" s="4">
        <v>1045.38</v>
      </c>
      <c r="P83" s="4" t="s">
        <v>35</v>
      </c>
      <c r="Q83" s="4" t="s">
        <v>30</v>
      </c>
      <c r="R83" s="4" t="s">
        <v>38</v>
      </c>
      <c r="S83" s="4">
        <v>2000</v>
      </c>
      <c r="T83" s="4">
        <v>0</v>
      </c>
      <c r="U83" s="4">
        <v>0</v>
      </c>
      <c r="V83" s="4" t="s">
        <v>32</v>
      </c>
      <c r="W83" s="4" t="s">
        <v>32</v>
      </c>
      <c r="X83" s="4" t="s">
        <v>32</v>
      </c>
      <c r="Y83" s="4" t="s">
        <v>32</v>
      </c>
      <c r="Z83" s="4" t="s">
        <v>32</v>
      </c>
      <c r="AA83" s="4" t="s">
        <v>32</v>
      </c>
    </row>
    <row r="84" s="4" customFormat="1" spans="1:27">
      <c r="A84" s="4" t="s">
        <v>36</v>
      </c>
      <c r="B84" s="4" t="s">
        <v>28</v>
      </c>
      <c r="C84" s="4">
        <v>8269662</v>
      </c>
      <c r="D84" s="19" t="s">
        <v>63</v>
      </c>
      <c r="E84" s="21">
        <v>44752.5686805556</v>
      </c>
      <c r="F84" s="4">
        <v>328.42</v>
      </c>
      <c r="G84" s="4">
        <v>0</v>
      </c>
      <c r="H84" s="4">
        <v>328.42</v>
      </c>
      <c r="I84" s="4">
        <v>-41.05</v>
      </c>
      <c r="J84" s="4">
        <v>0</v>
      </c>
      <c r="K84" s="4">
        <v>-41.05</v>
      </c>
      <c r="L84" s="4">
        <v>91.08</v>
      </c>
      <c r="M84" s="4">
        <v>12114</v>
      </c>
      <c r="N84" s="4">
        <v>84.39</v>
      </c>
      <c r="O84" s="4">
        <v>11223.87</v>
      </c>
      <c r="P84" s="4" t="s">
        <v>29</v>
      </c>
      <c r="Q84" s="4" t="s">
        <v>30</v>
      </c>
      <c r="R84" s="4" t="s">
        <v>38</v>
      </c>
      <c r="S84" s="4">
        <v>0</v>
      </c>
      <c r="T84" s="4">
        <v>0</v>
      </c>
      <c r="U84" s="4">
        <v>0</v>
      </c>
      <c r="V84" s="4" t="s">
        <v>32</v>
      </c>
      <c r="W84" s="4" t="s">
        <v>32</v>
      </c>
      <c r="X84" s="4" t="s">
        <v>32</v>
      </c>
      <c r="Y84" s="4" t="s">
        <v>32</v>
      </c>
      <c r="Z84" s="4" t="s">
        <v>32</v>
      </c>
      <c r="AA84" s="4" t="s">
        <v>32</v>
      </c>
    </row>
    <row r="85" s="4" customFormat="1" spans="1:27">
      <c r="A85" s="4" t="s">
        <v>36</v>
      </c>
      <c r="B85" s="4" t="s">
        <v>28</v>
      </c>
      <c r="C85" s="4">
        <v>16316152</v>
      </c>
      <c r="D85" s="19" t="s">
        <v>64</v>
      </c>
      <c r="E85" s="21">
        <v>45766.7074768519</v>
      </c>
      <c r="F85" s="4">
        <v>699.12</v>
      </c>
      <c r="G85" s="4">
        <v>0.07</v>
      </c>
      <c r="H85" s="4">
        <v>699.05</v>
      </c>
      <c r="I85" s="4">
        <v>139.75</v>
      </c>
      <c r="J85" s="4">
        <v>0.07</v>
      </c>
      <c r="K85" s="4">
        <v>139.68</v>
      </c>
      <c r="L85" s="4">
        <v>377.02</v>
      </c>
      <c r="M85" s="4">
        <v>50143</v>
      </c>
      <c r="N85" s="4">
        <v>25.25</v>
      </c>
      <c r="O85" s="4">
        <v>3358.25</v>
      </c>
      <c r="P85" s="4" t="s">
        <v>29</v>
      </c>
      <c r="Q85" s="4" t="s">
        <v>30</v>
      </c>
      <c r="R85" s="4" t="s">
        <v>38</v>
      </c>
      <c r="S85" s="4">
        <v>0</v>
      </c>
      <c r="T85" s="4">
        <v>0</v>
      </c>
      <c r="U85" s="4">
        <v>0</v>
      </c>
      <c r="V85" s="4" t="s">
        <v>32</v>
      </c>
      <c r="W85" s="4" t="s">
        <v>32</v>
      </c>
      <c r="X85" s="4" t="s">
        <v>32</v>
      </c>
      <c r="Y85" s="4" t="s">
        <v>32</v>
      </c>
      <c r="Z85" s="4" t="s">
        <v>32</v>
      </c>
      <c r="AA85" s="4" t="s">
        <v>32</v>
      </c>
    </row>
    <row r="86" s="4" customFormat="1" spans="1:27">
      <c r="A86" s="4" t="s">
        <v>36</v>
      </c>
      <c r="B86" s="4" t="s">
        <v>28</v>
      </c>
      <c r="C86" s="4">
        <v>443771</v>
      </c>
      <c r="D86" s="19" t="s">
        <v>65</v>
      </c>
      <c r="E86" s="21">
        <v>43919.5900347222</v>
      </c>
      <c r="F86" s="4">
        <v>771.9</v>
      </c>
      <c r="G86" s="4">
        <v>17.5</v>
      </c>
      <c r="H86" s="4">
        <v>754.03</v>
      </c>
      <c r="I86" s="4">
        <v>46.38</v>
      </c>
      <c r="J86" s="4">
        <v>13.25</v>
      </c>
      <c r="K86" s="4">
        <v>33.13</v>
      </c>
      <c r="L86" s="4">
        <v>255.74</v>
      </c>
      <c r="M86" s="4">
        <v>34013</v>
      </c>
      <c r="N86" s="4">
        <v>32.86</v>
      </c>
      <c r="O86" s="4">
        <v>4370.38</v>
      </c>
      <c r="P86" s="4" t="s">
        <v>34</v>
      </c>
      <c r="Q86" s="4" t="s">
        <v>30</v>
      </c>
      <c r="R86" s="4" t="s">
        <v>38</v>
      </c>
      <c r="S86" s="4">
        <v>0</v>
      </c>
      <c r="T86" s="4">
        <v>0</v>
      </c>
      <c r="U86" s="4">
        <v>0</v>
      </c>
      <c r="V86" s="4" t="s">
        <v>32</v>
      </c>
      <c r="W86" s="4" t="s">
        <v>32</v>
      </c>
      <c r="X86" s="4" t="s">
        <v>32</v>
      </c>
      <c r="Y86" s="4" t="s">
        <v>32</v>
      </c>
      <c r="Z86" s="4" t="s">
        <v>32</v>
      </c>
      <c r="AA86" s="4" t="s">
        <v>32</v>
      </c>
    </row>
    <row r="87" s="4" customFormat="1" spans="1:27">
      <c r="A87" s="4" t="s">
        <v>36</v>
      </c>
      <c r="B87" s="4" t="s">
        <v>28</v>
      </c>
      <c r="C87" s="4">
        <v>15703530</v>
      </c>
      <c r="D87" s="19" t="s">
        <v>66</v>
      </c>
      <c r="E87" s="21">
        <v>45691.3028703704</v>
      </c>
      <c r="F87" s="4">
        <v>9999.98</v>
      </c>
      <c r="G87" s="4">
        <v>8.14</v>
      </c>
      <c r="H87" s="4">
        <v>9989.96</v>
      </c>
      <c r="I87" s="4">
        <v>160.23</v>
      </c>
      <c r="J87" s="4">
        <v>2.96</v>
      </c>
      <c r="K87" s="4">
        <v>157.27</v>
      </c>
      <c r="L87" s="4">
        <v>2366.92</v>
      </c>
      <c r="M87" s="4">
        <v>314800</v>
      </c>
      <c r="N87" s="4">
        <v>616.79</v>
      </c>
      <c r="O87" s="4">
        <v>82033.07</v>
      </c>
      <c r="P87" s="4" t="s">
        <v>34</v>
      </c>
      <c r="Q87" s="4" t="s">
        <v>33</v>
      </c>
      <c r="R87" s="4" t="s">
        <v>38</v>
      </c>
      <c r="S87" s="4">
        <v>0</v>
      </c>
      <c r="T87" s="4">
        <v>0</v>
      </c>
      <c r="U87" s="4">
        <v>0</v>
      </c>
      <c r="V87" s="4" t="s">
        <v>32</v>
      </c>
      <c r="W87" s="4" t="s">
        <v>32</v>
      </c>
      <c r="X87" s="4" t="s">
        <v>32</v>
      </c>
      <c r="Y87" s="4" t="s">
        <v>32</v>
      </c>
      <c r="Z87" s="4" t="s">
        <v>32</v>
      </c>
      <c r="AA87" s="4" t="s">
        <v>32</v>
      </c>
    </row>
    <row r="88" s="4" customFormat="1" spans="1:27">
      <c r="A88" s="4" t="s">
        <v>36</v>
      </c>
      <c r="B88" s="4" t="s">
        <v>28</v>
      </c>
      <c r="C88" s="4">
        <v>9559482</v>
      </c>
      <c r="D88" s="19" t="s">
        <v>67</v>
      </c>
      <c r="E88" s="21">
        <v>44992.8579050926</v>
      </c>
      <c r="F88" s="4">
        <v>813.98</v>
      </c>
      <c r="G88" s="4">
        <v>0.78</v>
      </c>
      <c r="H88" s="4">
        <v>813.2</v>
      </c>
      <c r="I88" s="4">
        <v>-28.62</v>
      </c>
      <c r="J88" s="4">
        <v>0.78</v>
      </c>
      <c r="K88" s="4">
        <v>-29.4</v>
      </c>
      <c r="L88" s="4">
        <v>359.36</v>
      </c>
      <c r="M88" s="4">
        <v>47795</v>
      </c>
      <c r="N88" s="4">
        <v>0</v>
      </c>
      <c r="O88" s="4">
        <v>0</v>
      </c>
      <c r="P88" s="4" t="s">
        <v>34</v>
      </c>
      <c r="Q88" s="4" t="s">
        <v>30</v>
      </c>
      <c r="R88" s="4" t="s">
        <v>38</v>
      </c>
      <c r="S88" s="4">
        <v>0</v>
      </c>
      <c r="T88" s="4">
        <v>0</v>
      </c>
      <c r="U88" s="4">
        <v>0</v>
      </c>
      <c r="V88" s="4" t="s">
        <v>32</v>
      </c>
      <c r="W88" s="4" t="s">
        <v>32</v>
      </c>
      <c r="X88" s="4" t="s">
        <v>32</v>
      </c>
      <c r="Y88" s="4" t="s">
        <v>32</v>
      </c>
      <c r="Z88" s="4" t="s">
        <v>32</v>
      </c>
      <c r="AA88" s="4" t="s">
        <v>32</v>
      </c>
    </row>
    <row r="89" s="4" customFormat="1" spans="1:27">
      <c r="A89" s="4" t="s">
        <v>36</v>
      </c>
      <c r="B89" s="4" t="s">
        <v>28</v>
      </c>
      <c r="C89" s="4">
        <v>20744481</v>
      </c>
      <c r="D89" s="19" t="s">
        <v>68</v>
      </c>
      <c r="E89" s="21">
        <v>46036.3213425926</v>
      </c>
      <c r="F89" s="4">
        <v>191.03</v>
      </c>
      <c r="G89" s="4">
        <v>0.56</v>
      </c>
      <c r="H89" s="4">
        <v>190.47</v>
      </c>
      <c r="I89" s="4">
        <v>29.67</v>
      </c>
      <c r="J89" s="4">
        <v>-0.13</v>
      </c>
      <c r="K89" s="4">
        <v>29.8</v>
      </c>
      <c r="L89" s="4">
        <v>72.73</v>
      </c>
      <c r="M89" s="4">
        <v>9673</v>
      </c>
      <c r="N89" s="4">
        <v>8.21</v>
      </c>
      <c r="O89" s="4">
        <v>1091.93</v>
      </c>
      <c r="P89" s="4" t="s">
        <v>34</v>
      </c>
      <c r="Q89" s="4" t="s">
        <v>30</v>
      </c>
      <c r="R89" s="4" t="s">
        <v>38</v>
      </c>
      <c r="S89" s="4">
        <v>0</v>
      </c>
      <c r="T89" s="4">
        <v>0</v>
      </c>
      <c r="U89" s="4">
        <v>0</v>
      </c>
      <c r="V89" s="4" t="s">
        <v>32</v>
      </c>
      <c r="W89" s="4" t="s">
        <v>32</v>
      </c>
      <c r="X89" s="4" t="s">
        <v>32</v>
      </c>
      <c r="Y89" s="4" t="s">
        <v>32</v>
      </c>
      <c r="Z89" s="4" t="s">
        <v>32</v>
      </c>
      <c r="AA89" s="4" t="s">
        <v>32</v>
      </c>
    </row>
    <row r="90" s="4" customFormat="1" spans="1:27">
      <c r="A90" s="4" t="s">
        <v>36</v>
      </c>
      <c r="B90" s="4" t="s">
        <v>28</v>
      </c>
      <c r="C90" s="4">
        <v>1419572</v>
      </c>
      <c r="D90" s="19" t="s">
        <v>69</v>
      </c>
      <c r="E90" s="21">
        <v>44001.939212963</v>
      </c>
      <c r="F90" s="4">
        <v>616.52</v>
      </c>
      <c r="G90" s="4">
        <v>0</v>
      </c>
      <c r="H90" s="4">
        <v>616.52</v>
      </c>
      <c r="I90" s="4">
        <v>44.86</v>
      </c>
      <c r="J90" s="4">
        <v>0</v>
      </c>
      <c r="K90" s="4">
        <v>44.86</v>
      </c>
      <c r="L90" s="4">
        <v>74.4</v>
      </c>
      <c r="M90" s="4">
        <v>9895</v>
      </c>
      <c r="N90" s="4">
        <v>17.82</v>
      </c>
      <c r="O90" s="4">
        <v>2370.06</v>
      </c>
      <c r="P90" s="4" t="s">
        <v>34</v>
      </c>
      <c r="Q90" s="4" t="s">
        <v>30</v>
      </c>
      <c r="R90" s="4" t="s">
        <v>38</v>
      </c>
      <c r="S90" s="4">
        <v>0</v>
      </c>
      <c r="T90" s="4">
        <v>0</v>
      </c>
      <c r="U90" s="4">
        <v>0</v>
      </c>
      <c r="V90" s="4" t="s">
        <v>32</v>
      </c>
      <c r="W90" s="4" t="s">
        <v>32</v>
      </c>
      <c r="X90" s="4" t="s">
        <v>32</v>
      </c>
      <c r="Y90" s="4" t="s">
        <v>32</v>
      </c>
      <c r="Z90" s="4" t="s">
        <v>32</v>
      </c>
      <c r="AA90" s="4" t="s">
        <v>32</v>
      </c>
    </row>
    <row r="91" s="4" customFormat="1" spans="1:27">
      <c r="A91" s="4" t="s">
        <v>36</v>
      </c>
      <c r="B91" s="4" t="s">
        <v>28</v>
      </c>
      <c r="C91" s="4">
        <v>13012582</v>
      </c>
      <c r="D91" s="19" t="s">
        <v>70</v>
      </c>
      <c r="E91" s="21">
        <v>45430.325625</v>
      </c>
      <c r="F91" s="4">
        <v>297.3</v>
      </c>
      <c r="G91" s="4">
        <v>6.17</v>
      </c>
      <c r="H91" s="4">
        <v>291.14</v>
      </c>
      <c r="I91" s="4">
        <v>2.78</v>
      </c>
      <c r="J91" s="4">
        <v>-3.99</v>
      </c>
      <c r="K91" s="4">
        <v>6.77</v>
      </c>
      <c r="L91" s="4">
        <v>53.21</v>
      </c>
      <c r="M91" s="4">
        <v>7077</v>
      </c>
      <c r="N91" s="4">
        <v>9.89</v>
      </c>
      <c r="O91" s="4">
        <v>1315.37</v>
      </c>
      <c r="P91" s="4" t="s">
        <v>34</v>
      </c>
      <c r="Q91" s="4" t="s">
        <v>30</v>
      </c>
      <c r="R91" s="4" t="s">
        <v>38</v>
      </c>
      <c r="S91" s="4">
        <v>0</v>
      </c>
      <c r="T91" s="4">
        <v>0</v>
      </c>
      <c r="U91" s="4">
        <v>0</v>
      </c>
      <c r="V91" s="4" t="s">
        <v>32</v>
      </c>
      <c r="W91" s="4" t="s">
        <v>32</v>
      </c>
      <c r="X91" s="4" t="s">
        <v>32</v>
      </c>
      <c r="Y91" s="4" t="s">
        <v>32</v>
      </c>
      <c r="Z91" s="4" t="s">
        <v>32</v>
      </c>
      <c r="AA91" s="4" t="s">
        <v>32</v>
      </c>
    </row>
    <row r="92" s="4" customFormat="1" spans="1:27">
      <c r="A92" s="4" t="s">
        <v>36</v>
      </c>
      <c r="B92" s="4" t="s">
        <v>28</v>
      </c>
      <c r="C92" s="4">
        <v>19887220</v>
      </c>
      <c r="D92" s="19" t="s">
        <v>71</v>
      </c>
      <c r="E92" s="21">
        <v>45995.5885300926</v>
      </c>
      <c r="F92" s="4">
        <v>442.12</v>
      </c>
      <c r="G92" s="4">
        <v>1.97</v>
      </c>
      <c r="H92" s="4">
        <v>440.15</v>
      </c>
      <c r="I92" s="4">
        <v>50.43</v>
      </c>
      <c r="J92" s="4">
        <v>1.97</v>
      </c>
      <c r="K92" s="4">
        <v>48.46</v>
      </c>
      <c r="L92" s="4">
        <v>185.57</v>
      </c>
      <c r="M92" s="4">
        <v>24681</v>
      </c>
      <c r="N92" s="4">
        <v>28.35</v>
      </c>
      <c r="O92" s="4">
        <v>3770.55</v>
      </c>
      <c r="P92" s="4" t="s">
        <v>29</v>
      </c>
      <c r="Q92" s="4" t="s">
        <v>30</v>
      </c>
      <c r="R92" s="4" t="s">
        <v>38</v>
      </c>
      <c r="S92" s="4">
        <v>0</v>
      </c>
      <c r="T92" s="4">
        <v>0</v>
      </c>
      <c r="U92" s="4">
        <v>0</v>
      </c>
      <c r="V92" s="4" t="s">
        <v>32</v>
      </c>
      <c r="W92" s="4" t="s">
        <v>32</v>
      </c>
      <c r="X92" s="4" t="s">
        <v>32</v>
      </c>
      <c r="Y92" s="4" t="s">
        <v>32</v>
      </c>
      <c r="Z92" s="4" t="s">
        <v>32</v>
      </c>
      <c r="AA92" s="4" t="s">
        <v>32</v>
      </c>
    </row>
    <row r="93" s="4" customFormat="1" spans="1:27">
      <c r="A93" s="4" t="s">
        <v>36</v>
      </c>
      <c r="B93" s="4" t="s">
        <v>28</v>
      </c>
      <c r="C93" s="4">
        <v>10501630</v>
      </c>
      <c r="D93" s="19" t="s">
        <v>72</v>
      </c>
      <c r="E93" s="21">
        <v>45161.8547800926</v>
      </c>
      <c r="F93" s="4">
        <v>254.47</v>
      </c>
      <c r="G93" s="4">
        <v>0</v>
      </c>
      <c r="H93" s="4">
        <v>254.47</v>
      </c>
      <c r="I93" s="4">
        <v>74.64</v>
      </c>
      <c r="J93" s="4">
        <v>0</v>
      </c>
      <c r="K93" s="4">
        <v>77.64</v>
      </c>
      <c r="L93" s="4">
        <v>78.57</v>
      </c>
      <c r="M93" s="4">
        <v>10450</v>
      </c>
      <c r="N93" s="4">
        <v>74.64</v>
      </c>
      <c r="O93" s="4">
        <v>9927.12</v>
      </c>
      <c r="P93" s="4" t="s">
        <v>29</v>
      </c>
      <c r="Q93" s="4" t="s">
        <v>30</v>
      </c>
      <c r="R93" s="4" t="s">
        <v>38</v>
      </c>
      <c r="S93" s="4">
        <v>0</v>
      </c>
      <c r="T93" s="4">
        <v>0</v>
      </c>
      <c r="U93" s="4">
        <v>0</v>
      </c>
      <c r="V93" s="4" t="s">
        <v>32</v>
      </c>
      <c r="W93" s="4" t="s">
        <v>32</v>
      </c>
      <c r="X93" s="4" t="s">
        <v>32</v>
      </c>
      <c r="Y93" s="4" t="s">
        <v>32</v>
      </c>
      <c r="Z93" s="4" t="s">
        <v>32</v>
      </c>
      <c r="AA93" s="4" t="s">
        <v>32</v>
      </c>
    </row>
    <row r="94" s="4" customFormat="1" spans="1:27">
      <c r="A94" s="4" t="s">
        <v>36</v>
      </c>
      <c r="B94" s="4" t="s">
        <v>28</v>
      </c>
      <c r="C94" s="4">
        <v>16589860</v>
      </c>
      <c r="D94" s="19" t="s">
        <v>73</v>
      </c>
      <c r="E94" s="21">
        <v>45783.4790509259</v>
      </c>
      <c r="F94" s="4">
        <v>1430.38</v>
      </c>
      <c r="G94" s="4">
        <v>0.34</v>
      </c>
      <c r="H94" s="4">
        <v>1430.04</v>
      </c>
      <c r="I94" s="4">
        <v>27.97</v>
      </c>
      <c r="J94" s="4">
        <v>0.34</v>
      </c>
      <c r="K94" s="4">
        <v>27.63</v>
      </c>
      <c r="L94" s="4">
        <v>308.45</v>
      </c>
      <c r="M94" s="4">
        <v>41024</v>
      </c>
      <c r="N94" s="4">
        <v>48.6</v>
      </c>
      <c r="O94" s="4">
        <v>6463.8</v>
      </c>
      <c r="P94" s="4" t="s">
        <v>34</v>
      </c>
      <c r="Q94" s="4" t="s">
        <v>30</v>
      </c>
      <c r="R94" s="4" t="s">
        <v>38</v>
      </c>
      <c r="S94" s="4">
        <v>0</v>
      </c>
      <c r="T94" s="4">
        <v>0</v>
      </c>
      <c r="U94" s="4">
        <v>0</v>
      </c>
      <c r="V94" s="4" t="s">
        <v>32</v>
      </c>
      <c r="W94" s="4" t="s">
        <v>32</v>
      </c>
      <c r="X94" s="4" t="s">
        <v>32</v>
      </c>
      <c r="Y94" s="4" t="s">
        <v>32</v>
      </c>
      <c r="Z94" s="4" t="s">
        <v>32</v>
      </c>
      <c r="AA94" s="4" t="s">
        <v>32</v>
      </c>
    </row>
    <row r="95" s="4" customFormat="1" spans="1:27">
      <c r="A95" s="4" t="s">
        <v>36</v>
      </c>
      <c r="B95" s="4" t="s">
        <v>28</v>
      </c>
      <c r="C95" s="4">
        <v>21703462</v>
      </c>
      <c r="D95" s="19" t="s">
        <v>74</v>
      </c>
      <c r="E95" s="21">
        <v>46085.8392824074</v>
      </c>
      <c r="F95" s="4">
        <v>1946.95</v>
      </c>
      <c r="G95" s="4">
        <v>0.15</v>
      </c>
      <c r="H95" s="4">
        <v>1946.8</v>
      </c>
      <c r="I95" s="4">
        <v>132.02</v>
      </c>
      <c r="J95" s="4">
        <v>0.15</v>
      </c>
      <c r="K95" s="4">
        <v>131.87</v>
      </c>
      <c r="L95" s="4">
        <v>621.47</v>
      </c>
      <c r="M95" s="4">
        <v>82655</v>
      </c>
      <c r="N95" s="4">
        <v>590.39</v>
      </c>
      <c r="O95" s="4">
        <v>78521.87</v>
      </c>
      <c r="P95" s="4" t="s">
        <v>29</v>
      </c>
      <c r="Q95" s="4" t="s">
        <v>30</v>
      </c>
      <c r="R95" s="4" t="s">
        <v>38</v>
      </c>
      <c r="S95" s="4">
        <v>0</v>
      </c>
      <c r="T95" s="4">
        <v>0</v>
      </c>
      <c r="U95" s="4">
        <v>0</v>
      </c>
      <c r="V95" s="4" t="s">
        <v>32</v>
      </c>
      <c r="W95" s="4" t="s">
        <v>32</v>
      </c>
      <c r="X95" s="4" t="s">
        <v>32</v>
      </c>
      <c r="Y95" s="4" t="s">
        <v>32</v>
      </c>
      <c r="Z95" s="4" t="s">
        <v>32</v>
      </c>
      <c r="AA95" s="4" t="s">
        <v>32</v>
      </c>
    </row>
    <row r="96" s="4" customFormat="1" spans="1:27">
      <c r="A96" s="4" t="s">
        <v>36</v>
      </c>
      <c r="B96" s="4" t="s">
        <v>28</v>
      </c>
      <c r="C96" s="4">
        <v>2314972</v>
      </c>
      <c r="D96" s="19" t="s">
        <v>75</v>
      </c>
      <c r="E96" s="21">
        <v>44068.9167013889</v>
      </c>
      <c r="F96" s="4">
        <v>528.11</v>
      </c>
      <c r="G96" s="4">
        <v>5.95</v>
      </c>
      <c r="H96" s="4">
        <v>522.16</v>
      </c>
      <c r="I96" s="4">
        <v>52.88</v>
      </c>
      <c r="J96" s="4">
        <v>5.78</v>
      </c>
      <c r="K96" s="4">
        <v>47.85</v>
      </c>
      <c r="L96" s="4">
        <v>61.89</v>
      </c>
      <c r="M96" s="4">
        <v>8232</v>
      </c>
      <c r="N96" s="4">
        <v>8.13</v>
      </c>
      <c r="O96" s="4">
        <v>1081.29</v>
      </c>
      <c r="P96" s="4" t="s">
        <v>34</v>
      </c>
      <c r="Q96" s="4" t="s">
        <v>30</v>
      </c>
      <c r="R96" s="4" t="s">
        <v>38</v>
      </c>
      <c r="S96" s="4">
        <v>0</v>
      </c>
      <c r="T96" s="4">
        <v>0</v>
      </c>
      <c r="U96" s="4">
        <v>0</v>
      </c>
      <c r="V96" s="4" t="s">
        <v>32</v>
      </c>
      <c r="W96" s="4" t="s">
        <v>32</v>
      </c>
      <c r="X96" s="4" t="s">
        <v>32</v>
      </c>
      <c r="Y96" s="4" t="s">
        <v>32</v>
      </c>
      <c r="Z96" s="4" t="s">
        <v>32</v>
      </c>
      <c r="AA96" s="4" t="s">
        <v>32</v>
      </c>
    </row>
    <row r="97" s="4" customFormat="1" spans="1:27">
      <c r="A97" s="4" t="s">
        <v>36</v>
      </c>
      <c r="B97" s="4" t="s">
        <v>28</v>
      </c>
      <c r="C97" s="4">
        <v>2280380</v>
      </c>
      <c r="D97" s="19" t="s">
        <v>76</v>
      </c>
      <c r="E97" s="21">
        <v>44065.5775347222</v>
      </c>
      <c r="F97" s="4">
        <v>1712.56</v>
      </c>
      <c r="G97" s="4">
        <v>3.73</v>
      </c>
      <c r="H97" s="4">
        <v>1708.83</v>
      </c>
      <c r="I97" s="4">
        <v>18.33</v>
      </c>
      <c r="J97" s="4">
        <v>3.73</v>
      </c>
      <c r="K97" s="4">
        <v>15.35</v>
      </c>
      <c r="L97" s="4">
        <v>75.8</v>
      </c>
      <c r="M97" s="4">
        <v>10081</v>
      </c>
      <c r="N97" s="4">
        <v>3.19</v>
      </c>
      <c r="O97" s="4">
        <v>424.27</v>
      </c>
      <c r="P97" s="4" t="s">
        <v>29</v>
      </c>
      <c r="Q97" s="4" t="s">
        <v>30</v>
      </c>
      <c r="R97" s="4" t="s">
        <v>38</v>
      </c>
      <c r="S97" s="4">
        <v>0</v>
      </c>
      <c r="T97" s="4">
        <v>0</v>
      </c>
      <c r="U97" s="4">
        <v>0</v>
      </c>
      <c r="V97" s="4" t="s">
        <v>32</v>
      </c>
      <c r="W97" s="4" t="s">
        <v>32</v>
      </c>
      <c r="X97" s="4" t="s">
        <v>32</v>
      </c>
      <c r="Y97" s="4" t="s">
        <v>32</v>
      </c>
      <c r="Z97" s="4" t="s">
        <v>32</v>
      </c>
      <c r="AA97" s="4" t="s">
        <v>32</v>
      </c>
    </row>
    <row r="98" s="4" customFormat="1" spans="1:27">
      <c r="A98" s="4" t="s">
        <v>36</v>
      </c>
      <c r="B98" s="4" t="s">
        <v>28</v>
      </c>
      <c r="C98" s="4">
        <v>12388092</v>
      </c>
      <c r="D98" s="19" t="s">
        <v>77</v>
      </c>
      <c r="E98" s="21">
        <v>45351.4506597222</v>
      </c>
      <c r="F98" s="4">
        <v>73296.07</v>
      </c>
      <c r="G98" s="4">
        <v>0</v>
      </c>
      <c r="H98" s="4">
        <v>73296.07</v>
      </c>
      <c r="I98" s="4">
        <v>2893.59</v>
      </c>
      <c r="J98" s="4">
        <v>0</v>
      </c>
      <c r="K98" s="4">
        <v>2893.59</v>
      </c>
      <c r="L98" s="4">
        <v>9107.42</v>
      </c>
      <c r="M98" s="4">
        <v>1211287</v>
      </c>
      <c r="N98" s="4">
        <v>6155.44</v>
      </c>
      <c r="O98" s="4">
        <v>818673.52</v>
      </c>
      <c r="P98" s="4" t="s">
        <v>29</v>
      </c>
      <c r="Q98" s="4" t="s">
        <v>33</v>
      </c>
      <c r="R98" s="4" t="s">
        <v>38</v>
      </c>
      <c r="S98" s="4">
        <v>0</v>
      </c>
      <c r="T98" s="4">
        <v>0</v>
      </c>
      <c r="U98" s="4">
        <v>1</v>
      </c>
      <c r="V98" s="4">
        <v>1</v>
      </c>
      <c r="W98" s="4" t="s">
        <v>32</v>
      </c>
      <c r="X98" s="4" t="s">
        <v>32</v>
      </c>
      <c r="Y98" s="4" t="s">
        <v>32</v>
      </c>
      <c r="Z98" s="4" t="s">
        <v>32</v>
      </c>
      <c r="AA98" s="4" t="s">
        <v>32</v>
      </c>
    </row>
    <row r="99" s="4" customFormat="1" spans="1:27">
      <c r="A99" s="4" t="s">
        <v>36</v>
      </c>
      <c r="B99" s="4" t="s">
        <v>28</v>
      </c>
      <c r="C99" s="4">
        <v>22444840</v>
      </c>
      <c r="D99" s="19" t="s">
        <v>78</v>
      </c>
      <c r="E99" s="21">
        <v>46127.9148842593</v>
      </c>
      <c r="F99" s="4">
        <v>1021.43</v>
      </c>
      <c r="G99" s="4">
        <v>0</v>
      </c>
      <c r="H99" s="4">
        <v>1021.43</v>
      </c>
      <c r="I99" s="4">
        <v>26.62</v>
      </c>
      <c r="J99" s="4">
        <v>0</v>
      </c>
      <c r="K99" s="4">
        <v>26.62</v>
      </c>
      <c r="L99" s="4">
        <v>185.14</v>
      </c>
      <c r="M99" s="4">
        <v>24624</v>
      </c>
      <c r="N99" s="4">
        <v>175.89</v>
      </c>
      <c r="O99" s="4">
        <v>23393.37</v>
      </c>
      <c r="P99" s="4" t="s">
        <v>29</v>
      </c>
      <c r="Q99" s="4" t="s">
        <v>30</v>
      </c>
      <c r="R99" s="4" t="s">
        <v>38</v>
      </c>
      <c r="S99" s="4">
        <v>0</v>
      </c>
      <c r="T99" s="4">
        <v>0</v>
      </c>
      <c r="U99" s="4">
        <v>0</v>
      </c>
      <c r="V99" s="4" t="s">
        <v>32</v>
      </c>
      <c r="W99" s="4" t="s">
        <v>32</v>
      </c>
      <c r="X99" s="4" t="s">
        <v>32</v>
      </c>
      <c r="Y99" s="4" t="s">
        <v>32</v>
      </c>
      <c r="Z99" s="4" t="s">
        <v>32</v>
      </c>
      <c r="AA99" s="4" t="s">
        <v>32</v>
      </c>
    </row>
    <row r="100" s="4" customFormat="1" spans="1:27">
      <c r="A100" s="4" t="s">
        <v>36</v>
      </c>
      <c r="B100" s="4" t="s">
        <v>28</v>
      </c>
      <c r="C100" s="4">
        <v>3267081</v>
      </c>
      <c r="D100" s="19" t="s">
        <v>79</v>
      </c>
      <c r="E100" s="21">
        <v>44160.271875</v>
      </c>
      <c r="F100" s="4">
        <v>4277.84</v>
      </c>
      <c r="G100" s="4">
        <v>0.24</v>
      </c>
      <c r="H100" s="4">
        <v>4277.6</v>
      </c>
      <c r="I100" s="4">
        <v>14.11</v>
      </c>
      <c r="J100" s="4">
        <v>-0.09</v>
      </c>
      <c r="K100" s="4">
        <v>14.19</v>
      </c>
      <c r="L100" s="4">
        <v>559.55</v>
      </c>
      <c r="M100" s="4">
        <v>74420</v>
      </c>
      <c r="N100" s="4">
        <v>212.02</v>
      </c>
      <c r="O100" s="4">
        <v>28198.66</v>
      </c>
      <c r="P100" s="4" t="s">
        <v>34</v>
      </c>
      <c r="Q100" s="4" t="s">
        <v>30</v>
      </c>
      <c r="R100" s="4" t="s">
        <v>38</v>
      </c>
      <c r="S100" s="4">
        <v>0</v>
      </c>
      <c r="T100" s="4">
        <v>0</v>
      </c>
      <c r="U100" s="4">
        <v>0</v>
      </c>
      <c r="V100" s="4" t="s">
        <v>32</v>
      </c>
      <c r="W100" s="4" t="s">
        <v>32</v>
      </c>
      <c r="X100" s="4" t="s">
        <v>32</v>
      </c>
      <c r="Y100" s="4" t="s">
        <v>32</v>
      </c>
      <c r="Z100" s="4" t="s">
        <v>32</v>
      </c>
      <c r="AA100" s="4" t="s">
        <v>32</v>
      </c>
    </row>
    <row r="101" s="4" customFormat="1" spans="1:27">
      <c r="A101" s="4" t="s">
        <v>36</v>
      </c>
      <c r="B101" s="4" t="s">
        <v>28</v>
      </c>
      <c r="C101" s="4">
        <v>12275972</v>
      </c>
      <c r="D101" s="19" t="s">
        <v>80</v>
      </c>
      <c r="E101" s="21">
        <v>45330.6852083333</v>
      </c>
      <c r="F101" s="4">
        <v>531.73</v>
      </c>
      <c r="G101" s="4">
        <v>0</v>
      </c>
      <c r="H101" s="4">
        <v>531.73</v>
      </c>
      <c r="I101" s="4">
        <v>56.36</v>
      </c>
      <c r="J101" s="4">
        <v>0</v>
      </c>
      <c r="K101" s="4">
        <v>56.36</v>
      </c>
      <c r="L101" s="4">
        <v>141.11</v>
      </c>
      <c r="M101" s="4">
        <v>18767</v>
      </c>
      <c r="N101" s="4">
        <v>50.85</v>
      </c>
      <c r="O101" s="4">
        <v>6763.05</v>
      </c>
      <c r="P101" s="4" t="s">
        <v>29</v>
      </c>
      <c r="Q101" s="4" t="s">
        <v>30</v>
      </c>
      <c r="R101" s="4" t="s">
        <v>38</v>
      </c>
      <c r="S101" s="4">
        <v>0</v>
      </c>
      <c r="T101" s="4">
        <v>0</v>
      </c>
      <c r="U101" s="4">
        <v>0</v>
      </c>
      <c r="V101" s="4" t="s">
        <v>32</v>
      </c>
      <c r="W101" s="4" t="s">
        <v>32</v>
      </c>
      <c r="X101" s="4" t="s">
        <v>32</v>
      </c>
      <c r="Y101" s="4" t="s">
        <v>32</v>
      </c>
      <c r="Z101" s="4" t="s">
        <v>32</v>
      </c>
      <c r="AA101" s="4" t="s">
        <v>32</v>
      </c>
    </row>
    <row r="102" s="4" customFormat="1" spans="1:27">
      <c r="A102" s="4" t="s">
        <v>36</v>
      </c>
      <c r="B102" s="4" t="s">
        <v>28</v>
      </c>
      <c r="C102" s="4">
        <v>2730172</v>
      </c>
      <c r="D102" s="19" t="s">
        <v>81</v>
      </c>
      <c r="E102" s="21">
        <v>44107.4130555556</v>
      </c>
      <c r="F102" s="4">
        <v>9675.85</v>
      </c>
      <c r="G102" s="4">
        <v>52.47</v>
      </c>
      <c r="H102" s="4">
        <v>9623.39</v>
      </c>
      <c r="I102" s="4">
        <v>591.96</v>
      </c>
      <c r="J102" s="4">
        <v>35.52</v>
      </c>
      <c r="K102" s="4">
        <v>556.44</v>
      </c>
      <c r="L102" s="4">
        <v>1171.42</v>
      </c>
      <c r="M102" s="4">
        <v>155799</v>
      </c>
      <c r="N102" s="4">
        <v>2.06</v>
      </c>
      <c r="O102" s="4">
        <v>273.98</v>
      </c>
      <c r="P102" s="4" t="s">
        <v>34</v>
      </c>
      <c r="Q102" s="4" t="s">
        <v>33</v>
      </c>
      <c r="R102" s="4" t="s">
        <v>38</v>
      </c>
      <c r="S102" s="4">
        <v>0</v>
      </c>
      <c r="T102" s="4">
        <v>0</v>
      </c>
      <c r="U102" s="4">
        <v>0</v>
      </c>
      <c r="V102" s="4" t="s">
        <v>32</v>
      </c>
      <c r="W102" s="4" t="s">
        <v>32</v>
      </c>
      <c r="X102" s="4" t="s">
        <v>32</v>
      </c>
      <c r="Y102" s="4" t="s">
        <v>32</v>
      </c>
      <c r="Z102" s="4" t="s">
        <v>32</v>
      </c>
      <c r="AA102" s="4" t="s">
        <v>32</v>
      </c>
    </row>
    <row r="103" s="4" customFormat="1" spans="1:27">
      <c r="A103" s="4" t="s">
        <v>36</v>
      </c>
      <c r="B103" s="4" t="s">
        <v>28</v>
      </c>
      <c r="C103" s="4">
        <v>13240170</v>
      </c>
      <c r="D103" s="19" t="s">
        <v>82</v>
      </c>
      <c r="E103" s="21">
        <v>45472.5141666667</v>
      </c>
      <c r="F103" s="4">
        <v>3036.84</v>
      </c>
      <c r="G103" s="4">
        <v>0.09</v>
      </c>
      <c r="H103" s="4">
        <v>3036.75</v>
      </c>
      <c r="I103" s="4">
        <v>225.21</v>
      </c>
      <c r="J103" s="4">
        <v>0.09</v>
      </c>
      <c r="K103" s="4">
        <v>225.12</v>
      </c>
      <c r="L103" s="4">
        <v>259.85</v>
      </c>
      <c r="M103" s="4">
        <v>34560</v>
      </c>
      <c r="N103" s="4">
        <v>0</v>
      </c>
      <c r="O103" s="4">
        <v>0</v>
      </c>
      <c r="P103" s="4" t="s">
        <v>29</v>
      </c>
      <c r="Q103" s="4" t="s">
        <v>30</v>
      </c>
      <c r="R103" s="4" t="s">
        <v>38</v>
      </c>
      <c r="S103" s="4">
        <v>0</v>
      </c>
      <c r="T103" s="4">
        <v>0</v>
      </c>
      <c r="U103" s="4">
        <v>0</v>
      </c>
      <c r="V103" s="4" t="s">
        <v>32</v>
      </c>
      <c r="W103" s="4" t="s">
        <v>32</v>
      </c>
      <c r="X103" s="4" t="s">
        <v>32</v>
      </c>
      <c r="Y103" s="4" t="s">
        <v>32</v>
      </c>
      <c r="Z103" s="4" t="s">
        <v>32</v>
      </c>
      <c r="AA103" s="4" t="s">
        <v>32</v>
      </c>
    </row>
    <row r="104" s="4" customFormat="1" spans="1:27">
      <c r="A104" s="4" t="s">
        <v>36</v>
      </c>
      <c r="B104" s="4" t="s">
        <v>28</v>
      </c>
      <c r="C104" s="4">
        <v>19420552</v>
      </c>
      <c r="D104" s="19" t="s">
        <v>83</v>
      </c>
      <c r="E104" s="21">
        <v>45974.2929513889</v>
      </c>
      <c r="F104" s="4">
        <v>4195.72</v>
      </c>
      <c r="G104" s="4">
        <v>5.47</v>
      </c>
      <c r="H104" s="4">
        <v>4190.25</v>
      </c>
      <c r="I104" s="4">
        <v>299.59</v>
      </c>
      <c r="J104" s="4">
        <v>4.85</v>
      </c>
      <c r="K104" s="4">
        <v>294.75</v>
      </c>
      <c r="L104" s="4">
        <v>1871.85</v>
      </c>
      <c r="M104" s="4">
        <v>248956</v>
      </c>
      <c r="N104" s="4">
        <v>939.44</v>
      </c>
      <c r="O104" s="4">
        <v>124945.52</v>
      </c>
      <c r="P104" s="4" t="s">
        <v>34</v>
      </c>
      <c r="Q104" s="4" t="s">
        <v>33</v>
      </c>
      <c r="R104" s="4" t="s">
        <v>38</v>
      </c>
      <c r="S104" s="4">
        <v>0</v>
      </c>
      <c r="T104" s="4">
        <v>0</v>
      </c>
      <c r="U104" s="4">
        <v>0</v>
      </c>
      <c r="V104" s="4" t="s">
        <v>32</v>
      </c>
      <c r="W104" s="4" t="s">
        <v>32</v>
      </c>
      <c r="X104" s="4" t="s">
        <v>32</v>
      </c>
      <c r="Y104" s="4" t="s">
        <v>32</v>
      </c>
      <c r="Z104" s="4" t="s">
        <v>32</v>
      </c>
      <c r="AA104" s="4" t="s">
        <v>32</v>
      </c>
    </row>
    <row r="105" s="4" customFormat="1" spans="1:27">
      <c r="A105" s="4" t="s">
        <v>36</v>
      </c>
      <c r="B105" s="4" t="s">
        <v>28</v>
      </c>
      <c r="C105" s="4">
        <v>14894640</v>
      </c>
      <c r="D105" s="19" t="s">
        <v>84</v>
      </c>
      <c r="E105" s="21">
        <v>45626.7317013889</v>
      </c>
      <c r="F105" s="4">
        <v>203.62</v>
      </c>
      <c r="G105" s="4">
        <v>2.14</v>
      </c>
      <c r="H105" s="4">
        <v>201.48</v>
      </c>
      <c r="I105" s="4">
        <v>19.15</v>
      </c>
      <c r="J105" s="4">
        <v>1.14</v>
      </c>
      <c r="K105" s="4">
        <v>18.08</v>
      </c>
      <c r="L105" s="4">
        <v>60.6</v>
      </c>
      <c r="M105" s="4">
        <v>8060</v>
      </c>
      <c r="N105" s="4">
        <v>0.71</v>
      </c>
      <c r="O105" s="4">
        <v>94.43</v>
      </c>
      <c r="P105" s="4" t="s">
        <v>34</v>
      </c>
      <c r="Q105" s="4" t="s">
        <v>30</v>
      </c>
      <c r="R105" s="4" t="s">
        <v>38</v>
      </c>
      <c r="S105" s="4">
        <v>0</v>
      </c>
      <c r="T105" s="4">
        <v>0</v>
      </c>
      <c r="U105" s="4">
        <v>0</v>
      </c>
      <c r="V105" s="4" t="s">
        <v>32</v>
      </c>
      <c r="W105" s="4" t="s">
        <v>32</v>
      </c>
      <c r="X105" s="4" t="s">
        <v>32</v>
      </c>
      <c r="Y105" s="4" t="s">
        <v>32</v>
      </c>
      <c r="Z105" s="4" t="s">
        <v>32</v>
      </c>
      <c r="AA105" s="4" t="s">
        <v>32</v>
      </c>
    </row>
    <row r="106" s="4" customFormat="1" spans="1:27">
      <c r="A106" s="4" t="s">
        <v>36</v>
      </c>
      <c r="B106" s="4" t="s">
        <v>28</v>
      </c>
      <c r="C106" s="4">
        <v>18841080</v>
      </c>
      <c r="D106" s="19" t="s">
        <v>85</v>
      </c>
      <c r="E106" s="21">
        <v>45937.7263541667</v>
      </c>
      <c r="F106" s="4">
        <v>1230.06</v>
      </c>
      <c r="G106" s="4">
        <v>0.15</v>
      </c>
      <c r="H106" s="4">
        <v>1229.91</v>
      </c>
      <c r="I106" s="4">
        <v>44.3</v>
      </c>
      <c r="J106" s="4">
        <v>0.15</v>
      </c>
      <c r="K106" s="4">
        <v>44.15</v>
      </c>
      <c r="L106" s="4">
        <v>178.08</v>
      </c>
      <c r="M106" s="4">
        <v>23685</v>
      </c>
      <c r="N106" s="4">
        <v>38.71</v>
      </c>
      <c r="O106" s="4">
        <v>5148.43</v>
      </c>
      <c r="P106" s="4" t="s">
        <v>34</v>
      </c>
      <c r="Q106" s="4" t="s">
        <v>30</v>
      </c>
      <c r="R106" s="4" t="s">
        <v>38</v>
      </c>
      <c r="S106" s="4">
        <v>0</v>
      </c>
      <c r="T106" s="4">
        <v>0</v>
      </c>
      <c r="U106" s="4">
        <v>0</v>
      </c>
      <c r="V106" s="4" t="s">
        <v>32</v>
      </c>
      <c r="W106" s="4" t="s">
        <v>32</v>
      </c>
      <c r="X106" s="4" t="s">
        <v>32</v>
      </c>
      <c r="Y106" s="4" t="s">
        <v>32</v>
      </c>
      <c r="Z106" s="4" t="s">
        <v>32</v>
      </c>
      <c r="AA106" s="4" t="s">
        <v>32</v>
      </c>
    </row>
    <row r="107" s="4" customFormat="1" spans="1:27">
      <c r="A107" s="4" t="s">
        <v>36</v>
      </c>
      <c r="B107" s="4" t="s">
        <v>28</v>
      </c>
      <c r="C107" s="4">
        <v>2702120</v>
      </c>
      <c r="D107" s="19" t="s">
        <v>86</v>
      </c>
      <c r="E107" s="21">
        <v>44104.5721064815</v>
      </c>
      <c r="F107" s="4">
        <v>1157.32</v>
      </c>
      <c r="G107" s="4">
        <v>0.02</v>
      </c>
      <c r="H107" s="4">
        <v>1157.31</v>
      </c>
      <c r="I107" s="4">
        <v>-29.53</v>
      </c>
      <c r="J107" s="4">
        <v>0.02</v>
      </c>
      <c r="K107" s="4">
        <v>-29.55</v>
      </c>
      <c r="L107" s="4">
        <v>98.68</v>
      </c>
      <c r="M107" s="4">
        <v>13125</v>
      </c>
      <c r="N107" s="4">
        <v>27.05</v>
      </c>
      <c r="O107" s="4">
        <v>3597.65</v>
      </c>
      <c r="P107" s="4" t="s">
        <v>29</v>
      </c>
      <c r="Q107" s="4" t="s">
        <v>30</v>
      </c>
      <c r="R107" s="4" t="s">
        <v>38</v>
      </c>
      <c r="S107" s="4">
        <v>0</v>
      </c>
      <c r="T107" s="4">
        <v>0</v>
      </c>
      <c r="U107" s="4">
        <v>0</v>
      </c>
      <c r="V107" s="4" t="s">
        <v>32</v>
      </c>
      <c r="W107" s="4" t="s">
        <v>32</v>
      </c>
      <c r="X107" s="4" t="s">
        <v>32</v>
      </c>
      <c r="Y107" s="4" t="s">
        <v>32</v>
      </c>
      <c r="Z107" s="4" t="s">
        <v>32</v>
      </c>
      <c r="AA107" s="4" t="s">
        <v>32</v>
      </c>
    </row>
    <row r="108" s="4" customFormat="1" spans="1:27">
      <c r="A108" s="4" t="s">
        <v>36</v>
      </c>
      <c r="B108" s="4" t="s">
        <v>28</v>
      </c>
      <c r="C108" s="4">
        <v>480152</v>
      </c>
      <c r="D108" s="19" t="s">
        <v>87</v>
      </c>
      <c r="E108" s="21">
        <v>43922.1912731481</v>
      </c>
      <c r="F108" s="4">
        <v>3564.59</v>
      </c>
      <c r="G108" s="4">
        <v>4.69</v>
      </c>
      <c r="H108" s="4">
        <v>3559.9</v>
      </c>
      <c r="I108" s="4">
        <v>169.5</v>
      </c>
      <c r="J108" s="4">
        <v>4.69</v>
      </c>
      <c r="K108" s="4">
        <v>164.81</v>
      </c>
      <c r="L108" s="4">
        <v>446.75</v>
      </c>
      <c r="M108" s="4">
        <v>59418</v>
      </c>
      <c r="N108" s="4">
        <v>22.05</v>
      </c>
      <c r="O108" s="4">
        <v>2932.65</v>
      </c>
      <c r="P108" s="4" t="s">
        <v>34</v>
      </c>
      <c r="Q108" s="4" t="s">
        <v>30</v>
      </c>
      <c r="R108" s="4" t="s">
        <v>38</v>
      </c>
      <c r="S108" s="4">
        <v>0</v>
      </c>
      <c r="T108" s="4">
        <v>0</v>
      </c>
      <c r="U108" s="4">
        <v>0</v>
      </c>
      <c r="V108" s="4" t="s">
        <v>32</v>
      </c>
      <c r="W108" s="4" t="s">
        <v>32</v>
      </c>
      <c r="X108" s="4" t="s">
        <v>32</v>
      </c>
      <c r="Y108" s="4" t="s">
        <v>32</v>
      </c>
      <c r="Z108" s="4" t="s">
        <v>32</v>
      </c>
      <c r="AA108" s="4" t="s">
        <v>32</v>
      </c>
    </row>
    <row r="109" s="4" customFormat="1" spans="1:27">
      <c r="A109" s="4" t="s">
        <v>36</v>
      </c>
      <c r="B109" s="4" t="s">
        <v>28</v>
      </c>
      <c r="C109" s="4">
        <v>11928660</v>
      </c>
      <c r="D109" s="19" t="s">
        <v>88</v>
      </c>
      <c r="E109" s="21">
        <v>45297.3883333333</v>
      </c>
      <c r="F109" s="4">
        <v>496.34</v>
      </c>
      <c r="G109" s="4">
        <v>0</v>
      </c>
      <c r="H109" s="4">
        <v>496.34</v>
      </c>
      <c r="I109" s="4">
        <v>-17.42</v>
      </c>
      <c r="J109" s="4">
        <v>0</v>
      </c>
      <c r="K109" s="4">
        <v>-17.42</v>
      </c>
      <c r="L109" s="4">
        <v>116.17</v>
      </c>
      <c r="M109" s="4">
        <v>15450</v>
      </c>
      <c r="N109" s="4">
        <v>0</v>
      </c>
      <c r="O109" s="4">
        <v>0</v>
      </c>
      <c r="P109" s="4" t="s">
        <v>29</v>
      </c>
      <c r="Q109" s="4" t="s">
        <v>30</v>
      </c>
      <c r="R109" s="4" t="s">
        <v>38</v>
      </c>
      <c r="S109" s="4">
        <v>0</v>
      </c>
      <c r="T109" s="4">
        <v>0</v>
      </c>
      <c r="U109" s="4">
        <v>0</v>
      </c>
      <c r="V109" s="4" t="s">
        <v>32</v>
      </c>
      <c r="W109" s="4" t="s">
        <v>32</v>
      </c>
      <c r="X109" s="4" t="s">
        <v>32</v>
      </c>
      <c r="Y109" s="4" t="s">
        <v>32</v>
      </c>
      <c r="Z109" s="4" t="s">
        <v>32</v>
      </c>
      <c r="AA109" s="4" t="s">
        <v>32</v>
      </c>
    </row>
    <row r="110" s="4" customFormat="1" spans="1:27">
      <c r="A110" s="4" t="s">
        <v>36</v>
      </c>
      <c r="B110" s="4" t="s">
        <v>28</v>
      </c>
      <c r="C110" s="4">
        <v>18888250</v>
      </c>
      <c r="D110" s="19" t="s">
        <v>89</v>
      </c>
      <c r="E110" s="21">
        <v>45940.4215046296</v>
      </c>
      <c r="F110" s="4">
        <v>1146.22</v>
      </c>
      <c r="G110" s="4">
        <v>0.01</v>
      </c>
      <c r="H110" s="4">
        <v>1146.21</v>
      </c>
      <c r="I110" s="4">
        <v>32.08</v>
      </c>
      <c r="J110" s="4">
        <v>0.01</v>
      </c>
      <c r="K110" s="4">
        <v>32.07</v>
      </c>
      <c r="L110" s="4">
        <v>156.11</v>
      </c>
      <c r="M110" s="4">
        <v>20762</v>
      </c>
      <c r="N110" s="4">
        <v>58.9</v>
      </c>
      <c r="O110" s="4">
        <v>7833.7</v>
      </c>
      <c r="P110" s="4" t="s">
        <v>29</v>
      </c>
      <c r="Q110" s="4" t="s">
        <v>30</v>
      </c>
      <c r="R110" s="4" t="s">
        <v>38</v>
      </c>
      <c r="S110" s="4">
        <v>0</v>
      </c>
      <c r="T110" s="4">
        <v>0</v>
      </c>
      <c r="U110" s="4">
        <v>0</v>
      </c>
      <c r="V110" s="4" t="s">
        <v>32</v>
      </c>
      <c r="W110" s="4" t="s">
        <v>32</v>
      </c>
      <c r="X110" s="4" t="s">
        <v>32</v>
      </c>
      <c r="Y110" s="4" t="s">
        <v>32</v>
      </c>
      <c r="Z110" s="4" t="s">
        <v>32</v>
      </c>
      <c r="AA110" s="4" t="s">
        <v>32</v>
      </c>
    </row>
    <row r="111" s="4" customFormat="1" spans="1:27">
      <c r="A111" s="4" t="s">
        <v>36</v>
      </c>
      <c r="B111" s="4" t="s">
        <v>28</v>
      </c>
      <c r="C111" s="4">
        <v>11360321</v>
      </c>
      <c r="D111" s="19" t="s">
        <v>90</v>
      </c>
      <c r="E111" s="21">
        <v>45247.1732523148</v>
      </c>
      <c r="F111" s="4">
        <v>40156.08</v>
      </c>
      <c r="G111" s="4">
        <v>1.17</v>
      </c>
      <c r="H111" s="4">
        <v>40154.9</v>
      </c>
      <c r="I111" s="4">
        <v>837.36</v>
      </c>
      <c r="J111" s="4">
        <v>-1.21</v>
      </c>
      <c r="K111" s="4">
        <v>838.57</v>
      </c>
      <c r="L111" s="4">
        <v>1916.35</v>
      </c>
      <c r="M111" s="4">
        <v>254875</v>
      </c>
      <c r="N111" s="4">
        <v>369.25</v>
      </c>
      <c r="O111" s="4">
        <v>49110.25</v>
      </c>
      <c r="P111" s="4" t="s">
        <v>29</v>
      </c>
      <c r="Q111" s="4" t="s">
        <v>33</v>
      </c>
      <c r="R111" s="4" t="s">
        <v>38</v>
      </c>
      <c r="S111" s="4">
        <v>0</v>
      </c>
      <c r="T111" s="4">
        <v>0</v>
      </c>
      <c r="U111" s="4">
        <v>0</v>
      </c>
      <c r="V111" s="4" t="s">
        <v>32</v>
      </c>
      <c r="W111" s="4" t="s">
        <v>32</v>
      </c>
      <c r="X111" s="4" t="s">
        <v>32</v>
      </c>
      <c r="Y111" s="4" t="s">
        <v>32</v>
      </c>
      <c r="Z111" s="4" t="s">
        <v>32</v>
      </c>
      <c r="AA111" s="4" t="s">
        <v>32</v>
      </c>
    </row>
    <row r="112" s="4" customFormat="1" spans="1:27">
      <c r="A112" s="4" t="s">
        <v>36</v>
      </c>
      <c r="B112" s="4" t="s">
        <v>28</v>
      </c>
      <c r="C112" s="4">
        <v>20415890</v>
      </c>
      <c r="D112" s="19" t="s">
        <v>91</v>
      </c>
      <c r="E112" s="21">
        <v>46020.8139351852</v>
      </c>
      <c r="F112" s="4">
        <v>538.09</v>
      </c>
      <c r="G112" s="4">
        <v>0</v>
      </c>
      <c r="H112" s="4">
        <v>538.09</v>
      </c>
      <c r="I112" s="4">
        <v>-1.67</v>
      </c>
      <c r="J112" s="4">
        <v>0</v>
      </c>
      <c r="K112" s="4">
        <v>-1.67</v>
      </c>
      <c r="L112" s="4">
        <v>72.29</v>
      </c>
      <c r="M112" s="4">
        <v>9615</v>
      </c>
      <c r="N112" s="4">
        <v>40.2</v>
      </c>
      <c r="O112" s="4">
        <v>5346.6</v>
      </c>
      <c r="P112" s="4" t="s">
        <v>34</v>
      </c>
      <c r="Q112" s="4" t="s">
        <v>30</v>
      </c>
      <c r="R112" s="4" t="s">
        <v>38</v>
      </c>
      <c r="S112" s="4">
        <v>0</v>
      </c>
      <c r="T112" s="4">
        <v>0</v>
      </c>
      <c r="U112" s="4">
        <v>0</v>
      </c>
      <c r="V112" s="4" t="s">
        <v>32</v>
      </c>
      <c r="W112" s="4" t="s">
        <v>32</v>
      </c>
      <c r="X112" s="4" t="s">
        <v>32</v>
      </c>
      <c r="Y112" s="4" t="s">
        <v>32</v>
      </c>
      <c r="Z112" s="4" t="s">
        <v>32</v>
      </c>
      <c r="AA112" s="4" t="s">
        <v>32</v>
      </c>
    </row>
    <row r="113" s="4" customFormat="1" spans="1:27">
      <c r="A113" s="4" t="s">
        <v>36</v>
      </c>
      <c r="B113" s="4" t="s">
        <v>28</v>
      </c>
      <c r="C113" s="4">
        <v>731432</v>
      </c>
      <c r="D113" s="19" t="s">
        <v>92</v>
      </c>
      <c r="E113" s="21">
        <v>43945.8416435185</v>
      </c>
      <c r="F113" s="4">
        <v>4660.74</v>
      </c>
      <c r="G113" s="4">
        <v>0</v>
      </c>
      <c r="H113" s="4">
        <v>4660.74</v>
      </c>
      <c r="I113" s="4">
        <v>193.9</v>
      </c>
      <c r="J113" s="4">
        <v>0</v>
      </c>
      <c r="K113" s="4">
        <v>193.9</v>
      </c>
      <c r="L113" s="4">
        <v>661.65</v>
      </c>
      <c r="M113" s="4">
        <v>88000</v>
      </c>
      <c r="N113" s="4">
        <v>100.36</v>
      </c>
      <c r="O113" s="4">
        <v>13347.88</v>
      </c>
      <c r="P113" s="4" t="s">
        <v>34</v>
      </c>
      <c r="Q113" s="4" t="s">
        <v>30</v>
      </c>
      <c r="R113" s="4" t="s">
        <v>38</v>
      </c>
      <c r="S113" s="4">
        <v>0</v>
      </c>
      <c r="T113" s="4">
        <v>0</v>
      </c>
      <c r="U113" s="4">
        <v>0</v>
      </c>
      <c r="V113" s="4" t="s">
        <v>32</v>
      </c>
      <c r="W113" s="4" t="s">
        <v>32</v>
      </c>
      <c r="X113" s="4" t="s">
        <v>32</v>
      </c>
      <c r="Y113" s="4" t="s">
        <v>32</v>
      </c>
      <c r="Z113" s="4" t="s">
        <v>32</v>
      </c>
      <c r="AA113" s="4" t="s">
        <v>32</v>
      </c>
    </row>
    <row r="114" s="4" customFormat="1" spans="1:27">
      <c r="A114" s="4" t="s">
        <v>36</v>
      </c>
      <c r="B114" s="4" t="s">
        <v>28</v>
      </c>
      <c r="C114" s="4">
        <v>1821800</v>
      </c>
      <c r="D114" s="19" t="s">
        <v>93</v>
      </c>
      <c r="E114" s="21">
        <v>44023.2613888889</v>
      </c>
      <c r="F114" s="4">
        <v>7247.54</v>
      </c>
      <c r="G114" s="4">
        <v>76.3</v>
      </c>
      <c r="H114" s="4">
        <v>7171.24</v>
      </c>
      <c r="I114" s="4">
        <v>592.41</v>
      </c>
      <c r="J114" s="4">
        <v>38.51</v>
      </c>
      <c r="K114" s="4">
        <v>554.65</v>
      </c>
      <c r="L114" s="4">
        <v>789.46</v>
      </c>
      <c r="M114" s="4">
        <v>104998</v>
      </c>
      <c r="N114" s="4">
        <v>0</v>
      </c>
      <c r="O114" s="4">
        <v>0</v>
      </c>
      <c r="P114" s="4" t="s">
        <v>34</v>
      </c>
      <c r="Q114" s="4" t="s">
        <v>30</v>
      </c>
      <c r="R114" s="4" t="s">
        <v>38</v>
      </c>
      <c r="S114" s="4">
        <v>0</v>
      </c>
      <c r="T114" s="4">
        <v>0</v>
      </c>
      <c r="U114" s="4">
        <v>0</v>
      </c>
      <c r="V114" s="4" t="s">
        <v>32</v>
      </c>
      <c r="W114" s="4" t="s">
        <v>32</v>
      </c>
      <c r="X114" s="4" t="s">
        <v>32</v>
      </c>
      <c r="Y114" s="4" t="s">
        <v>32</v>
      </c>
      <c r="Z114" s="4" t="s">
        <v>32</v>
      </c>
      <c r="AA114" s="4" t="s">
        <v>32</v>
      </c>
    </row>
    <row r="115" s="4" customFormat="1" spans="1:27">
      <c r="A115" s="4" t="s">
        <v>36</v>
      </c>
      <c r="B115" s="4" t="s">
        <v>28</v>
      </c>
      <c r="C115" s="4">
        <v>16963612</v>
      </c>
      <c r="D115" s="19" t="s">
        <v>94</v>
      </c>
      <c r="E115" s="21">
        <v>45819.7004398148</v>
      </c>
      <c r="F115" s="4">
        <v>1068</v>
      </c>
      <c r="G115" s="4">
        <v>0</v>
      </c>
      <c r="H115" s="4">
        <v>1068</v>
      </c>
      <c r="I115" s="4">
        <v>29.41</v>
      </c>
      <c r="J115" s="4">
        <v>0</v>
      </c>
      <c r="K115" s="4">
        <v>29.41</v>
      </c>
      <c r="L115" s="4">
        <v>251.16</v>
      </c>
      <c r="M115" s="4">
        <v>33404</v>
      </c>
      <c r="N115" s="4">
        <v>28.93</v>
      </c>
      <c r="O115" s="4">
        <v>3847.69</v>
      </c>
      <c r="P115" s="4" t="s">
        <v>34</v>
      </c>
      <c r="Q115" s="4" t="s">
        <v>30</v>
      </c>
      <c r="R115" s="4" t="s">
        <v>38</v>
      </c>
      <c r="S115" s="4">
        <v>0</v>
      </c>
      <c r="T115" s="4">
        <v>0</v>
      </c>
      <c r="U115" s="4">
        <v>0</v>
      </c>
      <c r="V115" s="4" t="s">
        <v>32</v>
      </c>
      <c r="W115" s="4" t="s">
        <v>32</v>
      </c>
      <c r="X115" s="4" t="s">
        <v>32</v>
      </c>
      <c r="Y115" s="4" t="s">
        <v>32</v>
      </c>
      <c r="Z115" s="4" t="s">
        <v>32</v>
      </c>
      <c r="AA115" s="4" t="s">
        <v>32</v>
      </c>
    </row>
    <row r="116" s="4" customFormat="1" spans="1:27">
      <c r="A116" s="4" t="s">
        <v>36</v>
      </c>
      <c r="B116" s="4" t="s">
        <v>28</v>
      </c>
      <c r="C116" s="4">
        <v>11224712</v>
      </c>
      <c r="D116" s="19" t="s">
        <v>95</v>
      </c>
      <c r="E116" s="21">
        <v>45237.4310416667</v>
      </c>
      <c r="F116" s="4">
        <v>872.85</v>
      </c>
      <c r="G116" s="4">
        <v>2.86</v>
      </c>
      <c r="H116" s="4">
        <v>869.99</v>
      </c>
      <c r="I116" s="4">
        <v>-19.23</v>
      </c>
      <c r="J116" s="4">
        <v>2.86</v>
      </c>
      <c r="K116" s="4">
        <v>-22.08</v>
      </c>
      <c r="L116" s="4">
        <v>205.64</v>
      </c>
      <c r="M116" s="4">
        <v>27350</v>
      </c>
      <c r="N116" s="4">
        <v>131.07</v>
      </c>
      <c r="O116" s="4">
        <v>17432.31</v>
      </c>
      <c r="P116" s="4" t="s">
        <v>29</v>
      </c>
      <c r="Q116" s="4" t="s">
        <v>30</v>
      </c>
      <c r="R116" s="4" t="s">
        <v>38</v>
      </c>
      <c r="S116" s="4">
        <v>0</v>
      </c>
      <c r="T116" s="4">
        <v>0</v>
      </c>
      <c r="U116" s="4">
        <v>0</v>
      </c>
      <c r="V116" s="4" t="s">
        <v>32</v>
      </c>
      <c r="W116" s="4" t="s">
        <v>32</v>
      </c>
      <c r="X116" s="4" t="s">
        <v>32</v>
      </c>
      <c r="Y116" s="4" t="s">
        <v>32</v>
      </c>
      <c r="Z116" s="4" t="s">
        <v>32</v>
      </c>
      <c r="AA116" s="4" t="s">
        <v>32</v>
      </c>
    </row>
    <row r="117" s="4" customFormat="1" spans="1:27">
      <c r="A117" s="4" t="s">
        <v>36</v>
      </c>
      <c r="B117" s="4" t="s">
        <v>28</v>
      </c>
      <c r="C117" s="4">
        <v>10429661</v>
      </c>
      <c r="D117" s="19" t="s">
        <v>96</v>
      </c>
      <c r="E117" s="21">
        <v>45150.6179282407</v>
      </c>
      <c r="F117" s="4">
        <v>1177.57</v>
      </c>
      <c r="G117" s="4">
        <v>0.26</v>
      </c>
      <c r="H117" s="4">
        <v>1177.3</v>
      </c>
      <c r="I117" s="4">
        <v>61.19</v>
      </c>
      <c r="J117" s="4">
        <v>0.26</v>
      </c>
      <c r="K117" s="4">
        <v>60.93</v>
      </c>
      <c r="L117" s="4">
        <v>133.29</v>
      </c>
      <c r="M117" s="4">
        <v>17728</v>
      </c>
      <c r="N117" s="4">
        <v>30.18</v>
      </c>
      <c r="O117" s="4">
        <v>4013.94</v>
      </c>
      <c r="P117" s="4" t="s">
        <v>34</v>
      </c>
      <c r="Q117" s="4" t="s">
        <v>30</v>
      </c>
      <c r="R117" s="4" t="s">
        <v>38</v>
      </c>
      <c r="S117" s="4">
        <v>0</v>
      </c>
      <c r="T117" s="4">
        <v>0</v>
      </c>
      <c r="U117" s="4">
        <v>0</v>
      </c>
      <c r="V117" s="4" t="s">
        <v>32</v>
      </c>
      <c r="W117" s="4" t="s">
        <v>32</v>
      </c>
      <c r="X117" s="4" t="s">
        <v>32</v>
      </c>
      <c r="Y117" s="4" t="s">
        <v>32</v>
      </c>
      <c r="Z117" s="4" t="s">
        <v>32</v>
      </c>
      <c r="AA117" s="4" t="s">
        <v>32</v>
      </c>
    </row>
    <row r="118" s="4" customFormat="1" spans="1:27">
      <c r="A118" s="4" t="s">
        <v>36</v>
      </c>
      <c r="B118" s="4" t="s">
        <v>28</v>
      </c>
      <c r="C118" s="4">
        <v>83472</v>
      </c>
      <c r="D118" s="19" t="s">
        <v>97</v>
      </c>
      <c r="E118" s="21">
        <v>43867.386412037</v>
      </c>
      <c r="F118" s="4">
        <v>5974.53</v>
      </c>
      <c r="G118" s="4">
        <v>0</v>
      </c>
      <c r="H118" s="4">
        <v>5974.53</v>
      </c>
      <c r="I118" s="4">
        <v>69.93</v>
      </c>
      <c r="J118" s="4">
        <v>0</v>
      </c>
      <c r="K118" s="4">
        <v>69.93</v>
      </c>
      <c r="L118" s="4">
        <v>1678.41</v>
      </c>
      <c r="M118" s="4">
        <v>223229</v>
      </c>
      <c r="N118" s="4">
        <v>116.14</v>
      </c>
      <c r="O118" s="4">
        <v>15446.62</v>
      </c>
      <c r="P118" s="4" t="s">
        <v>34</v>
      </c>
      <c r="Q118" s="4" t="s">
        <v>33</v>
      </c>
      <c r="R118" s="4" t="s">
        <v>38</v>
      </c>
      <c r="S118" s="4">
        <v>0</v>
      </c>
      <c r="T118" s="4">
        <v>0</v>
      </c>
      <c r="U118" s="4">
        <v>0</v>
      </c>
      <c r="V118" s="4" t="s">
        <v>32</v>
      </c>
      <c r="W118" s="4" t="s">
        <v>32</v>
      </c>
      <c r="X118" s="4" t="s">
        <v>32</v>
      </c>
      <c r="Y118" s="4" t="s">
        <v>32</v>
      </c>
      <c r="Z118" s="4" t="s">
        <v>32</v>
      </c>
      <c r="AA118" s="4" t="s">
        <v>32</v>
      </c>
    </row>
    <row r="119" s="4" customFormat="1" spans="1:27">
      <c r="A119" s="4" t="s">
        <v>36</v>
      </c>
      <c r="B119" s="4" t="s">
        <v>28</v>
      </c>
      <c r="C119" s="4">
        <v>18379840</v>
      </c>
      <c r="D119" s="19" t="s">
        <v>98</v>
      </c>
      <c r="E119" s="21">
        <v>45908.2628935185</v>
      </c>
      <c r="F119" s="4">
        <v>662.38</v>
      </c>
      <c r="G119" s="4">
        <v>0.01</v>
      </c>
      <c r="H119" s="4">
        <v>662.37</v>
      </c>
      <c r="I119" s="4">
        <v>-73.77</v>
      </c>
      <c r="J119" s="4">
        <v>0</v>
      </c>
      <c r="K119" s="4">
        <v>-73.77</v>
      </c>
      <c r="L119" s="4">
        <v>235.01</v>
      </c>
      <c r="M119" s="4">
        <v>31256</v>
      </c>
      <c r="N119" s="4">
        <v>114.07</v>
      </c>
      <c r="O119" s="4">
        <v>15171.31</v>
      </c>
      <c r="P119" s="4" t="s">
        <v>29</v>
      </c>
      <c r="Q119" s="4" t="s">
        <v>30</v>
      </c>
      <c r="R119" s="4" t="s">
        <v>38</v>
      </c>
      <c r="S119" s="4">
        <v>0</v>
      </c>
      <c r="T119" s="4">
        <v>0</v>
      </c>
      <c r="U119" s="4">
        <v>0</v>
      </c>
      <c r="V119" s="4" t="s">
        <v>32</v>
      </c>
      <c r="W119" s="4" t="s">
        <v>32</v>
      </c>
      <c r="X119" s="4" t="s">
        <v>32</v>
      </c>
      <c r="Y119" s="4" t="s">
        <v>32</v>
      </c>
      <c r="Z119" s="4" t="s">
        <v>32</v>
      </c>
      <c r="AA119" s="4" t="s">
        <v>32</v>
      </c>
    </row>
    <row r="120" s="4" customFormat="1" spans="1:27">
      <c r="A120" s="4" t="s">
        <v>36</v>
      </c>
      <c r="B120" s="4" t="s">
        <v>28</v>
      </c>
      <c r="C120" s="4">
        <v>17371290</v>
      </c>
      <c r="D120" s="19" t="s">
        <v>99</v>
      </c>
      <c r="E120" s="21">
        <v>45850.0130671296</v>
      </c>
      <c r="F120" s="4">
        <v>1929.62</v>
      </c>
      <c r="G120" s="4">
        <v>0.24</v>
      </c>
      <c r="H120" s="4">
        <v>1929.38</v>
      </c>
      <c r="I120" s="4">
        <v>99.81</v>
      </c>
      <c r="J120" s="4">
        <v>0.24</v>
      </c>
      <c r="K120" s="4">
        <v>99.57</v>
      </c>
      <c r="L120" s="4">
        <v>175.32</v>
      </c>
      <c r="M120" s="4">
        <v>23317</v>
      </c>
      <c r="N120" s="4">
        <v>0</v>
      </c>
      <c r="O120" s="4">
        <v>0</v>
      </c>
      <c r="P120" s="4" t="s">
        <v>34</v>
      </c>
      <c r="Q120" s="4" t="s">
        <v>30</v>
      </c>
      <c r="R120" s="4" t="s">
        <v>38</v>
      </c>
      <c r="S120" s="4">
        <v>0</v>
      </c>
      <c r="T120" s="4">
        <v>0</v>
      </c>
      <c r="U120" s="4">
        <v>0</v>
      </c>
      <c r="V120" s="4" t="s">
        <v>32</v>
      </c>
      <c r="W120" s="4" t="s">
        <v>32</v>
      </c>
      <c r="X120" s="4" t="s">
        <v>32</v>
      </c>
      <c r="Y120" s="4" t="s">
        <v>32</v>
      </c>
      <c r="Z120" s="4" t="s">
        <v>32</v>
      </c>
      <c r="AA120" s="4" t="s">
        <v>32</v>
      </c>
    </row>
    <row r="121" s="4" customFormat="1" spans="1:27">
      <c r="A121" s="4" t="s">
        <v>36</v>
      </c>
      <c r="B121" s="4" t="s">
        <v>28</v>
      </c>
      <c r="C121" s="4">
        <v>3243840</v>
      </c>
      <c r="D121" s="19" t="s">
        <v>100</v>
      </c>
      <c r="E121" s="21">
        <v>44154.6430092593</v>
      </c>
      <c r="F121" s="4">
        <v>528.41</v>
      </c>
      <c r="G121" s="4">
        <v>21.46</v>
      </c>
      <c r="H121" s="4">
        <v>506.95</v>
      </c>
      <c r="I121" s="4">
        <v>126.95</v>
      </c>
      <c r="J121" s="4">
        <v>20.56</v>
      </c>
      <c r="K121" s="4">
        <v>106.39</v>
      </c>
      <c r="L121" s="4">
        <v>130.08</v>
      </c>
      <c r="M121" s="4">
        <v>17300</v>
      </c>
      <c r="N121" s="4">
        <v>123.57</v>
      </c>
      <c r="O121" s="4">
        <v>16434.81</v>
      </c>
      <c r="P121" s="4" t="s">
        <v>34</v>
      </c>
      <c r="Q121" s="4" t="s">
        <v>30</v>
      </c>
      <c r="R121" s="4" t="s">
        <v>38</v>
      </c>
      <c r="S121" s="4">
        <v>0</v>
      </c>
      <c r="T121" s="4">
        <v>0</v>
      </c>
      <c r="U121" s="4">
        <v>0</v>
      </c>
      <c r="V121" s="4" t="s">
        <v>32</v>
      </c>
      <c r="W121" s="4" t="s">
        <v>32</v>
      </c>
      <c r="X121" s="4" t="s">
        <v>32</v>
      </c>
      <c r="Y121" s="4" t="s">
        <v>32</v>
      </c>
      <c r="Z121" s="4" t="s">
        <v>32</v>
      </c>
      <c r="AA121" s="4" t="s">
        <v>32</v>
      </c>
    </row>
    <row r="122" s="4" customFormat="1" spans="1:27">
      <c r="A122" s="4" t="s">
        <v>36</v>
      </c>
      <c r="B122" s="4" t="s">
        <v>28</v>
      </c>
      <c r="C122" s="4">
        <v>19115352</v>
      </c>
      <c r="D122" s="19" t="s">
        <v>101</v>
      </c>
      <c r="E122" s="21">
        <v>45955.3303703704</v>
      </c>
      <c r="F122" s="4">
        <v>1021.45</v>
      </c>
      <c r="G122" s="4">
        <v>0</v>
      </c>
      <c r="H122" s="4">
        <v>1021.45</v>
      </c>
      <c r="I122" s="4">
        <v>56.4</v>
      </c>
      <c r="J122" s="4">
        <v>0</v>
      </c>
      <c r="K122" s="4">
        <v>56.4</v>
      </c>
      <c r="L122" s="4">
        <v>126.22</v>
      </c>
      <c r="M122" s="4">
        <v>16787</v>
      </c>
      <c r="N122" s="4">
        <v>99</v>
      </c>
      <c r="O122" s="4">
        <v>13167</v>
      </c>
      <c r="P122" s="4" t="s">
        <v>29</v>
      </c>
      <c r="Q122" s="4" t="s">
        <v>30</v>
      </c>
      <c r="R122" s="4" t="s">
        <v>38</v>
      </c>
      <c r="S122" s="4">
        <v>0</v>
      </c>
      <c r="T122" s="4">
        <v>0</v>
      </c>
      <c r="U122" s="4">
        <v>0</v>
      </c>
      <c r="V122" s="4" t="s">
        <v>32</v>
      </c>
      <c r="W122" s="4" t="s">
        <v>32</v>
      </c>
      <c r="X122" s="4" t="s">
        <v>32</v>
      </c>
      <c r="Y122" s="4" t="s">
        <v>32</v>
      </c>
      <c r="Z122" s="4" t="s">
        <v>32</v>
      </c>
      <c r="AA122" s="4" t="s">
        <v>32</v>
      </c>
    </row>
    <row r="123" s="4" customFormat="1" spans="1:27">
      <c r="A123" s="4" t="s">
        <v>36</v>
      </c>
      <c r="B123" s="4" t="s">
        <v>28</v>
      </c>
      <c r="C123" s="4">
        <v>86770</v>
      </c>
      <c r="D123" s="19" t="s">
        <v>102</v>
      </c>
      <c r="E123" s="21">
        <v>43869.803287037</v>
      </c>
      <c r="F123" s="4">
        <v>385.74</v>
      </c>
      <c r="G123" s="4">
        <v>0.15</v>
      </c>
      <c r="H123" s="4">
        <v>385.59</v>
      </c>
      <c r="I123" s="4">
        <v>48.79</v>
      </c>
      <c r="J123" s="4">
        <v>0.15</v>
      </c>
      <c r="K123" s="4">
        <v>48.64</v>
      </c>
      <c r="L123" s="4">
        <v>91.73</v>
      </c>
      <c r="M123" s="4">
        <v>12200</v>
      </c>
      <c r="N123" s="4">
        <v>87.14</v>
      </c>
      <c r="O123" s="4">
        <v>11589.62</v>
      </c>
      <c r="P123" s="4" t="s">
        <v>34</v>
      </c>
      <c r="Q123" s="4" t="s">
        <v>30</v>
      </c>
      <c r="R123" s="4" t="s">
        <v>38</v>
      </c>
      <c r="S123" s="4">
        <v>0</v>
      </c>
      <c r="T123" s="4">
        <v>0</v>
      </c>
      <c r="U123" s="4">
        <v>0</v>
      </c>
      <c r="V123" s="4" t="s">
        <v>32</v>
      </c>
      <c r="W123" s="4" t="s">
        <v>32</v>
      </c>
      <c r="X123" s="4" t="s">
        <v>32</v>
      </c>
      <c r="Y123" s="4" t="s">
        <v>32</v>
      </c>
      <c r="Z123" s="4" t="s">
        <v>32</v>
      </c>
      <c r="AA123" s="4" t="s">
        <v>32</v>
      </c>
    </row>
    <row r="124" s="4" customFormat="1" spans="1:27">
      <c r="A124" s="4" t="s">
        <v>36</v>
      </c>
      <c r="B124" s="4" t="s">
        <v>28</v>
      </c>
      <c r="C124" s="4">
        <v>11686570</v>
      </c>
      <c r="D124" s="19" t="s">
        <v>103</v>
      </c>
      <c r="E124" s="21">
        <v>45274.3952199074</v>
      </c>
      <c r="F124" s="4">
        <v>2706.53</v>
      </c>
      <c r="G124" s="4">
        <v>0</v>
      </c>
      <c r="H124" s="4">
        <v>2706.53</v>
      </c>
      <c r="I124" s="4">
        <v>3.04</v>
      </c>
      <c r="J124" s="4">
        <v>0</v>
      </c>
      <c r="K124" s="4">
        <v>3.04</v>
      </c>
      <c r="L124" s="4">
        <v>681.51</v>
      </c>
      <c r="M124" s="4">
        <v>90641</v>
      </c>
      <c r="N124" s="4">
        <v>138.65</v>
      </c>
      <c r="O124" s="4">
        <v>18440.45</v>
      </c>
      <c r="P124" s="4" t="s">
        <v>29</v>
      </c>
      <c r="Q124" s="4" t="s">
        <v>30</v>
      </c>
      <c r="R124" s="4" t="s">
        <v>38</v>
      </c>
      <c r="S124" s="4">
        <v>0</v>
      </c>
      <c r="T124" s="4">
        <v>0</v>
      </c>
      <c r="U124" s="4">
        <v>0</v>
      </c>
      <c r="V124" s="4" t="s">
        <v>32</v>
      </c>
      <c r="W124" s="4" t="s">
        <v>32</v>
      </c>
      <c r="X124" s="4" t="s">
        <v>32</v>
      </c>
      <c r="Y124" s="4" t="s">
        <v>32</v>
      </c>
      <c r="Z124" s="4" t="s">
        <v>32</v>
      </c>
      <c r="AA124" s="4" t="s">
        <v>32</v>
      </c>
    </row>
    <row r="125" s="4" customFormat="1" spans="1:27">
      <c r="A125" s="4" t="s">
        <v>104</v>
      </c>
      <c r="B125" s="4" t="s">
        <v>28</v>
      </c>
      <c r="C125" s="4">
        <v>22042351</v>
      </c>
      <c r="D125" s="19">
        <v>254110836813</v>
      </c>
      <c r="E125" s="21">
        <v>46104.4205787037</v>
      </c>
      <c r="F125" s="4">
        <v>613.58</v>
      </c>
      <c r="G125" s="4">
        <v>0.23</v>
      </c>
      <c r="H125" s="4">
        <v>613.35</v>
      </c>
      <c r="I125" s="4">
        <v>4.3</v>
      </c>
      <c r="J125" s="4">
        <v>0.23</v>
      </c>
      <c r="K125" s="4">
        <v>4.07</v>
      </c>
      <c r="L125" s="4">
        <v>91.3</v>
      </c>
      <c r="M125" s="4">
        <v>12143</v>
      </c>
      <c r="N125" s="4">
        <v>86.74</v>
      </c>
      <c r="O125" s="4">
        <v>11535.85</v>
      </c>
      <c r="P125" s="4" t="s">
        <v>29</v>
      </c>
      <c r="Q125" s="4" t="s">
        <v>30</v>
      </c>
      <c r="R125" s="4" t="s">
        <v>38</v>
      </c>
      <c r="S125" s="4">
        <v>0</v>
      </c>
      <c r="T125" s="4">
        <v>0</v>
      </c>
      <c r="U125" s="4">
        <v>0</v>
      </c>
      <c r="V125" s="4" t="s">
        <v>32</v>
      </c>
      <c r="W125" s="4" t="s">
        <v>32</v>
      </c>
      <c r="X125" s="4" t="s">
        <v>32</v>
      </c>
      <c r="Y125" s="4" t="s">
        <v>32</v>
      </c>
      <c r="Z125" s="4" t="s">
        <v>32</v>
      </c>
      <c r="AA125" s="4" t="s">
        <v>32</v>
      </c>
    </row>
    <row r="126" s="4" customFormat="1" spans="1:27">
      <c r="A126" s="4" t="s">
        <v>104</v>
      </c>
      <c r="B126" s="4" t="s">
        <v>28</v>
      </c>
      <c r="C126" s="4">
        <v>11373861</v>
      </c>
      <c r="D126" s="19">
        <v>254110861850</v>
      </c>
      <c r="E126" s="21">
        <v>45247.8288773148</v>
      </c>
      <c r="F126" s="4">
        <v>965.25</v>
      </c>
      <c r="G126" s="4">
        <v>0</v>
      </c>
      <c r="H126" s="4">
        <v>965.25</v>
      </c>
      <c r="I126" s="4">
        <v>38.51</v>
      </c>
      <c r="J126" s="4">
        <v>0</v>
      </c>
      <c r="K126" s="4">
        <v>38.51</v>
      </c>
      <c r="L126" s="4">
        <v>196.63</v>
      </c>
      <c r="M126" s="4">
        <v>26152</v>
      </c>
      <c r="N126" s="4">
        <v>51.27</v>
      </c>
      <c r="O126" s="4">
        <v>6819.1</v>
      </c>
      <c r="P126" s="4" t="s">
        <v>34</v>
      </c>
      <c r="Q126" s="4" t="s">
        <v>30</v>
      </c>
      <c r="R126" s="4" t="s">
        <v>38</v>
      </c>
      <c r="S126" s="4">
        <v>0</v>
      </c>
      <c r="T126" s="4">
        <v>0</v>
      </c>
      <c r="U126" s="4">
        <v>0</v>
      </c>
      <c r="V126" s="4" t="s">
        <v>32</v>
      </c>
      <c r="W126" s="4" t="s">
        <v>32</v>
      </c>
      <c r="X126" s="4" t="s">
        <v>32</v>
      </c>
      <c r="Y126" s="4" t="s">
        <v>32</v>
      </c>
      <c r="Z126" s="4" t="s">
        <v>32</v>
      </c>
      <c r="AA126" s="4" t="s">
        <v>32</v>
      </c>
    </row>
    <row r="127" s="4" customFormat="1" spans="1:27">
      <c r="A127" s="4" t="s">
        <v>104</v>
      </c>
      <c r="B127" s="4" t="s">
        <v>28</v>
      </c>
      <c r="C127" s="4">
        <v>19637522</v>
      </c>
      <c r="D127" s="19">
        <v>254116513295</v>
      </c>
      <c r="E127" s="21">
        <v>45983.3196412037</v>
      </c>
      <c r="F127" s="4">
        <v>237.67</v>
      </c>
      <c r="G127" s="4">
        <v>0.27</v>
      </c>
      <c r="H127" s="4">
        <v>237.4</v>
      </c>
      <c r="I127" s="4">
        <v>37.75</v>
      </c>
      <c r="J127" s="4">
        <v>-0.5</v>
      </c>
      <c r="K127" s="4">
        <v>38.26</v>
      </c>
      <c r="L127" s="4">
        <v>53.83</v>
      </c>
      <c r="M127" s="4">
        <v>7160</v>
      </c>
      <c r="N127" s="4">
        <v>30.38</v>
      </c>
      <c r="O127" s="4">
        <v>4040.35</v>
      </c>
      <c r="P127" s="4" t="s">
        <v>29</v>
      </c>
      <c r="Q127" s="4" t="s">
        <v>30</v>
      </c>
      <c r="R127" s="4" t="s">
        <v>38</v>
      </c>
      <c r="S127" s="4">
        <v>0</v>
      </c>
      <c r="T127" s="4">
        <v>0</v>
      </c>
      <c r="U127" s="4">
        <v>0</v>
      </c>
      <c r="V127" s="4" t="s">
        <v>32</v>
      </c>
      <c r="W127" s="4" t="s">
        <v>32</v>
      </c>
      <c r="X127" s="4" t="s">
        <v>32</v>
      </c>
      <c r="Y127" s="4" t="s">
        <v>32</v>
      </c>
      <c r="Z127" s="4" t="s">
        <v>32</v>
      </c>
      <c r="AA127" s="4" t="s">
        <v>32</v>
      </c>
    </row>
    <row r="128" s="4" customFormat="1" spans="1:27">
      <c r="A128" s="4" t="s">
        <v>104</v>
      </c>
      <c r="B128" s="4" t="s">
        <v>28</v>
      </c>
      <c r="C128" s="4">
        <v>21622971</v>
      </c>
      <c r="D128" s="19">
        <v>254117580706</v>
      </c>
      <c r="E128" s="21">
        <v>46081.8135648148</v>
      </c>
      <c r="F128" s="4">
        <v>16641.19</v>
      </c>
      <c r="G128" s="4">
        <v>0</v>
      </c>
      <c r="H128" s="4">
        <v>16641.19</v>
      </c>
      <c r="I128" s="4">
        <v>22.11</v>
      </c>
      <c r="J128" s="4">
        <v>0</v>
      </c>
      <c r="K128" s="4">
        <v>22.11</v>
      </c>
      <c r="L128" s="4">
        <v>1354.16</v>
      </c>
      <c r="M128" s="4">
        <v>180103</v>
      </c>
      <c r="N128" s="4">
        <v>1282.87</v>
      </c>
      <c r="O128" s="4">
        <v>170621.9</v>
      </c>
      <c r="P128" s="4" t="s">
        <v>29</v>
      </c>
      <c r="Q128" s="4" t="s">
        <v>33</v>
      </c>
      <c r="R128" s="4" t="s">
        <v>38</v>
      </c>
      <c r="S128" s="4">
        <v>0</v>
      </c>
      <c r="T128" s="4">
        <v>0</v>
      </c>
      <c r="U128" s="4">
        <v>0</v>
      </c>
      <c r="V128" s="4" t="s">
        <v>32</v>
      </c>
      <c r="W128" s="4" t="s">
        <v>32</v>
      </c>
      <c r="X128" s="4" t="s">
        <v>32</v>
      </c>
      <c r="Y128" s="4" t="s">
        <v>32</v>
      </c>
      <c r="Z128" s="4" t="s">
        <v>32</v>
      </c>
      <c r="AA128" s="4" t="s">
        <v>32</v>
      </c>
    </row>
    <row r="129" s="4" customFormat="1" spans="1:27">
      <c r="A129" s="4" t="s">
        <v>104</v>
      </c>
      <c r="B129" s="4" t="s">
        <v>28</v>
      </c>
      <c r="C129" s="4">
        <v>20485172</v>
      </c>
      <c r="D129" s="19">
        <v>254119283097</v>
      </c>
      <c r="E129" s="21">
        <v>46023.8200810185</v>
      </c>
      <c r="F129" s="4">
        <v>348.69</v>
      </c>
      <c r="G129" s="4">
        <v>15.28</v>
      </c>
      <c r="H129" s="4">
        <v>333.41</v>
      </c>
      <c r="I129" s="4">
        <v>27.46</v>
      </c>
      <c r="J129" s="4">
        <v>-0.49</v>
      </c>
      <c r="K129" s="4">
        <v>27.95</v>
      </c>
      <c r="L129" s="4">
        <v>105.98</v>
      </c>
      <c r="M129" s="4">
        <v>14096</v>
      </c>
      <c r="N129" s="4">
        <v>0.67</v>
      </c>
      <c r="O129" s="4">
        <v>89.3</v>
      </c>
      <c r="P129" s="4" t="s">
        <v>29</v>
      </c>
      <c r="Q129" s="4" t="s">
        <v>30</v>
      </c>
      <c r="R129" s="4" t="s">
        <v>38</v>
      </c>
      <c r="S129" s="4">
        <v>0</v>
      </c>
      <c r="T129" s="4">
        <v>0</v>
      </c>
      <c r="U129" s="4">
        <v>0</v>
      </c>
      <c r="V129" s="4" t="s">
        <v>32</v>
      </c>
      <c r="W129" s="4" t="s">
        <v>32</v>
      </c>
      <c r="X129" s="4" t="s">
        <v>32</v>
      </c>
      <c r="Y129" s="4" t="s">
        <v>32</v>
      </c>
      <c r="Z129" s="4" t="s">
        <v>32</v>
      </c>
      <c r="AA129" s="4" t="s">
        <v>32</v>
      </c>
    </row>
    <row r="130" s="4" customFormat="1" spans="1:27">
      <c r="A130" s="4" t="s">
        <v>104</v>
      </c>
      <c r="B130" s="4" t="s">
        <v>28</v>
      </c>
      <c r="C130" s="4">
        <v>22930222</v>
      </c>
      <c r="D130" s="19">
        <v>254140621618</v>
      </c>
      <c r="E130" s="21">
        <v>46161.2966550926</v>
      </c>
      <c r="F130" s="4">
        <v>0.75</v>
      </c>
      <c r="G130" s="4">
        <v>0</v>
      </c>
      <c r="H130" s="4">
        <v>0.75</v>
      </c>
      <c r="I130" s="4">
        <v>0.75</v>
      </c>
      <c r="J130" s="4">
        <v>0</v>
      </c>
      <c r="K130" s="4">
        <v>0.75</v>
      </c>
      <c r="L130" s="4">
        <v>375.94</v>
      </c>
      <c r="M130" s="4">
        <v>50000</v>
      </c>
      <c r="N130" s="4">
        <v>357.14</v>
      </c>
      <c r="O130" s="4">
        <v>47500</v>
      </c>
      <c r="P130" s="4" t="s">
        <v>29</v>
      </c>
      <c r="Q130" s="4" t="s">
        <v>30</v>
      </c>
      <c r="R130" s="4" t="s">
        <v>38</v>
      </c>
      <c r="S130" s="4">
        <v>0</v>
      </c>
      <c r="T130" s="4">
        <v>0</v>
      </c>
      <c r="U130" s="4">
        <v>0</v>
      </c>
      <c r="V130" s="4" t="s">
        <v>32</v>
      </c>
      <c r="W130" s="4" t="s">
        <v>32</v>
      </c>
      <c r="X130" s="4" t="s">
        <v>32</v>
      </c>
      <c r="Y130" s="4" t="s">
        <v>32</v>
      </c>
      <c r="Z130" s="4" t="s">
        <v>32</v>
      </c>
      <c r="AA130" s="4" t="s">
        <v>32</v>
      </c>
    </row>
    <row r="131" s="4" customFormat="1" spans="1:27">
      <c r="A131" s="4" t="s">
        <v>104</v>
      </c>
      <c r="B131" s="4" t="s">
        <v>28</v>
      </c>
      <c r="C131" s="4">
        <v>22584030</v>
      </c>
      <c r="D131" s="19">
        <v>254701304143</v>
      </c>
      <c r="E131" s="21">
        <v>46136.3219791667</v>
      </c>
      <c r="F131" s="4">
        <v>624.75</v>
      </c>
      <c r="G131" s="4">
        <v>0</v>
      </c>
      <c r="H131" s="4">
        <v>624.75</v>
      </c>
      <c r="I131" s="4">
        <v>13.43</v>
      </c>
      <c r="J131" s="4">
        <v>0</v>
      </c>
      <c r="K131" s="4">
        <v>13.43</v>
      </c>
      <c r="L131" s="4">
        <v>100.39</v>
      </c>
      <c r="M131" s="4">
        <v>13352</v>
      </c>
      <c r="N131" s="4">
        <v>95.37</v>
      </c>
      <c r="O131" s="4">
        <v>12684.4</v>
      </c>
      <c r="P131" s="4" t="s">
        <v>29</v>
      </c>
      <c r="Q131" s="4" t="s">
        <v>30</v>
      </c>
      <c r="R131" s="4" t="s">
        <v>38</v>
      </c>
      <c r="S131" s="4">
        <v>0</v>
      </c>
      <c r="T131" s="4">
        <v>0</v>
      </c>
      <c r="U131" s="4">
        <v>0</v>
      </c>
      <c r="V131" s="4" t="s">
        <v>32</v>
      </c>
      <c r="W131" s="4" t="s">
        <v>32</v>
      </c>
      <c r="X131" s="4" t="s">
        <v>32</v>
      </c>
      <c r="Y131" s="4" t="s">
        <v>32</v>
      </c>
      <c r="Z131" s="4" t="s">
        <v>32</v>
      </c>
      <c r="AA131" s="4" t="s">
        <v>32</v>
      </c>
    </row>
    <row r="132" s="4" customFormat="1" spans="1:27">
      <c r="A132" s="4" t="s">
        <v>104</v>
      </c>
      <c r="B132" s="4" t="s">
        <v>28</v>
      </c>
      <c r="C132" s="4">
        <v>21255362</v>
      </c>
      <c r="D132" s="19">
        <v>254701669754</v>
      </c>
      <c r="E132" s="21">
        <v>46063.7555902778</v>
      </c>
      <c r="F132" s="4">
        <v>2947.4</v>
      </c>
      <c r="G132" s="4">
        <v>7.84</v>
      </c>
      <c r="H132" s="4">
        <v>2939.56</v>
      </c>
      <c r="I132" s="4">
        <v>83.17</v>
      </c>
      <c r="J132" s="4">
        <v>-23.04</v>
      </c>
      <c r="K132" s="4">
        <v>106.2</v>
      </c>
      <c r="L132" s="4">
        <v>422.26</v>
      </c>
      <c r="M132" s="4">
        <v>56161</v>
      </c>
      <c r="N132" s="4">
        <v>399.11</v>
      </c>
      <c r="O132" s="4">
        <v>53081.25</v>
      </c>
      <c r="P132" s="4" t="s">
        <v>34</v>
      </c>
      <c r="Q132" s="4" t="s">
        <v>30</v>
      </c>
      <c r="R132" s="4" t="s">
        <v>38</v>
      </c>
      <c r="S132" s="4">
        <v>0</v>
      </c>
      <c r="T132" s="4">
        <v>0</v>
      </c>
      <c r="U132" s="4">
        <v>0</v>
      </c>
      <c r="V132" s="4" t="s">
        <v>32</v>
      </c>
      <c r="W132" s="4" t="s">
        <v>32</v>
      </c>
      <c r="X132" s="4" t="s">
        <v>32</v>
      </c>
      <c r="Y132" s="4" t="s">
        <v>32</v>
      </c>
      <c r="Z132" s="4" t="s">
        <v>32</v>
      </c>
      <c r="AA132" s="4" t="s">
        <v>32</v>
      </c>
    </row>
    <row r="133" s="4" customFormat="1" spans="1:27">
      <c r="A133" s="4" t="s">
        <v>104</v>
      </c>
      <c r="B133" s="4" t="s">
        <v>28</v>
      </c>
      <c r="C133" s="4">
        <v>15405231</v>
      </c>
      <c r="D133" s="19">
        <v>254701945725</v>
      </c>
      <c r="E133" s="21">
        <v>45668.420787037</v>
      </c>
      <c r="F133" s="4">
        <v>373.13</v>
      </c>
      <c r="G133" s="4">
        <v>0.8</v>
      </c>
      <c r="H133" s="4">
        <v>372.33</v>
      </c>
      <c r="I133" s="4">
        <v>11.89</v>
      </c>
      <c r="J133" s="4">
        <v>0.03</v>
      </c>
      <c r="K133" s="4">
        <v>11.86</v>
      </c>
      <c r="L133" s="4">
        <v>62.25</v>
      </c>
      <c r="M133" s="4">
        <v>8279</v>
      </c>
      <c r="N133" s="4">
        <v>1.06</v>
      </c>
      <c r="O133" s="4">
        <v>140.6</v>
      </c>
      <c r="P133" s="4" t="s">
        <v>34</v>
      </c>
      <c r="Q133" s="4" t="s">
        <v>30</v>
      </c>
      <c r="R133" s="4" t="s">
        <v>38</v>
      </c>
      <c r="S133" s="4">
        <v>0</v>
      </c>
      <c r="T133" s="4">
        <v>0</v>
      </c>
      <c r="U133" s="4">
        <v>0</v>
      </c>
      <c r="V133" s="4" t="s">
        <v>32</v>
      </c>
      <c r="W133" s="4" t="s">
        <v>32</v>
      </c>
      <c r="X133" s="4" t="s">
        <v>32</v>
      </c>
      <c r="Y133" s="4" t="s">
        <v>32</v>
      </c>
      <c r="Z133" s="4" t="s">
        <v>32</v>
      </c>
      <c r="AA133" s="4" t="s">
        <v>32</v>
      </c>
    </row>
    <row r="134" s="4" customFormat="1" spans="1:27">
      <c r="A134" s="4" t="s">
        <v>104</v>
      </c>
      <c r="B134" s="4" t="s">
        <v>28</v>
      </c>
      <c r="C134" s="4">
        <v>9545190</v>
      </c>
      <c r="D134" s="19">
        <v>254702172156</v>
      </c>
      <c r="E134" s="21">
        <v>44988.7309259259</v>
      </c>
      <c r="F134" s="4">
        <v>283.32</v>
      </c>
      <c r="G134" s="4">
        <v>0</v>
      </c>
      <c r="H134" s="4">
        <v>283.32</v>
      </c>
      <c r="I134" s="4">
        <v>44.94</v>
      </c>
      <c r="J134" s="4">
        <v>0</v>
      </c>
      <c r="K134" s="4">
        <v>44.94</v>
      </c>
      <c r="L134" s="4">
        <v>86.16</v>
      </c>
      <c r="M134" s="4">
        <v>11459</v>
      </c>
      <c r="N134" s="4">
        <v>2.86</v>
      </c>
      <c r="O134" s="4">
        <v>380</v>
      </c>
      <c r="P134" s="4" t="s">
        <v>34</v>
      </c>
      <c r="Q134" s="4" t="s">
        <v>30</v>
      </c>
      <c r="R134" s="4" t="s">
        <v>38</v>
      </c>
      <c r="S134" s="4">
        <v>0</v>
      </c>
      <c r="T134" s="4">
        <v>0</v>
      </c>
      <c r="U134" s="4">
        <v>0</v>
      </c>
      <c r="V134" s="4" t="s">
        <v>32</v>
      </c>
      <c r="W134" s="4" t="s">
        <v>32</v>
      </c>
      <c r="X134" s="4" t="s">
        <v>32</v>
      </c>
      <c r="Y134" s="4" t="s">
        <v>32</v>
      </c>
      <c r="Z134" s="4" t="s">
        <v>32</v>
      </c>
      <c r="AA134" s="4" t="s">
        <v>32</v>
      </c>
    </row>
    <row r="135" s="4" customFormat="1" spans="1:27">
      <c r="A135" s="4" t="s">
        <v>104</v>
      </c>
      <c r="B135" s="4" t="s">
        <v>28</v>
      </c>
      <c r="C135" s="4">
        <v>13374861</v>
      </c>
      <c r="D135" s="19">
        <v>254702759164</v>
      </c>
      <c r="E135" s="21">
        <v>45498.5607291667</v>
      </c>
      <c r="F135" s="4">
        <v>18493.72</v>
      </c>
      <c r="G135" s="4">
        <v>0</v>
      </c>
      <c r="H135" s="4">
        <v>18493.72</v>
      </c>
      <c r="I135" s="4">
        <v>700.19</v>
      </c>
      <c r="J135" s="4">
        <v>0</v>
      </c>
      <c r="K135" s="4">
        <v>700.19</v>
      </c>
      <c r="L135" s="4">
        <v>2273.53</v>
      </c>
      <c r="M135" s="4">
        <v>302379</v>
      </c>
      <c r="N135" s="4">
        <v>511.47</v>
      </c>
      <c r="O135" s="4">
        <v>68025.5</v>
      </c>
      <c r="P135" s="4" t="s">
        <v>29</v>
      </c>
      <c r="Q135" s="4" t="s">
        <v>33</v>
      </c>
      <c r="R135" s="4" t="s">
        <v>38</v>
      </c>
      <c r="S135" s="4">
        <v>0</v>
      </c>
      <c r="T135" s="4">
        <v>0</v>
      </c>
      <c r="U135" s="4">
        <v>1</v>
      </c>
      <c r="V135" s="4">
        <v>1</v>
      </c>
      <c r="W135" s="4" t="s">
        <v>32</v>
      </c>
      <c r="X135" s="4" t="s">
        <v>32</v>
      </c>
      <c r="Y135" s="4" t="s">
        <v>32</v>
      </c>
      <c r="Z135" s="4" t="s">
        <v>32</v>
      </c>
      <c r="AA135" s="4" t="s">
        <v>32</v>
      </c>
    </row>
    <row r="136" s="4" customFormat="1" spans="1:27">
      <c r="A136" s="4" t="s">
        <v>104</v>
      </c>
      <c r="B136" s="4" t="s">
        <v>28</v>
      </c>
      <c r="C136" s="4">
        <v>22824652</v>
      </c>
      <c r="D136" s="19">
        <v>254702896654</v>
      </c>
      <c r="E136" s="21">
        <v>46153.6288657407</v>
      </c>
      <c r="F136" s="4">
        <v>17026.84</v>
      </c>
      <c r="G136" s="4">
        <v>0</v>
      </c>
      <c r="H136" s="4">
        <v>17026.84</v>
      </c>
      <c r="I136" s="4">
        <v>1039.08</v>
      </c>
      <c r="J136" s="4">
        <v>0</v>
      </c>
      <c r="K136" s="4">
        <v>1039.08</v>
      </c>
      <c r="L136" s="4">
        <v>1187.97</v>
      </c>
      <c r="M136" s="4">
        <v>158000</v>
      </c>
      <c r="N136" s="4">
        <v>1128.57</v>
      </c>
      <c r="O136" s="4">
        <v>150100</v>
      </c>
      <c r="P136" s="4" t="s">
        <v>29</v>
      </c>
      <c r="Q136" s="4" t="s">
        <v>33</v>
      </c>
      <c r="R136" s="4" t="s">
        <v>38</v>
      </c>
      <c r="S136" s="4">
        <v>0</v>
      </c>
      <c r="T136" s="4">
        <v>0</v>
      </c>
      <c r="U136" s="4">
        <v>0</v>
      </c>
      <c r="V136" s="4" t="s">
        <v>32</v>
      </c>
      <c r="W136" s="4" t="s">
        <v>32</v>
      </c>
      <c r="X136" s="4" t="s">
        <v>32</v>
      </c>
      <c r="Y136" s="4" t="s">
        <v>32</v>
      </c>
      <c r="Z136" s="4" t="s">
        <v>32</v>
      </c>
      <c r="AA136" s="4" t="s">
        <v>32</v>
      </c>
    </row>
    <row r="137" s="4" customFormat="1" spans="1:27">
      <c r="A137" s="4" t="s">
        <v>104</v>
      </c>
      <c r="B137" s="4" t="s">
        <v>28</v>
      </c>
      <c r="C137" s="4">
        <v>8078471</v>
      </c>
      <c r="D137" s="19">
        <v>254703938238</v>
      </c>
      <c r="E137" s="21">
        <v>44720.7721296296</v>
      </c>
      <c r="F137" s="4">
        <v>551.63</v>
      </c>
      <c r="G137" s="4">
        <v>64.83</v>
      </c>
      <c r="H137" s="4">
        <v>486.8</v>
      </c>
      <c r="I137" s="4">
        <v>210.96</v>
      </c>
      <c r="J137" s="4">
        <v>20.47</v>
      </c>
      <c r="K137" s="4">
        <v>190.49</v>
      </c>
      <c r="L137" s="4">
        <v>355.75</v>
      </c>
      <c r="M137" s="4">
        <v>47315</v>
      </c>
      <c r="N137" s="4">
        <v>337.96</v>
      </c>
      <c r="O137" s="4">
        <v>44949.25</v>
      </c>
      <c r="P137" s="4" t="s">
        <v>35</v>
      </c>
      <c r="Q137" s="4" t="s">
        <v>30</v>
      </c>
      <c r="R137" s="4" t="s">
        <v>38</v>
      </c>
      <c r="S137" s="4">
        <v>2000</v>
      </c>
      <c r="T137" s="4">
        <v>0</v>
      </c>
      <c r="U137" s="4">
        <v>0</v>
      </c>
      <c r="V137" s="4" t="s">
        <v>32</v>
      </c>
      <c r="W137" s="4" t="s">
        <v>32</v>
      </c>
      <c r="X137" s="4" t="s">
        <v>32</v>
      </c>
      <c r="Y137" s="4" t="s">
        <v>32</v>
      </c>
      <c r="Z137" s="4" t="s">
        <v>32</v>
      </c>
      <c r="AA137" s="4" t="s">
        <v>32</v>
      </c>
    </row>
    <row r="138" s="4" customFormat="1" spans="1:27">
      <c r="A138" s="4" t="s">
        <v>104</v>
      </c>
      <c r="B138" s="4" t="s">
        <v>28</v>
      </c>
      <c r="C138" s="4">
        <v>13125261</v>
      </c>
      <c r="D138" s="19">
        <v>254705375701</v>
      </c>
      <c r="E138" s="21">
        <v>45449.3480324074</v>
      </c>
      <c r="F138" s="4">
        <v>1468.41</v>
      </c>
      <c r="G138" s="4">
        <v>0</v>
      </c>
      <c r="H138" s="4">
        <v>1468.41</v>
      </c>
      <c r="I138" s="4">
        <v>-42.49</v>
      </c>
      <c r="J138" s="4">
        <v>0</v>
      </c>
      <c r="K138" s="4">
        <v>-42.49</v>
      </c>
      <c r="L138" s="4">
        <v>127.38</v>
      </c>
      <c r="M138" s="4">
        <v>16942</v>
      </c>
      <c r="N138" s="4">
        <v>77.16</v>
      </c>
      <c r="O138" s="4">
        <v>10261.9</v>
      </c>
      <c r="P138" s="4" t="s">
        <v>29</v>
      </c>
      <c r="Q138" s="4" t="s">
        <v>30</v>
      </c>
      <c r="R138" s="4" t="s">
        <v>38</v>
      </c>
      <c r="S138" s="4">
        <v>0</v>
      </c>
      <c r="T138" s="4">
        <v>0</v>
      </c>
      <c r="U138" s="4">
        <v>0</v>
      </c>
      <c r="V138" s="4" t="s">
        <v>32</v>
      </c>
      <c r="W138" s="4" t="s">
        <v>32</v>
      </c>
      <c r="X138" s="4" t="s">
        <v>32</v>
      </c>
      <c r="Y138" s="4" t="s">
        <v>32</v>
      </c>
      <c r="Z138" s="4" t="s">
        <v>32</v>
      </c>
      <c r="AA138" s="4" t="s">
        <v>32</v>
      </c>
    </row>
    <row r="139" s="4" customFormat="1" spans="1:27">
      <c r="A139" s="4" t="s">
        <v>104</v>
      </c>
      <c r="B139" s="4" t="s">
        <v>28</v>
      </c>
      <c r="C139" s="4">
        <v>342930</v>
      </c>
      <c r="D139" s="19">
        <v>254706336147</v>
      </c>
      <c r="E139" s="21">
        <v>43918.806087963</v>
      </c>
      <c r="F139" s="4">
        <v>13853.32</v>
      </c>
      <c r="G139" s="4">
        <v>109.86</v>
      </c>
      <c r="H139" s="4">
        <v>13743.46</v>
      </c>
      <c r="I139" s="4">
        <v>917.55</v>
      </c>
      <c r="J139" s="4">
        <v>-25.52</v>
      </c>
      <c r="K139" s="4">
        <v>943.07</v>
      </c>
      <c r="L139" s="4">
        <v>1637.64</v>
      </c>
      <c r="M139" s="4">
        <v>217806</v>
      </c>
      <c r="N139" s="4">
        <v>33.56</v>
      </c>
      <c r="O139" s="4">
        <v>4463.1</v>
      </c>
      <c r="P139" s="4" t="s">
        <v>29</v>
      </c>
      <c r="Q139" s="4" t="s">
        <v>33</v>
      </c>
      <c r="R139" s="4" t="s">
        <v>38</v>
      </c>
      <c r="S139" s="4">
        <v>0</v>
      </c>
      <c r="T139" s="4">
        <v>0</v>
      </c>
      <c r="U139" s="4">
        <v>0</v>
      </c>
      <c r="V139" s="4" t="s">
        <v>32</v>
      </c>
      <c r="W139" s="4" t="s">
        <v>32</v>
      </c>
      <c r="X139" s="4" t="s">
        <v>32</v>
      </c>
      <c r="Y139" s="4" t="s">
        <v>32</v>
      </c>
      <c r="Z139" s="4" t="s">
        <v>32</v>
      </c>
      <c r="AA139" s="4" t="s">
        <v>32</v>
      </c>
    </row>
    <row r="140" s="4" customFormat="1" spans="1:27">
      <c r="A140" s="4" t="s">
        <v>104</v>
      </c>
      <c r="B140" s="4" t="s">
        <v>28</v>
      </c>
      <c r="C140" s="4">
        <v>10152922</v>
      </c>
      <c r="D140" s="19">
        <v>254706383103</v>
      </c>
      <c r="E140" s="21">
        <v>45103.0880555556</v>
      </c>
      <c r="F140" s="4">
        <v>2007.59</v>
      </c>
      <c r="G140" s="4">
        <v>0.07</v>
      </c>
      <c r="H140" s="4">
        <v>2007.52</v>
      </c>
      <c r="I140" s="4">
        <v>96.35</v>
      </c>
      <c r="J140" s="4">
        <v>0.06</v>
      </c>
      <c r="K140" s="4">
        <v>108.02</v>
      </c>
      <c r="L140" s="4">
        <v>183.26</v>
      </c>
      <c r="M140" s="4">
        <v>24374</v>
      </c>
      <c r="N140" s="4">
        <v>0</v>
      </c>
      <c r="O140" s="4">
        <v>0</v>
      </c>
      <c r="P140" s="4" t="s">
        <v>34</v>
      </c>
      <c r="Q140" s="4" t="s">
        <v>30</v>
      </c>
      <c r="R140" s="4" t="s">
        <v>38</v>
      </c>
      <c r="S140" s="4">
        <v>0</v>
      </c>
      <c r="T140" s="4">
        <v>0</v>
      </c>
      <c r="U140" s="4">
        <v>0</v>
      </c>
      <c r="V140" s="4" t="s">
        <v>32</v>
      </c>
      <c r="W140" s="4" t="s">
        <v>32</v>
      </c>
      <c r="X140" s="4" t="s">
        <v>32</v>
      </c>
      <c r="Y140" s="4" t="s">
        <v>32</v>
      </c>
      <c r="Z140" s="4" t="s">
        <v>32</v>
      </c>
      <c r="AA140" s="4" t="s">
        <v>32</v>
      </c>
    </row>
    <row r="141" s="4" customFormat="1" spans="1:27">
      <c r="A141" s="4" t="s">
        <v>104</v>
      </c>
      <c r="B141" s="4" t="s">
        <v>28</v>
      </c>
      <c r="C141" s="4">
        <v>13348491</v>
      </c>
      <c r="D141" s="19">
        <v>254706643554</v>
      </c>
      <c r="E141" s="21">
        <v>45493.7923032407</v>
      </c>
      <c r="F141" s="4">
        <v>243.78</v>
      </c>
      <c r="G141" s="4">
        <v>0.09</v>
      </c>
      <c r="H141" s="4">
        <v>243.69</v>
      </c>
      <c r="I141" s="4">
        <v>-4.14</v>
      </c>
      <c r="J141" s="4">
        <v>0.07</v>
      </c>
      <c r="K141" s="4">
        <v>-4.21</v>
      </c>
      <c r="L141" s="4">
        <v>54.53</v>
      </c>
      <c r="M141" s="4">
        <v>7252</v>
      </c>
      <c r="N141" s="4">
        <v>26.43</v>
      </c>
      <c r="O141" s="4">
        <v>3515</v>
      </c>
      <c r="P141" s="4" t="s">
        <v>29</v>
      </c>
      <c r="Q141" s="4" t="s">
        <v>30</v>
      </c>
      <c r="R141" s="4" t="s">
        <v>38</v>
      </c>
      <c r="S141" s="4">
        <v>0</v>
      </c>
      <c r="T141" s="4">
        <v>0</v>
      </c>
      <c r="U141" s="4">
        <v>0</v>
      </c>
      <c r="V141" s="4" t="s">
        <v>32</v>
      </c>
      <c r="W141" s="4" t="s">
        <v>32</v>
      </c>
      <c r="X141" s="4" t="s">
        <v>32</v>
      </c>
      <c r="Y141" s="4" t="s">
        <v>32</v>
      </c>
      <c r="Z141" s="4" t="s">
        <v>32</v>
      </c>
      <c r="AA141" s="4" t="s">
        <v>32</v>
      </c>
    </row>
    <row r="142" s="4" customFormat="1" spans="1:27">
      <c r="A142" s="4" t="s">
        <v>104</v>
      </c>
      <c r="B142" s="4" t="s">
        <v>28</v>
      </c>
      <c r="C142" s="4">
        <v>10554370</v>
      </c>
      <c r="D142" s="19">
        <v>254706989984</v>
      </c>
      <c r="E142" s="21">
        <v>45170.5071759259</v>
      </c>
      <c r="F142" s="4">
        <v>5644.43</v>
      </c>
      <c r="G142" s="4">
        <v>0.77</v>
      </c>
      <c r="H142" s="4">
        <v>5643.65</v>
      </c>
      <c r="I142" s="4">
        <v>367.58</v>
      </c>
      <c r="J142" s="4">
        <v>0.75</v>
      </c>
      <c r="K142" s="4">
        <v>366.83</v>
      </c>
      <c r="L142" s="4">
        <v>2328.2</v>
      </c>
      <c r="M142" s="4">
        <v>309650</v>
      </c>
      <c r="N142" s="4">
        <v>126.43</v>
      </c>
      <c r="O142" s="4">
        <v>16815</v>
      </c>
      <c r="P142" s="4" t="s">
        <v>34</v>
      </c>
      <c r="Q142" s="4" t="s">
        <v>33</v>
      </c>
      <c r="R142" s="4" t="s">
        <v>38</v>
      </c>
      <c r="S142" s="4">
        <v>0</v>
      </c>
      <c r="T142" s="4">
        <v>0</v>
      </c>
      <c r="U142" s="4">
        <v>0</v>
      </c>
      <c r="V142" s="4" t="s">
        <v>32</v>
      </c>
      <c r="W142" s="4" t="s">
        <v>32</v>
      </c>
      <c r="X142" s="4" t="s">
        <v>32</v>
      </c>
      <c r="Y142" s="4" t="s">
        <v>32</v>
      </c>
      <c r="Z142" s="4" t="s">
        <v>32</v>
      </c>
      <c r="AA142" s="4" t="s">
        <v>32</v>
      </c>
    </row>
    <row r="143" s="4" customFormat="1" spans="1:27">
      <c r="A143" s="4" t="s">
        <v>104</v>
      </c>
      <c r="B143" s="4" t="s">
        <v>28</v>
      </c>
      <c r="C143" s="4">
        <v>4841172</v>
      </c>
      <c r="D143" s="19">
        <v>254711357330</v>
      </c>
      <c r="E143" s="21">
        <v>44368.4757060185</v>
      </c>
      <c r="F143" s="4">
        <v>347.07</v>
      </c>
      <c r="G143" s="4">
        <v>6.06</v>
      </c>
      <c r="H143" s="4">
        <v>341.01</v>
      </c>
      <c r="I143" s="4">
        <v>29.25</v>
      </c>
      <c r="J143" s="4">
        <v>3.15</v>
      </c>
      <c r="K143" s="4">
        <v>26.1</v>
      </c>
      <c r="L143" s="4">
        <v>109.81</v>
      </c>
      <c r="M143" s="4">
        <v>14605</v>
      </c>
      <c r="N143" s="4">
        <v>4.46</v>
      </c>
      <c r="O143" s="4">
        <v>593.75</v>
      </c>
      <c r="P143" s="4" t="s">
        <v>29</v>
      </c>
      <c r="Q143" s="4" t="s">
        <v>30</v>
      </c>
      <c r="R143" s="4" t="s">
        <v>38</v>
      </c>
      <c r="S143" s="4">
        <v>0</v>
      </c>
      <c r="T143" s="4">
        <v>0</v>
      </c>
      <c r="U143" s="4">
        <v>0</v>
      </c>
      <c r="V143" s="4" t="s">
        <v>32</v>
      </c>
      <c r="W143" s="4" t="s">
        <v>32</v>
      </c>
      <c r="X143" s="4" t="s">
        <v>32</v>
      </c>
      <c r="Y143" s="4" t="s">
        <v>32</v>
      </c>
      <c r="Z143" s="4" t="s">
        <v>32</v>
      </c>
      <c r="AA143" s="4" t="s">
        <v>32</v>
      </c>
    </row>
    <row r="144" s="4" customFormat="1" spans="1:27">
      <c r="A144" s="4" t="s">
        <v>104</v>
      </c>
      <c r="B144" s="4" t="s">
        <v>28</v>
      </c>
      <c r="C144" s="4">
        <v>19992051</v>
      </c>
      <c r="D144" s="19">
        <v>254712530713</v>
      </c>
      <c r="E144" s="21">
        <v>46000.4615856481</v>
      </c>
      <c r="F144" s="4">
        <v>409.98</v>
      </c>
      <c r="G144" s="4">
        <v>0.17</v>
      </c>
      <c r="H144" s="4">
        <v>409.81</v>
      </c>
      <c r="I144" s="4">
        <v>26.63</v>
      </c>
      <c r="J144" s="4">
        <v>0.17</v>
      </c>
      <c r="K144" s="4">
        <v>26.46</v>
      </c>
      <c r="L144" s="4">
        <v>97.44</v>
      </c>
      <c r="M144" s="4">
        <v>12960</v>
      </c>
      <c r="N144" s="4">
        <v>10.89</v>
      </c>
      <c r="O144" s="4">
        <v>1448.75</v>
      </c>
      <c r="P144" s="4" t="s">
        <v>34</v>
      </c>
      <c r="Q144" s="4" t="s">
        <v>30</v>
      </c>
      <c r="R144" s="4" t="s">
        <v>38</v>
      </c>
      <c r="S144" s="4">
        <v>0</v>
      </c>
      <c r="T144" s="4">
        <v>0</v>
      </c>
      <c r="U144" s="4">
        <v>0</v>
      </c>
      <c r="V144" s="4" t="s">
        <v>32</v>
      </c>
      <c r="W144" s="4" t="s">
        <v>32</v>
      </c>
      <c r="X144" s="4" t="s">
        <v>32</v>
      </c>
      <c r="Y144" s="4" t="s">
        <v>32</v>
      </c>
      <c r="Z144" s="4" t="s">
        <v>32</v>
      </c>
      <c r="AA144" s="4" t="s">
        <v>32</v>
      </c>
    </row>
    <row r="145" s="4" customFormat="1" spans="1:27">
      <c r="A145" s="4" t="s">
        <v>104</v>
      </c>
      <c r="B145" s="4" t="s">
        <v>28</v>
      </c>
      <c r="C145" s="4">
        <v>22791530</v>
      </c>
      <c r="D145" s="19">
        <v>254712786429</v>
      </c>
      <c r="E145" s="21">
        <v>46150.8812962963</v>
      </c>
      <c r="F145" s="4">
        <v>6545.68</v>
      </c>
      <c r="G145" s="4">
        <v>0</v>
      </c>
      <c r="H145" s="4">
        <v>6545.68</v>
      </c>
      <c r="I145" s="4">
        <v>251.51</v>
      </c>
      <c r="J145" s="4">
        <v>0</v>
      </c>
      <c r="K145" s="4">
        <v>251.51</v>
      </c>
      <c r="L145" s="4">
        <v>555.6</v>
      </c>
      <c r="M145" s="4">
        <v>73895</v>
      </c>
      <c r="N145" s="4">
        <v>527.82</v>
      </c>
      <c r="O145" s="4">
        <v>70200.25</v>
      </c>
      <c r="P145" s="4" t="s">
        <v>29</v>
      </c>
      <c r="Q145" s="4" t="s">
        <v>30</v>
      </c>
      <c r="R145" s="4" t="s">
        <v>38</v>
      </c>
      <c r="S145" s="4">
        <v>0</v>
      </c>
      <c r="T145" s="4">
        <v>0</v>
      </c>
      <c r="U145" s="4">
        <v>0</v>
      </c>
      <c r="V145" s="4" t="s">
        <v>32</v>
      </c>
      <c r="W145" s="4" t="s">
        <v>32</v>
      </c>
      <c r="X145" s="4" t="s">
        <v>32</v>
      </c>
      <c r="Y145" s="4" t="s">
        <v>32</v>
      </c>
      <c r="Z145" s="4" t="s">
        <v>32</v>
      </c>
      <c r="AA145" s="4" t="s">
        <v>32</v>
      </c>
    </row>
    <row r="146" s="4" customFormat="1" spans="1:27">
      <c r="A146" s="4" t="s">
        <v>104</v>
      </c>
      <c r="B146" s="4" t="s">
        <v>28</v>
      </c>
      <c r="C146" s="4">
        <v>17061780</v>
      </c>
      <c r="D146" s="19">
        <v>254713655622</v>
      </c>
      <c r="E146" s="21">
        <v>45827.6274189815</v>
      </c>
      <c r="F146" s="4">
        <v>531.49</v>
      </c>
      <c r="G146" s="4">
        <v>0.05</v>
      </c>
      <c r="H146" s="4">
        <v>531.44</v>
      </c>
      <c r="I146" s="4">
        <v>3.35</v>
      </c>
      <c r="J146" s="4">
        <v>0.05</v>
      </c>
      <c r="K146" s="4">
        <v>3.31</v>
      </c>
      <c r="L146" s="4">
        <v>84.89</v>
      </c>
      <c r="M146" s="4">
        <v>11290</v>
      </c>
      <c r="N146" s="4">
        <v>3.57</v>
      </c>
      <c r="O146" s="4">
        <v>475</v>
      </c>
      <c r="P146" s="4" t="s">
        <v>34</v>
      </c>
      <c r="Q146" s="4" t="s">
        <v>30</v>
      </c>
      <c r="R146" s="4" t="s">
        <v>38</v>
      </c>
      <c r="S146" s="4">
        <v>0</v>
      </c>
      <c r="T146" s="4">
        <v>0</v>
      </c>
      <c r="U146" s="4">
        <v>0</v>
      </c>
      <c r="V146" s="4" t="s">
        <v>32</v>
      </c>
      <c r="W146" s="4" t="s">
        <v>32</v>
      </c>
      <c r="X146" s="4" t="s">
        <v>32</v>
      </c>
      <c r="Y146" s="4" t="s">
        <v>32</v>
      </c>
      <c r="Z146" s="4" t="s">
        <v>32</v>
      </c>
      <c r="AA146" s="4" t="s">
        <v>32</v>
      </c>
    </row>
    <row r="147" s="4" customFormat="1" spans="1:27">
      <c r="A147" s="4" t="s">
        <v>104</v>
      </c>
      <c r="B147" s="4" t="s">
        <v>28</v>
      </c>
      <c r="C147" s="4">
        <v>22615410</v>
      </c>
      <c r="D147" s="19">
        <v>254715416505</v>
      </c>
      <c r="E147" s="21">
        <v>46138.6450231482</v>
      </c>
      <c r="F147" s="4">
        <v>513.02</v>
      </c>
      <c r="G147" s="4">
        <v>0.38</v>
      </c>
      <c r="H147" s="4">
        <v>512.64</v>
      </c>
      <c r="I147" s="4">
        <v>56.74</v>
      </c>
      <c r="J147" s="4">
        <v>0.21</v>
      </c>
      <c r="K147" s="4">
        <v>56.53</v>
      </c>
      <c r="L147" s="4">
        <v>119.47</v>
      </c>
      <c r="M147" s="4">
        <v>15890</v>
      </c>
      <c r="N147" s="4">
        <v>113.5</v>
      </c>
      <c r="O147" s="4">
        <v>15095.5</v>
      </c>
      <c r="P147" s="4" t="s">
        <v>29</v>
      </c>
      <c r="Q147" s="4" t="s">
        <v>30</v>
      </c>
      <c r="R147" s="4" t="s">
        <v>38</v>
      </c>
      <c r="S147" s="4">
        <v>0</v>
      </c>
      <c r="T147" s="4">
        <v>0</v>
      </c>
      <c r="U147" s="4">
        <v>0</v>
      </c>
      <c r="V147" s="4" t="s">
        <v>32</v>
      </c>
      <c r="W147" s="4" t="s">
        <v>32</v>
      </c>
      <c r="X147" s="4" t="s">
        <v>32</v>
      </c>
      <c r="Y147" s="4" t="s">
        <v>32</v>
      </c>
      <c r="Z147" s="4" t="s">
        <v>32</v>
      </c>
      <c r="AA147" s="4" t="s">
        <v>32</v>
      </c>
    </row>
    <row r="148" s="4" customFormat="1" spans="1:27">
      <c r="A148" s="4" t="s">
        <v>104</v>
      </c>
      <c r="B148" s="4" t="s">
        <v>28</v>
      </c>
      <c r="C148" s="4">
        <v>68941</v>
      </c>
      <c r="D148" s="19">
        <v>254716089114</v>
      </c>
      <c r="E148" s="21">
        <v>43856.4345486111</v>
      </c>
      <c r="F148" s="4">
        <v>13399.86</v>
      </c>
      <c r="G148" s="4">
        <v>0</v>
      </c>
      <c r="H148" s="4">
        <v>13399.86</v>
      </c>
      <c r="I148" s="4">
        <v>-1848.58</v>
      </c>
      <c r="J148" s="4">
        <v>0</v>
      </c>
      <c r="K148" s="4">
        <v>-1848.58</v>
      </c>
      <c r="L148" s="4">
        <v>1920.23</v>
      </c>
      <c r="M148" s="4">
        <v>255390</v>
      </c>
      <c r="N148" s="4">
        <v>547.79</v>
      </c>
      <c r="O148" s="4">
        <v>72855.5</v>
      </c>
      <c r="P148" s="4" t="s">
        <v>34</v>
      </c>
      <c r="Q148" s="4" t="s">
        <v>33</v>
      </c>
      <c r="R148" s="4" t="s">
        <v>38</v>
      </c>
      <c r="S148" s="4">
        <v>0</v>
      </c>
      <c r="T148" s="4">
        <v>0</v>
      </c>
      <c r="U148" s="4">
        <v>0</v>
      </c>
      <c r="V148" s="4" t="s">
        <v>32</v>
      </c>
      <c r="W148" s="4" t="s">
        <v>32</v>
      </c>
      <c r="X148" s="4" t="s">
        <v>32</v>
      </c>
      <c r="Y148" s="4" t="s">
        <v>32</v>
      </c>
      <c r="Z148" s="4" t="s">
        <v>32</v>
      </c>
      <c r="AA148" s="4" t="s">
        <v>32</v>
      </c>
    </row>
    <row r="149" s="4" customFormat="1" spans="1:27">
      <c r="A149" s="4" t="s">
        <v>104</v>
      </c>
      <c r="B149" s="4" t="s">
        <v>28</v>
      </c>
      <c r="C149" s="4">
        <v>4721870</v>
      </c>
      <c r="D149" s="19">
        <v>254717222699</v>
      </c>
      <c r="E149" s="21">
        <v>44362.5423148148</v>
      </c>
      <c r="F149" s="4">
        <v>2716.77</v>
      </c>
      <c r="G149" s="4">
        <v>1</v>
      </c>
      <c r="H149" s="4">
        <v>2715.77</v>
      </c>
      <c r="I149" s="4">
        <v>145.64</v>
      </c>
      <c r="J149" s="4">
        <v>1</v>
      </c>
      <c r="K149" s="4">
        <v>144.64</v>
      </c>
      <c r="L149" s="4">
        <v>282.84</v>
      </c>
      <c r="M149" s="4">
        <v>37618</v>
      </c>
      <c r="N149" s="4">
        <v>70.57</v>
      </c>
      <c r="O149" s="4">
        <v>9386</v>
      </c>
      <c r="P149" s="4" t="s">
        <v>29</v>
      </c>
      <c r="Q149" s="4" t="s">
        <v>30</v>
      </c>
      <c r="R149" s="4" t="s">
        <v>38</v>
      </c>
      <c r="S149" s="4">
        <v>0</v>
      </c>
      <c r="T149" s="4">
        <v>0</v>
      </c>
      <c r="U149" s="4">
        <v>0</v>
      </c>
      <c r="V149" s="4" t="s">
        <v>32</v>
      </c>
      <c r="W149" s="4" t="s">
        <v>32</v>
      </c>
      <c r="X149" s="4" t="s">
        <v>32</v>
      </c>
      <c r="Y149" s="4" t="s">
        <v>32</v>
      </c>
      <c r="Z149" s="4" t="s">
        <v>32</v>
      </c>
      <c r="AA149" s="4" t="s">
        <v>32</v>
      </c>
    </row>
    <row r="150" s="4" customFormat="1" spans="1:27">
      <c r="A150" s="4" t="s">
        <v>104</v>
      </c>
      <c r="B150" s="4" t="s">
        <v>28</v>
      </c>
      <c r="C150" s="4">
        <v>2098932</v>
      </c>
      <c r="D150" s="19">
        <v>254717758954</v>
      </c>
      <c r="E150" s="21">
        <v>44049.6163541667</v>
      </c>
      <c r="F150" s="4">
        <v>139.97</v>
      </c>
      <c r="G150" s="4">
        <v>1.23</v>
      </c>
      <c r="H150" s="4">
        <v>138.74</v>
      </c>
      <c r="I150" s="4">
        <v>21.11</v>
      </c>
      <c r="J150" s="4">
        <v>1.18</v>
      </c>
      <c r="K150" s="4">
        <v>19.93</v>
      </c>
      <c r="L150" s="4">
        <v>67.52</v>
      </c>
      <c r="M150" s="4">
        <v>8980</v>
      </c>
      <c r="N150" s="4">
        <v>0</v>
      </c>
      <c r="O150" s="4">
        <v>0</v>
      </c>
      <c r="P150" s="4" t="s">
        <v>29</v>
      </c>
      <c r="Q150" s="4" t="s">
        <v>30</v>
      </c>
      <c r="R150" s="4" t="s">
        <v>38</v>
      </c>
      <c r="S150" s="4">
        <v>0</v>
      </c>
      <c r="T150" s="4">
        <v>0</v>
      </c>
      <c r="U150" s="4">
        <v>0</v>
      </c>
      <c r="V150" s="4" t="s">
        <v>32</v>
      </c>
      <c r="W150" s="4" t="s">
        <v>32</v>
      </c>
      <c r="X150" s="4" t="s">
        <v>32</v>
      </c>
      <c r="Y150" s="4" t="s">
        <v>32</v>
      </c>
      <c r="Z150" s="4" t="s">
        <v>32</v>
      </c>
      <c r="AA150" s="4" t="s">
        <v>32</v>
      </c>
    </row>
    <row r="151" s="4" customFormat="1" spans="1:27">
      <c r="A151" s="4" t="s">
        <v>104</v>
      </c>
      <c r="B151" s="4" t="s">
        <v>28</v>
      </c>
      <c r="C151" s="4">
        <v>18358052</v>
      </c>
      <c r="D151" s="19">
        <v>254718718653</v>
      </c>
      <c r="E151" s="21">
        <v>45906.7567476852</v>
      </c>
      <c r="F151" s="4">
        <v>1575.52</v>
      </c>
      <c r="G151" s="4">
        <v>47.88</v>
      </c>
      <c r="H151" s="4">
        <v>1527.64</v>
      </c>
      <c r="I151" s="4">
        <v>155.65</v>
      </c>
      <c r="J151" s="4">
        <v>22.17</v>
      </c>
      <c r="K151" s="4">
        <v>133.48</v>
      </c>
      <c r="L151" s="4">
        <v>241.9</v>
      </c>
      <c r="M151" s="4">
        <v>32173</v>
      </c>
      <c r="N151" s="4">
        <v>15.24</v>
      </c>
      <c r="O151" s="4">
        <v>2027.3</v>
      </c>
      <c r="P151" s="4" t="s">
        <v>29</v>
      </c>
      <c r="Q151" s="4" t="s">
        <v>30</v>
      </c>
      <c r="R151" s="4" t="s">
        <v>38</v>
      </c>
      <c r="S151" s="4">
        <v>0</v>
      </c>
      <c r="T151" s="4">
        <v>0</v>
      </c>
      <c r="U151" s="4">
        <v>0</v>
      </c>
      <c r="V151" s="4" t="s">
        <v>32</v>
      </c>
      <c r="W151" s="4" t="s">
        <v>32</v>
      </c>
      <c r="X151" s="4" t="s">
        <v>32</v>
      </c>
      <c r="Y151" s="4" t="s">
        <v>32</v>
      </c>
      <c r="Z151" s="4" t="s">
        <v>32</v>
      </c>
      <c r="AA151" s="4" t="s">
        <v>32</v>
      </c>
    </row>
    <row r="152" s="4" customFormat="1" spans="1:27">
      <c r="A152" s="4" t="s">
        <v>104</v>
      </c>
      <c r="B152" s="4" t="s">
        <v>28</v>
      </c>
      <c r="C152" s="4">
        <v>16326630</v>
      </c>
      <c r="D152" s="19">
        <v>254719318577</v>
      </c>
      <c r="E152" s="21">
        <v>45767.5658680556</v>
      </c>
      <c r="F152" s="4">
        <v>7790.98</v>
      </c>
      <c r="G152" s="4">
        <v>0</v>
      </c>
      <c r="H152" s="4">
        <v>7790.98</v>
      </c>
      <c r="I152" s="4">
        <v>850.71</v>
      </c>
      <c r="J152" s="4">
        <v>0</v>
      </c>
      <c r="K152" s="4">
        <v>850.71</v>
      </c>
      <c r="L152" s="4">
        <v>1821.02</v>
      </c>
      <c r="M152" s="4">
        <v>242195</v>
      </c>
      <c r="N152" s="4">
        <v>402.54</v>
      </c>
      <c r="O152" s="4">
        <v>53537.25</v>
      </c>
      <c r="P152" s="4" t="s">
        <v>29</v>
      </c>
      <c r="Q152" s="4" t="s">
        <v>33</v>
      </c>
      <c r="R152" s="4" t="s">
        <v>38</v>
      </c>
      <c r="S152" s="4">
        <v>0</v>
      </c>
      <c r="T152" s="4">
        <v>0</v>
      </c>
      <c r="U152" s="4">
        <v>0</v>
      </c>
      <c r="V152" s="4" t="s">
        <v>32</v>
      </c>
      <c r="W152" s="4" t="s">
        <v>32</v>
      </c>
      <c r="X152" s="4" t="s">
        <v>32</v>
      </c>
      <c r="Y152" s="4" t="s">
        <v>32</v>
      </c>
      <c r="Z152" s="4" t="s">
        <v>32</v>
      </c>
      <c r="AA152" s="4" t="s">
        <v>32</v>
      </c>
    </row>
    <row r="153" s="4" customFormat="1" spans="1:27">
      <c r="A153" s="4" t="s">
        <v>104</v>
      </c>
      <c r="B153" s="4" t="s">
        <v>28</v>
      </c>
      <c r="C153" s="4">
        <v>21164231</v>
      </c>
      <c r="D153" s="19">
        <v>254719566865</v>
      </c>
      <c r="E153" s="21">
        <v>46058.7300925926</v>
      </c>
      <c r="F153" s="4">
        <v>2940.07</v>
      </c>
      <c r="G153" s="4">
        <v>0</v>
      </c>
      <c r="H153" s="4">
        <v>2940.07</v>
      </c>
      <c r="I153" s="4">
        <v>374.41</v>
      </c>
      <c r="J153" s="4">
        <v>0</v>
      </c>
      <c r="K153" s="4">
        <v>374.41</v>
      </c>
      <c r="L153" s="4">
        <v>514.29</v>
      </c>
      <c r="M153" s="4">
        <v>68400</v>
      </c>
      <c r="N153" s="4">
        <v>0</v>
      </c>
      <c r="O153" s="4">
        <v>0</v>
      </c>
      <c r="P153" s="4" t="s">
        <v>29</v>
      </c>
      <c r="Q153" s="4" t="s">
        <v>30</v>
      </c>
      <c r="R153" s="4" t="s">
        <v>38</v>
      </c>
      <c r="S153" s="4">
        <v>0</v>
      </c>
      <c r="T153" s="4">
        <v>0</v>
      </c>
      <c r="U153" s="4">
        <v>0</v>
      </c>
      <c r="V153" s="4" t="s">
        <v>32</v>
      </c>
      <c r="W153" s="4" t="s">
        <v>32</v>
      </c>
      <c r="X153" s="4" t="s">
        <v>32</v>
      </c>
      <c r="Y153" s="4" t="s">
        <v>32</v>
      </c>
      <c r="Z153" s="4" t="s">
        <v>32</v>
      </c>
      <c r="AA153" s="4" t="s">
        <v>32</v>
      </c>
    </row>
    <row r="154" s="4" customFormat="1" spans="1:27">
      <c r="A154" s="4" t="s">
        <v>104</v>
      </c>
      <c r="B154" s="4" t="s">
        <v>28</v>
      </c>
      <c r="C154" s="4">
        <v>13453150</v>
      </c>
      <c r="D154" s="19">
        <v>254719767266</v>
      </c>
      <c r="E154" s="21">
        <v>45519.08875</v>
      </c>
      <c r="F154" s="4">
        <v>167.6</v>
      </c>
      <c r="G154" s="4">
        <v>0</v>
      </c>
      <c r="H154" s="4">
        <v>167.6</v>
      </c>
      <c r="I154" s="4">
        <v>39.36</v>
      </c>
      <c r="J154" s="4">
        <v>0</v>
      </c>
      <c r="K154" s="4">
        <v>39.36</v>
      </c>
      <c r="L154" s="4">
        <v>74.74</v>
      </c>
      <c r="M154" s="4">
        <v>9940</v>
      </c>
      <c r="N154" s="4">
        <v>28.57</v>
      </c>
      <c r="O154" s="4">
        <v>3800</v>
      </c>
      <c r="P154" s="4" t="s">
        <v>34</v>
      </c>
      <c r="Q154" s="4" t="s">
        <v>30</v>
      </c>
      <c r="R154" s="4" t="s">
        <v>38</v>
      </c>
      <c r="S154" s="4">
        <v>0</v>
      </c>
      <c r="T154" s="4">
        <v>0</v>
      </c>
      <c r="U154" s="4">
        <v>0</v>
      </c>
      <c r="V154" s="4" t="s">
        <v>32</v>
      </c>
      <c r="W154" s="4" t="s">
        <v>32</v>
      </c>
      <c r="X154" s="4" t="s">
        <v>32</v>
      </c>
      <c r="Y154" s="4" t="s">
        <v>32</v>
      </c>
      <c r="Z154" s="4" t="s">
        <v>32</v>
      </c>
      <c r="AA154" s="4" t="s">
        <v>32</v>
      </c>
    </row>
    <row r="155" s="4" customFormat="1" spans="1:27">
      <c r="A155" s="4" t="s">
        <v>104</v>
      </c>
      <c r="B155" s="4" t="s">
        <v>28</v>
      </c>
      <c r="C155" s="4">
        <v>17342291</v>
      </c>
      <c r="D155" s="19">
        <v>254722824576</v>
      </c>
      <c r="E155" s="21">
        <v>45847.8231828704</v>
      </c>
      <c r="F155" s="4">
        <v>1432.76</v>
      </c>
      <c r="G155" s="4">
        <v>0.9</v>
      </c>
      <c r="H155" s="4">
        <v>1431.85</v>
      </c>
      <c r="I155" s="4">
        <v>154.73</v>
      </c>
      <c r="J155" s="4">
        <v>0.9</v>
      </c>
      <c r="K155" s="4">
        <v>153.82</v>
      </c>
      <c r="L155" s="4">
        <v>378.87</v>
      </c>
      <c r="M155" s="4">
        <v>50390</v>
      </c>
      <c r="N155" s="4">
        <v>7.14</v>
      </c>
      <c r="O155" s="4">
        <v>950</v>
      </c>
      <c r="P155" s="4" t="s">
        <v>34</v>
      </c>
      <c r="Q155" s="4" t="s">
        <v>30</v>
      </c>
      <c r="R155" s="4" t="s">
        <v>38</v>
      </c>
      <c r="S155" s="4">
        <v>0</v>
      </c>
      <c r="T155" s="4">
        <v>0</v>
      </c>
      <c r="U155" s="4">
        <v>0</v>
      </c>
      <c r="V155" s="4" t="s">
        <v>32</v>
      </c>
      <c r="W155" s="4" t="s">
        <v>32</v>
      </c>
      <c r="X155" s="4" t="s">
        <v>32</v>
      </c>
      <c r="Y155" s="4" t="s">
        <v>32</v>
      </c>
      <c r="Z155" s="4" t="s">
        <v>32</v>
      </c>
      <c r="AA155" s="4" t="s">
        <v>32</v>
      </c>
    </row>
    <row r="156" s="4" customFormat="1" spans="1:27">
      <c r="A156" s="4" t="s">
        <v>104</v>
      </c>
      <c r="B156" s="4" t="s">
        <v>28</v>
      </c>
      <c r="C156" s="4">
        <v>1638882</v>
      </c>
      <c r="D156" s="19">
        <v>254723112675</v>
      </c>
      <c r="E156" s="21">
        <v>44006.5633449074</v>
      </c>
      <c r="F156" s="4">
        <v>1450.52</v>
      </c>
      <c r="G156" s="4">
        <v>0.08</v>
      </c>
      <c r="H156" s="4">
        <v>1450.45</v>
      </c>
      <c r="I156" s="4">
        <v>23.41</v>
      </c>
      <c r="J156" s="4">
        <v>0.08</v>
      </c>
      <c r="K156" s="4">
        <v>23.33</v>
      </c>
      <c r="L156" s="4">
        <v>330.3</v>
      </c>
      <c r="M156" s="4">
        <v>43930</v>
      </c>
      <c r="N156" s="4">
        <v>49.05</v>
      </c>
      <c r="O156" s="4">
        <v>6523.65</v>
      </c>
      <c r="P156" s="4" t="s">
        <v>34</v>
      </c>
      <c r="Q156" s="4" t="s">
        <v>30</v>
      </c>
      <c r="R156" s="4" t="s">
        <v>38</v>
      </c>
      <c r="S156" s="4">
        <v>0</v>
      </c>
      <c r="T156" s="4">
        <v>0</v>
      </c>
      <c r="U156" s="4">
        <v>0</v>
      </c>
      <c r="V156" s="4" t="s">
        <v>32</v>
      </c>
      <c r="W156" s="4" t="s">
        <v>32</v>
      </c>
      <c r="X156" s="4" t="s">
        <v>32</v>
      </c>
      <c r="Y156" s="4" t="s">
        <v>32</v>
      </c>
      <c r="Z156" s="4" t="s">
        <v>32</v>
      </c>
      <c r="AA156" s="4" t="s">
        <v>32</v>
      </c>
    </row>
    <row r="157" s="4" customFormat="1" spans="1:27">
      <c r="A157" s="4" t="s">
        <v>104</v>
      </c>
      <c r="B157" s="4" t="s">
        <v>28</v>
      </c>
      <c r="C157" s="4">
        <v>5412601</v>
      </c>
      <c r="D157" s="19">
        <v>254723275890</v>
      </c>
      <c r="E157" s="21">
        <v>44469.9280555556</v>
      </c>
      <c r="F157" s="4">
        <v>856.07</v>
      </c>
      <c r="G157" s="4">
        <v>536.02</v>
      </c>
      <c r="H157" s="4">
        <v>320.05</v>
      </c>
      <c r="I157" s="4">
        <v>182.26</v>
      </c>
      <c r="J157" s="4">
        <v>174.45</v>
      </c>
      <c r="K157" s="4">
        <v>7.81</v>
      </c>
      <c r="L157" s="4">
        <v>308.22</v>
      </c>
      <c r="M157" s="4">
        <v>40993</v>
      </c>
      <c r="N157" s="4">
        <v>16.76</v>
      </c>
      <c r="O157" s="4">
        <v>2228.7</v>
      </c>
      <c r="P157" s="4" t="s">
        <v>35</v>
      </c>
      <c r="Q157" s="4" t="s">
        <v>30</v>
      </c>
      <c r="R157" s="4" t="s">
        <v>38</v>
      </c>
      <c r="S157" s="4">
        <v>2000</v>
      </c>
      <c r="T157" s="4">
        <v>0</v>
      </c>
      <c r="U157" s="4">
        <v>0</v>
      </c>
      <c r="V157" s="4" t="s">
        <v>32</v>
      </c>
      <c r="W157" s="4" t="s">
        <v>32</v>
      </c>
      <c r="X157" s="4" t="s">
        <v>32</v>
      </c>
      <c r="Y157" s="4" t="s">
        <v>32</v>
      </c>
      <c r="Z157" s="4" t="s">
        <v>32</v>
      </c>
      <c r="AA157" s="4" t="s">
        <v>32</v>
      </c>
    </row>
    <row r="158" s="4" customFormat="1" spans="1:27">
      <c r="A158" s="4" t="s">
        <v>104</v>
      </c>
      <c r="B158" s="4" t="s">
        <v>28</v>
      </c>
      <c r="C158" s="4">
        <v>3172712</v>
      </c>
      <c r="D158" s="19">
        <v>254723675585</v>
      </c>
      <c r="E158" s="21">
        <v>44146.3671064815</v>
      </c>
      <c r="F158" s="4">
        <v>125.84</v>
      </c>
      <c r="G158" s="4">
        <v>0</v>
      </c>
      <c r="H158" s="4">
        <v>125.84</v>
      </c>
      <c r="I158" s="4">
        <v>20.89</v>
      </c>
      <c r="J158" s="4">
        <v>0</v>
      </c>
      <c r="K158" s="4">
        <v>20.89</v>
      </c>
      <c r="L158" s="4">
        <v>53.76</v>
      </c>
      <c r="M158" s="4">
        <v>7150</v>
      </c>
      <c r="N158" s="4">
        <v>2.14</v>
      </c>
      <c r="O158" s="4">
        <v>285</v>
      </c>
      <c r="P158" s="4" t="s">
        <v>34</v>
      </c>
      <c r="Q158" s="4" t="s">
        <v>30</v>
      </c>
      <c r="R158" s="4" t="s">
        <v>38</v>
      </c>
      <c r="S158" s="4">
        <v>0</v>
      </c>
      <c r="T158" s="4">
        <v>0</v>
      </c>
      <c r="U158" s="4">
        <v>0</v>
      </c>
      <c r="V158" s="4" t="s">
        <v>32</v>
      </c>
      <c r="W158" s="4" t="s">
        <v>32</v>
      </c>
      <c r="X158" s="4" t="s">
        <v>32</v>
      </c>
      <c r="Y158" s="4" t="s">
        <v>32</v>
      </c>
      <c r="Z158" s="4" t="s">
        <v>32</v>
      </c>
      <c r="AA158" s="4" t="s">
        <v>32</v>
      </c>
    </row>
    <row r="159" s="4" customFormat="1" spans="1:27">
      <c r="A159" s="4" t="s">
        <v>104</v>
      </c>
      <c r="B159" s="4" t="s">
        <v>28</v>
      </c>
      <c r="C159" s="4">
        <v>13635192</v>
      </c>
      <c r="D159" s="19">
        <v>254724676563</v>
      </c>
      <c r="E159" s="21">
        <v>45543.7954166667</v>
      </c>
      <c r="F159" s="4">
        <v>4036.7</v>
      </c>
      <c r="G159" s="4">
        <v>0.2</v>
      </c>
      <c r="H159" s="4">
        <v>4036.5</v>
      </c>
      <c r="I159" s="4">
        <v>252.39</v>
      </c>
      <c r="J159" s="4">
        <v>0.2</v>
      </c>
      <c r="K159" s="4">
        <v>252.19</v>
      </c>
      <c r="L159" s="4">
        <v>486.69</v>
      </c>
      <c r="M159" s="4">
        <v>64730</v>
      </c>
      <c r="N159" s="4">
        <v>0</v>
      </c>
      <c r="O159" s="4">
        <v>0</v>
      </c>
      <c r="P159" s="4" t="s">
        <v>29</v>
      </c>
      <c r="Q159" s="4" t="s">
        <v>30</v>
      </c>
      <c r="R159" s="4" t="s">
        <v>38</v>
      </c>
      <c r="S159" s="4">
        <v>0</v>
      </c>
      <c r="T159" s="4">
        <v>0</v>
      </c>
      <c r="U159" s="4">
        <v>0</v>
      </c>
      <c r="V159" s="4" t="s">
        <v>32</v>
      </c>
      <c r="W159" s="4" t="s">
        <v>32</v>
      </c>
      <c r="X159" s="4" t="s">
        <v>32</v>
      </c>
      <c r="Y159" s="4" t="s">
        <v>32</v>
      </c>
      <c r="Z159" s="4" t="s">
        <v>32</v>
      </c>
      <c r="AA159" s="4" t="s">
        <v>32</v>
      </c>
    </row>
    <row r="160" s="4" customFormat="1" spans="1:27">
      <c r="A160" s="4" t="s">
        <v>104</v>
      </c>
      <c r="B160" s="4" t="s">
        <v>28</v>
      </c>
      <c r="C160" s="4">
        <v>155980</v>
      </c>
      <c r="D160" s="19">
        <v>254725223000</v>
      </c>
      <c r="E160" s="21">
        <v>43909.4167592593</v>
      </c>
      <c r="F160" s="4">
        <v>11579.33</v>
      </c>
      <c r="G160" s="4">
        <v>1.98</v>
      </c>
      <c r="H160" s="4">
        <v>11577.35</v>
      </c>
      <c r="I160" s="4">
        <v>601.92</v>
      </c>
      <c r="J160" s="4">
        <v>-11.19</v>
      </c>
      <c r="K160" s="4">
        <v>613.11</v>
      </c>
      <c r="L160" s="4">
        <v>4045.17</v>
      </c>
      <c r="M160" s="4">
        <v>538007</v>
      </c>
      <c r="N160" s="4">
        <v>38.74</v>
      </c>
      <c r="O160" s="4">
        <v>5153</v>
      </c>
      <c r="P160" s="4" t="s">
        <v>34</v>
      </c>
      <c r="Q160" s="4" t="s">
        <v>33</v>
      </c>
      <c r="R160" s="4" t="s">
        <v>38</v>
      </c>
      <c r="S160" s="4">
        <v>0</v>
      </c>
      <c r="T160" s="4">
        <v>0</v>
      </c>
      <c r="U160" s="4">
        <v>1</v>
      </c>
      <c r="V160" s="4">
        <v>1</v>
      </c>
      <c r="W160" s="4" t="s">
        <v>32</v>
      </c>
      <c r="X160" s="4" t="s">
        <v>32</v>
      </c>
      <c r="Y160" s="4" t="s">
        <v>32</v>
      </c>
      <c r="Z160" s="4" t="s">
        <v>32</v>
      </c>
      <c r="AA160" s="4" t="s">
        <v>32</v>
      </c>
    </row>
    <row r="161" s="4" customFormat="1" spans="1:27">
      <c r="A161" s="4" t="s">
        <v>104</v>
      </c>
      <c r="B161" s="4" t="s">
        <v>28</v>
      </c>
      <c r="C161" s="4">
        <v>4320511</v>
      </c>
      <c r="D161" s="19">
        <v>254725271182</v>
      </c>
      <c r="E161" s="21">
        <v>44306.6784953704</v>
      </c>
      <c r="F161" s="4">
        <v>2765.29</v>
      </c>
      <c r="G161" s="4">
        <v>0.38</v>
      </c>
      <c r="H161" s="4">
        <v>2764.91</v>
      </c>
      <c r="I161" s="4">
        <v>241.1</v>
      </c>
      <c r="J161" s="4">
        <v>0.38</v>
      </c>
      <c r="K161" s="4">
        <v>240.73</v>
      </c>
      <c r="L161" s="4">
        <v>906.84</v>
      </c>
      <c r="M161" s="4">
        <v>120610</v>
      </c>
      <c r="N161" s="4">
        <v>5.11</v>
      </c>
      <c r="O161" s="4">
        <v>680</v>
      </c>
      <c r="P161" s="4" t="s">
        <v>34</v>
      </c>
      <c r="Q161" s="4" t="s">
        <v>30</v>
      </c>
      <c r="R161" s="4" t="s">
        <v>38</v>
      </c>
      <c r="S161" s="4">
        <v>0</v>
      </c>
      <c r="T161" s="4">
        <v>0</v>
      </c>
      <c r="U161" s="4">
        <v>0</v>
      </c>
      <c r="V161" s="4" t="s">
        <v>32</v>
      </c>
      <c r="W161" s="4" t="s">
        <v>32</v>
      </c>
      <c r="X161" s="4" t="s">
        <v>32</v>
      </c>
      <c r="Y161" s="4" t="s">
        <v>32</v>
      </c>
      <c r="Z161" s="4" t="s">
        <v>32</v>
      </c>
      <c r="AA161" s="4" t="s">
        <v>32</v>
      </c>
    </row>
    <row r="162" s="4" customFormat="1" spans="1:27">
      <c r="A162" s="4" t="s">
        <v>104</v>
      </c>
      <c r="B162" s="4" t="s">
        <v>28</v>
      </c>
      <c r="C162" s="4">
        <v>17044890</v>
      </c>
      <c r="D162" s="19">
        <v>254725793059</v>
      </c>
      <c r="E162" s="21">
        <v>45826.3554398148</v>
      </c>
      <c r="F162" s="4">
        <v>2776.15</v>
      </c>
      <c r="G162" s="4">
        <v>0.03</v>
      </c>
      <c r="H162" s="4">
        <v>2776.12</v>
      </c>
      <c r="I162" s="4">
        <v>258.78</v>
      </c>
      <c r="J162" s="4">
        <v>0.01</v>
      </c>
      <c r="K162" s="4">
        <v>258.77</v>
      </c>
      <c r="L162" s="4">
        <v>713.53</v>
      </c>
      <c r="M162" s="4">
        <v>94900</v>
      </c>
      <c r="N162" s="4">
        <v>126.43</v>
      </c>
      <c r="O162" s="4">
        <v>16815</v>
      </c>
      <c r="P162" s="4" t="s">
        <v>29</v>
      </c>
      <c r="Q162" s="4" t="s">
        <v>30</v>
      </c>
      <c r="R162" s="4" t="s">
        <v>38</v>
      </c>
      <c r="S162" s="4">
        <v>0</v>
      </c>
      <c r="T162" s="4">
        <v>0</v>
      </c>
      <c r="U162" s="4">
        <v>0</v>
      </c>
      <c r="V162" s="4" t="s">
        <v>32</v>
      </c>
      <c r="W162" s="4" t="s">
        <v>32</v>
      </c>
      <c r="X162" s="4" t="s">
        <v>32</v>
      </c>
      <c r="Y162" s="4" t="s">
        <v>32</v>
      </c>
      <c r="Z162" s="4" t="s">
        <v>32</v>
      </c>
      <c r="AA162" s="4" t="s">
        <v>32</v>
      </c>
    </row>
    <row r="163" s="4" customFormat="1" spans="1:27">
      <c r="A163" s="4" t="s">
        <v>104</v>
      </c>
      <c r="B163" s="4" t="s">
        <v>28</v>
      </c>
      <c r="C163" s="4">
        <v>22579322</v>
      </c>
      <c r="D163" s="19">
        <v>254726336734</v>
      </c>
      <c r="E163" s="21">
        <v>46135.8455555556</v>
      </c>
      <c r="F163" s="4">
        <v>2090.01</v>
      </c>
      <c r="G163" s="4">
        <v>0.01</v>
      </c>
      <c r="H163" s="4">
        <v>2090</v>
      </c>
      <c r="I163" s="4">
        <v>55.76</v>
      </c>
      <c r="J163" s="4">
        <v>0.01</v>
      </c>
      <c r="K163" s="4">
        <v>55.75</v>
      </c>
      <c r="L163" s="4">
        <v>251.5</v>
      </c>
      <c r="M163" s="4">
        <v>33449</v>
      </c>
      <c r="N163" s="4">
        <v>238.92</v>
      </c>
      <c r="O163" s="4">
        <v>31776.55</v>
      </c>
      <c r="P163" s="4" t="s">
        <v>29</v>
      </c>
      <c r="Q163" s="4" t="s">
        <v>30</v>
      </c>
      <c r="R163" s="4" t="s">
        <v>38</v>
      </c>
      <c r="S163" s="4">
        <v>0</v>
      </c>
      <c r="T163" s="4">
        <v>0</v>
      </c>
      <c r="U163" s="4">
        <v>0</v>
      </c>
      <c r="V163" s="4" t="s">
        <v>32</v>
      </c>
      <c r="W163" s="4" t="s">
        <v>32</v>
      </c>
      <c r="X163" s="4" t="s">
        <v>32</v>
      </c>
      <c r="Y163" s="4" t="s">
        <v>32</v>
      </c>
      <c r="Z163" s="4" t="s">
        <v>32</v>
      </c>
      <c r="AA163" s="4" t="s">
        <v>32</v>
      </c>
    </row>
    <row r="164" s="4" customFormat="1" spans="1:27">
      <c r="A164" s="4" t="s">
        <v>104</v>
      </c>
      <c r="B164" s="4" t="s">
        <v>28</v>
      </c>
      <c r="C164" s="4">
        <v>11670382</v>
      </c>
      <c r="D164" s="19">
        <v>254726660315</v>
      </c>
      <c r="E164" s="21">
        <v>45272.8473958333</v>
      </c>
      <c r="F164" s="4">
        <v>2042.67</v>
      </c>
      <c r="G164" s="4">
        <v>0.03</v>
      </c>
      <c r="H164" s="4">
        <v>2042.64</v>
      </c>
      <c r="I164" s="4">
        <v>-218.58</v>
      </c>
      <c r="J164" s="4">
        <v>0.03</v>
      </c>
      <c r="K164" s="4">
        <v>-218.61</v>
      </c>
      <c r="L164" s="4">
        <v>288.1</v>
      </c>
      <c r="M164" s="4">
        <v>38317</v>
      </c>
      <c r="N164" s="4">
        <v>209.09</v>
      </c>
      <c r="O164" s="4">
        <v>27808.4</v>
      </c>
      <c r="P164" s="4" t="s">
        <v>29</v>
      </c>
      <c r="Q164" s="4" t="s">
        <v>30</v>
      </c>
      <c r="R164" s="4" t="s">
        <v>38</v>
      </c>
      <c r="S164" s="4">
        <v>0</v>
      </c>
      <c r="T164" s="4">
        <v>0</v>
      </c>
      <c r="U164" s="4">
        <v>0</v>
      </c>
      <c r="V164" s="4" t="s">
        <v>32</v>
      </c>
      <c r="W164" s="4" t="s">
        <v>32</v>
      </c>
      <c r="X164" s="4" t="s">
        <v>32</v>
      </c>
      <c r="Y164" s="4" t="s">
        <v>32</v>
      </c>
      <c r="Z164" s="4" t="s">
        <v>32</v>
      </c>
      <c r="AA164" s="4" t="s">
        <v>32</v>
      </c>
    </row>
    <row r="165" s="4" customFormat="1" spans="1:27">
      <c r="A165" s="4" t="s">
        <v>104</v>
      </c>
      <c r="B165" s="4" t="s">
        <v>28</v>
      </c>
      <c r="C165" s="4">
        <v>14146882</v>
      </c>
      <c r="D165" s="19">
        <v>254727012847</v>
      </c>
      <c r="E165" s="21">
        <v>45580.7882291667</v>
      </c>
      <c r="F165" s="4">
        <v>1393.8</v>
      </c>
      <c r="G165" s="4">
        <v>0.02</v>
      </c>
      <c r="H165" s="4">
        <v>1393.78</v>
      </c>
      <c r="I165" s="4">
        <v>24.54</v>
      </c>
      <c r="J165" s="4">
        <v>0.02</v>
      </c>
      <c r="K165" s="4">
        <v>24.53</v>
      </c>
      <c r="L165" s="4">
        <v>295.78</v>
      </c>
      <c r="M165" s="4">
        <v>39339</v>
      </c>
      <c r="N165" s="4">
        <v>31.88</v>
      </c>
      <c r="O165" s="4">
        <v>4239.85</v>
      </c>
      <c r="P165" s="4" t="s">
        <v>29</v>
      </c>
      <c r="Q165" s="4" t="s">
        <v>30</v>
      </c>
      <c r="R165" s="4" t="s">
        <v>38</v>
      </c>
      <c r="S165" s="4">
        <v>0</v>
      </c>
      <c r="T165" s="4">
        <v>0</v>
      </c>
      <c r="U165" s="4">
        <v>0</v>
      </c>
      <c r="V165" s="4" t="s">
        <v>32</v>
      </c>
      <c r="W165" s="4" t="s">
        <v>32</v>
      </c>
      <c r="X165" s="4" t="s">
        <v>32</v>
      </c>
      <c r="Y165" s="4" t="s">
        <v>32</v>
      </c>
      <c r="Z165" s="4" t="s">
        <v>32</v>
      </c>
      <c r="AA165" s="4" t="s">
        <v>32</v>
      </c>
    </row>
    <row r="166" s="4" customFormat="1" spans="1:27">
      <c r="A166" s="4" t="s">
        <v>104</v>
      </c>
      <c r="B166" s="4" t="s">
        <v>28</v>
      </c>
      <c r="C166" s="4">
        <v>20571712</v>
      </c>
      <c r="D166" s="19">
        <v>254735365608</v>
      </c>
      <c r="E166" s="21">
        <v>46028.3429976852</v>
      </c>
      <c r="F166" s="4">
        <v>642.11</v>
      </c>
      <c r="G166" s="4">
        <v>0</v>
      </c>
      <c r="H166" s="4">
        <v>642.11</v>
      </c>
      <c r="I166" s="4">
        <v>126.27</v>
      </c>
      <c r="J166" s="4">
        <v>0</v>
      </c>
      <c r="K166" s="4">
        <v>126.27</v>
      </c>
      <c r="L166" s="4">
        <v>143.18</v>
      </c>
      <c r="M166" s="4">
        <v>19043</v>
      </c>
      <c r="N166" s="4">
        <v>120.81</v>
      </c>
      <c r="O166" s="4">
        <v>16067.35</v>
      </c>
      <c r="P166" s="4" t="s">
        <v>29</v>
      </c>
      <c r="Q166" s="4" t="s">
        <v>30</v>
      </c>
      <c r="R166" s="4" t="s">
        <v>38</v>
      </c>
      <c r="S166" s="4">
        <v>0</v>
      </c>
      <c r="T166" s="4">
        <v>0</v>
      </c>
      <c r="U166" s="4">
        <v>0</v>
      </c>
      <c r="V166" s="4" t="s">
        <v>32</v>
      </c>
      <c r="W166" s="4" t="s">
        <v>32</v>
      </c>
      <c r="X166" s="4" t="s">
        <v>32</v>
      </c>
      <c r="Y166" s="4" t="s">
        <v>32</v>
      </c>
      <c r="Z166" s="4" t="s">
        <v>32</v>
      </c>
      <c r="AA166" s="4" t="s">
        <v>32</v>
      </c>
    </row>
    <row r="167" s="4" customFormat="1" spans="1:27">
      <c r="A167" s="4" t="s">
        <v>104</v>
      </c>
      <c r="B167" s="4" t="s">
        <v>28</v>
      </c>
      <c r="C167" s="4">
        <v>17998400</v>
      </c>
      <c r="D167" s="19">
        <v>254743247634</v>
      </c>
      <c r="E167" s="21">
        <v>45887.8128703704</v>
      </c>
      <c r="F167" s="4">
        <v>1178.6</v>
      </c>
      <c r="G167" s="4">
        <v>1.23</v>
      </c>
      <c r="H167" s="4">
        <v>1177.37</v>
      </c>
      <c r="I167" s="4">
        <v>125.5</v>
      </c>
      <c r="J167" s="4">
        <v>0.94</v>
      </c>
      <c r="K167" s="4">
        <v>124.57</v>
      </c>
      <c r="L167" s="4">
        <v>341.97</v>
      </c>
      <c r="M167" s="4">
        <v>45482</v>
      </c>
      <c r="N167" s="4">
        <v>79.48</v>
      </c>
      <c r="O167" s="4">
        <v>10570.65</v>
      </c>
      <c r="P167" s="4" t="s">
        <v>34</v>
      </c>
      <c r="Q167" s="4" t="s">
        <v>30</v>
      </c>
      <c r="R167" s="4" t="s">
        <v>38</v>
      </c>
      <c r="S167" s="4">
        <v>0</v>
      </c>
      <c r="T167" s="4">
        <v>0</v>
      </c>
      <c r="U167" s="4">
        <v>0</v>
      </c>
      <c r="V167" s="4" t="s">
        <v>32</v>
      </c>
      <c r="W167" s="4" t="s">
        <v>32</v>
      </c>
      <c r="X167" s="4" t="s">
        <v>32</v>
      </c>
      <c r="Y167" s="4" t="s">
        <v>32</v>
      </c>
      <c r="Z167" s="4" t="s">
        <v>32</v>
      </c>
      <c r="AA167" s="4" t="s">
        <v>32</v>
      </c>
    </row>
    <row r="168" s="4" customFormat="1" spans="1:27">
      <c r="A168" s="4" t="s">
        <v>104</v>
      </c>
      <c r="B168" s="4" t="s">
        <v>28</v>
      </c>
      <c r="C168" s="4">
        <v>18490251</v>
      </c>
      <c r="D168" s="19">
        <v>254743456689</v>
      </c>
      <c r="E168" s="21">
        <v>45915.6011226852</v>
      </c>
      <c r="F168" s="4">
        <v>422.42</v>
      </c>
      <c r="G168" s="4">
        <v>0.75</v>
      </c>
      <c r="H168" s="4">
        <v>421.67</v>
      </c>
      <c r="I168" s="4">
        <v>11.33</v>
      </c>
      <c r="J168" s="4">
        <v>0.62</v>
      </c>
      <c r="K168" s="4">
        <v>10.71</v>
      </c>
      <c r="L168" s="4">
        <v>112.41</v>
      </c>
      <c r="M168" s="4">
        <v>14950</v>
      </c>
      <c r="N168" s="4">
        <v>41.5</v>
      </c>
      <c r="O168" s="4">
        <v>5519.5</v>
      </c>
      <c r="P168" s="4" t="s">
        <v>29</v>
      </c>
      <c r="Q168" s="4" t="s">
        <v>30</v>
      </c>
      <c r="R168" s="4" t="s">
        <v>38</v>
      </c>
      <c r="S168" s="4">
        <v>0</v>
      </c>
      <c r="T168" s="4">
        <v>0</v>
      </c>
      <c r="U168" s="4">
        <v>0</v>
      </c>
      <c r="V168" s="4" t="s">
        <v>32</v>
      </c>
      <c r="W168" s="4" t="s">
        <v>32</v>
      </c>
      <c r="X168" s="4" t="s">
        <v>32</v>
      </c>
      <c r="Y168" s="4" t="s">
        <v>32</v>
      </c>
      <c r="Z168" s="4" t="s">
        <v>32</v>
      </c>
      <c r="AA168" s="4" t="s">
        <v>32</v>
      </c>
    </row>
    <row r="169" s="4" customFormat="1" spans="1:27">
      <c r="A169" s="4" t="s">
        <v>104</v>
      </c>
      <c r="B169" s="4" t="s">
        <v>28</v>
      </c>
      <c r="C169" s="4">
        <v>22279532</v>
      </c>
      <c r="D169" s="19">
        <v>254743677971</v>
      </c>
      <c r="E169" s="21">
        <v>46118.622337963</v>
      </c>
      <c r="F169" s="4">
        <v>381.21</v>
      </c>
      <c r="G169" s="4">
        <v>0.08</v>
      </c>
      <c r="H169" s="4">
        <v>381.13</v>
      </c>
      <c r="I169" s="4">
        <v>-18.25</v>
      </c>
      <c r="J169" s="4">
        <v>0.08</v>
      </c>
      <c r="K169" s="4">
        <v>-18.33</v>
      </c>
      <c r="L169" s="4">
        <v>70.45</v>
      </c>
      <c r="M169" s="4">
        <v>9370</v>
      </c>
      <c r="N169" s="4">
        <v>66.93</v>
      </c>
      <c r="O169" s="4">
        <v>8901.5</v>
      </c>
      <c r="P169" s="4" t="s">
        <v>34</v>
      </c>
      <c r="Q169" s="4" t="s">
        <v>30</v>
      </c>
      <c r="R169" s="4" t="s">
        <v>38</v>
      </c>
      <c r="S169" s="4">
        <v>0</v>
      </c>
      <c r="T169" s="4">
        <v>0</v>
      </c>
      <c r="U169" s="4">
        <v>0</v>
      </c>
      <c r="V169" s="4" t="s">
        <v>32</v>
      </c>
      <c r="W169" s="4" t="s">
        <v>32</v>
      </c>
      <c r="X169" s="4" t="s">
        <v>32</v>
      </c>
      <c r="Y169" s="4" t="s">
        <v>32</v>
      </c>
      <c r="Z169" s="4" t="s">
        <v>32</v>
      </c>
      <c r="AA169" s="4" t="s">
        <v>32</v>
      </c>
    </row>
    <row r="170" s="4" customFormat="1" spans="1:27">
      <c r="A170" s="4" t="s">
        <v>104</v>
      </c>
      <c r="B170" s="4" t="s">
        <v>28</v>
      </c>
      <c r="C170" s="4">
        <v>17870830</v>
      </c>
      <c r="D170" s="19">
        <v>254745486082</v>
      </c>
      <c r="E170" s="21">
        <v>45880.7124074074</v>
      </c>
      <c r="F170" s="4">
        <v>418.38</v>
      </c>
      <c r="G170" s="4">
        <v>0.02</v>
      </c>
      <c r="H170" s="4">
        <v>418.37</v>
      </c>
      <c r="I170" s="4">
        <v>39.91</v>
      </c>
      <c r="J170" s="4">
        <v>-0.02</v>
      </c>
      <c r="K170" s="4">
        <v>39.93</v>
      </c>
      <c r="L170" s="4">
        <v>105.26</v>
      </c>
      <c r="M170" s="4">
        <v>14000</v>
      </c>
      <c r="N170" s="4">
        <v>9.29</v>
      </c>
      <c r="O170" s="4">
        <v>1235</v>
      </c>
      <c r="P170" s="4" t="s">
        <v>29</v>
      </c>
      <c r="Q170" s="4" t="s">
        <v>30</v>
      </c>
      <c r="R170" s="4" t="s">
        <v>38</v>
      </c>
      <c r="S170" s="4">
        <v>0</v>
      </c>
      <c r="T170" s="4">
        <v>0</v>
      </c>
      <c r="U170" s="4">
        <v>0</v>
      </c>
      <c r="V170" s="4" t="s">
        <v>32</v>
      </c>
      <c r="W170" s="4" t="s">
        <v>32</v>
      </c>
      <c r="X170" s="4" t="s">
        <v>32</v>
      </c>
      <c r="Y170" s="4" t="s">
        <v>32</v>
      </c>
      <c r="Z170" s="4" t="s">
        <v>32</v>
      </c>
      <c r="AA170" s="4" t="s">
        <v>32</v>
      </c>
    </row>
    <row r="171" s="4" customFormat="1" spans="1:27">
      <c r="A171" s="4" t="s">
        <v>104</v>
      </c>
      <c r="B171" s="4" t="s">
        <v>28</v>
      </c>
      <c r="C171" s="4">
        <v>22705041</v>
      </c>
      <c r="D171" s="19">
        <v>254748133967</v>
      </c>
      <c r="E171" s="21">
        <v>46144.8402199074</v>
      </c>
      <c r="F171" s="4">
        <v>277.56</v>
      </c>
      <c r="G171" s="4">
        <v>0.01</v>
      </c>
      <c r="H171" s="4">
        <v>277.55</v>
      </c>
      <c r="I171" s="4">
        <v>7.33</v>
      </c>
      <c r="J171" s="4">
        <v>0.01</v>
      </c>
      <c r="K171" s="4">
        <v>7.32</v>
      </c>
      <c r="L171" s="4">
        <v>121.48</v>
      </c>
      <c r="M171" s="4">
        <v>16157</v>
      </c>
      <c r="N171" s="4">
        <v>115.41</v>
      </c>
      <c r="O171" s="4">
        <v>15349.15</v>
      </c>
      <c r="P171" s="4" t="s">
        <v>29</v>
      </c>
      <c r="Q171" s="4" t="s">
        <v>30</v>
      </c>
      <c r="R171" s="4" t="s">
        <v>38</v>
      </c>
      <c r="S171" s="4">
        <v>0</v>
      </c>
      <c r="T171" s="4">
        <v>0</v>
      </c>
      <c r="U171" s="4">
        <v>0</v>
      </c>
      <c r="V171" s="4" t="s">
        <v>32</v>
      </c>
      <c r="W171" s="4" t="s">
        <v>32</v>
      </c>
      <c r="X171" s="4" t="s">
        <v>32</v>
      </c>
      <c r="Y171" s="4" t="s">
        <v>32</v>
      </c>
      <c r="Z171" s="4" t="s">
        <v>32</v>
      </c>
      <c r="AA171" s="4" t="s">
        <v>32</v>
      </c>
    </row>
    <row r="172" s="4" customFormat="1" spans="1:27">
      <c r="A172" s="4" t="s">
        <v>104</v>
      </c>
      <c r="B172" s="4" t="s">
        <v>28</v>
      </c>
      <c r="C172" s="4">
        <v>14580612</v>
      </c>
      <c r="D172" s="19">
        <v>254758884819</v>
      </c>
      <c r="E172" s="21">
        <v>45606.7254282407</v>
      </c>
      <c r="F172" s="4">
        <v>1347.25</v>
      </c>
      <c r="G172" s="4">
        <v>0.03</v>
      </c>
      <c r="H172" s="4">
        <v>1347.22</v>
      </c>
      <c r="I172" s="4">
        <v>10.1</v>
      </c>
      <c r="J172" s="4">
        <v>0.03</v>
      </c>
      <c r="K172" s="4">
        <v>10.07</v>
      </c>
      <c r="L172" s="4">
        <v>115.56</v>
      </c>
      <c r="M172" s="4">
        <v>15370</v>
      </c>
      <c r="N172" s="4">
        <v>70.5</v>
      </c>
      <c r="O172" s="4">
        <v>9376.5</v>
      </c>
      <c r="P172" s="4" t="s">
        <v>29</v>
      </c>
      <c r="Q172" s="4" t="s">
        <v>30</v>
      </c>
      <c r="R172" s="4" t="s">
        <v>38</v>
      </c>
      <c r="S172" s="4">
        <v>0</v>
      </c>
      <c r="T172" s="4">
        <v>0</v>
      </c>
      <c r="U172" s="4">
        <v>0</v>
      </c>
      <c r="V172" s="4" t="s">
        <v>32</v>
      </c>
      <c r="W172" s="4" t="s">
        <v>32</v>
      </c>
      <c r="X172" s="4" t="s">
        <v>32</v>
      </c>
      <c r="Y172" s="4" t="s">
        <v>32</v>
      </c>
      <c r="Z172" s="4" t="s">
        <v>32</v>
      </c>
      <c r="AA172" s="4" t="s">
        <v>32</v>
      </c>
    </row>
    <row r="173" s="4" customFormat="1" spans="1:27">
      <c r="A173" s="4" t="s">
        <v>104</v>
      </c>
      <c r="B173" s="4" t="s">
        <v>28</v>
      </c>
      <c r="C173" s="4">
        <v>19329411</v>
      </c>
      <c r="D173" s="19">
        <v>254769578182</v>
      </c>
      <c r="E173" s="21">
        <v>45968.8276736111</v>
      </c>
      <c r="F173" s="4">
        <v>1108.71</v>
      </c>
      <c r="G173" s="4">
        <v>0</v>
      </c>
      <c r="H173" s="4">
        <v>1108.71</v>
      </c>
      <c r="I173" s="4">
        <v>47.37</v>
      </c>
      <c r="J173" s="4">
        <v>0</v>
      </c>
      <c r="K173" s="4">
        <v>47.37</v>
      </c>
      <c r="L173" s="4">
        <v>366.92</v>
      </c>
      <c r="M173" s="4">
        <v>48800</v>
      </c>
      <c r="N173" s="4">
        <v>30.71</v>
      </c>
      <c r="O173" s="4">
        <v>4085</v>
      </c>
      <c r="P173" s="4" t="s">
        <v>34</v>
      </c>
      <c r="Q173" s="4" t="s">
        <v>30</v>
      </c>
      <c r="R173" s="4" t="s">
        <v>38</v>
      </c>
      <c r="S173" s="4">
        <v>0</v>
      </c>
      <c r="T173" s="4">
        <v>0</v>
      </c>
      <c r="U173" s="4">
        <v>0</v>
      </c>
      <c r="V173" s="4" t="s">
        <v>32</v>
      </c>
      <c r="W173" s="4" t="s">
        <v>32</v>
      </c>
      <c r="X173" s="4" t="s">
        <v>32</v>
      </c>
      <c r="Y173" s="4" t="s">
        <v>32</v>
      </c>
      <c r="Z173" s="4" t="s">
        <v>32</v>
      </c>
      <c r="AA173" s="4" t="s">
        <v>32</v>
      </c>
    </row>
    <row r="174" s="4" customFormat="1" spans="1:27">
      <c r="A174" s="4" t="s">
        <v>104</v>
      </c>
      <c r="B174" s="4" t="s">
        <v>28</v>
      </c>
      <c r="C174" s="4">
        <v>12950221</v>
      </c>
      <c r="D174" s="19">
        <v>254769651564</v>
      </c>
      <c r="E174" s="21">
        <v>45421.7428125</v>
      </c>
      <c r="F174" s="4">
        <v>1632.68</v>
      </c>
      <c r="G174" s="4">
        <v>0</v>
      </c>
      <c r="H174" s="4">
        <v>1632.68</v>
      </c>
      <c r="I174" s="4">
        <v>93.83</v>
      </c>
      <c r="J174" s="4">
        <v>0</v>
      </c>
      <c r="K174" s="4">
        <v>93.83</v>
      </c>
      <c r="L174" s="4">
        <v>279.41</v>
      </c>
      <c r="M174" s="4">
        <v>37162</v>
      </c>
      <c r="N174" s="4">
        <v>4.76</v>
      </c>
      <c r="O174" s="4">
        <v>633.65</v>
      </c>
      <c r="P174" s="4" t="s">
        <v>29</v>
      </c>
      <c r="Q174" s="4" t="s">
        <v>30</v>
      </c>
      <c r="R174" s="4" t="s">
        <v>38</v>
      </c>
      <c r="S174" s="4">
        <v>0</v>
      </c>
      <c r="T174" s="4">
        <v>0</v>
      </c>
      <c r="U174" s="4">
        <v>0</v>
      </c>
      <c r="V174" s="4" t="s">
        <v>32</v>
      </c>
      <c r="W174" s="4" t="s">
        <v>32</v>
      </c>
      <c r="X174" s="4" t="s">
        <v>32</v>
      </c>
      <c r="Y174" s="4" t="s">
        <v>32</v>
      </c>
      <c r="Z174" s="4" t="s">
        <v>32</v>
      </c>
      <c r="AA174" s="4" t="s">
        <v>32</v>
      </c>
    </row>
    <row r="175" s="4" customFormat="1" spans="1:27">
      <c r="A175" s="4" t="s">
        <v>104</v>
      </c>
      <c r="B175" s="4" t="s">
        <v>28</v>
      </c>
      <c r="C175" s="4">
        <v>12268890</v>
      </c>
      <c r="D175" s="19">
        <v>254769663351</v>
      </c>
      <c r="E175" s="21">
        <v>45329.3665856482</v>
      </c>
      <c r="F175" s="4">
        <v>2809.67</v>
      </c>
      <c r="G175" s="4">
        <v>0</v>
      </c>
      <c r="H175" s="4">
        <v>2809.67</v>
      </c>
      <c r="I175" s="4">
        <v>30.12</v>
      </c>
      <c r="J175" s="4">
        <v>0</v>
      </c>
      <c r="K175" s="4">
        <v>30.12</v>
      </c>
      <c r="L175" s="4">
        <v>359.18</v>
      </c>
      <c r="M175" s="4">
        <v>47771</v>
      </c>
      <c r="N175" s="4">
        <v>140.46</v>
      </c>
      <c r="O175" s="4">
        <v>18681.75</v>
      </c>
      <c r="P175" s="4" t="s">
        <v>29</v>
      </c>
      <c r="Q175" s="4" t="s">
        <v>30</v>
      </c>
      <c r="R175" s="4" t="s">
        <v>38</v>
      </c>
      <c r="S175" s="4">
        <v>0</v>
      </c>
      <c r="T175" s="4">
        <v>0</v>
      </c>
      <c r="U175" s="4">
        <v>0</v>
      </c>
      <c r="V175" s="4" t="s">
        <v>32</v>
      </c>
      <c r="W175" s="4" t="s">
        <v>32</v>
      </c>
      <c r="X175" s="4" t="s">
        <v>32</v>
      </c>
      <c r="Y175" s="4" t="s">
        <v>32</v>
      </c>
      <c r="Z175" s="4" t="s">
        <v>32</v>
      </c>
      <c r="AA175" s="4" t="s">
        <v>32</v>
      </c>
    </row>
    <row r="176" s="4" customFormat="1" spans="1:27">
      <c r="A176" s="4" t="s">
        <v>104</v>
      </c>
      <c r="B176" s="4" t="s">
        <v>28</v>
      </c>
      <c r="C176" s="4">
        <v>13586450</v>
      </c>
      <c r="D176" s="19">
        <v>254769948533</v>
      </c>
      <c r="E176" s="21">
        <v>45540.0998032407</v>
      </c>
      <c r="F176" s="4">
        <v>1380.51</v>
      </c>
      <c r="G176" s="4">
        <v>0.3</v>
      </c>
      <c r="H176" s="4">
        <v>1380.21</v>
      </c>
      <c r="I176" s="4">
        <v>38.7</v>
      </c>
      <c r="J176" s="4">
        <v>0.3</v>
      </c>
      <c r="K176" s="4">
        <v>38.4</v>
      </c>
      <c r="L176" s="4">
        <v>189.33</v>
      </c>
      <c r="M176" s="4">
        <v>25181</v>
      </c>
      <c r="N176" s="4">
        <v>35.96</v>
      </c>
      <c r="O176" s="4">
        <v>4783.25</v>
      </c>
      <c r="P176" s="4" t="s">
        <v>29</v>
      </c>
      <c r="Q176" s="4" t="s">
        <v>30</v>
      </c>
      <c r="R176" s="4" t="s">
        <v>38</v>
      </c>
      <c r="S176" s="4">
        <v>0</v>
      </c>
      <c r="T176" s="4">
        <v>0</v>
      </c>
      <c r="U176" s="4">
        <v>0</v>
      </c>
      <c r="V176" s="4" t="s">
        <v>32</v>
      </c>
      <c r="W176" s="4" t="s">
        <v>32</v>
      </c>
      <c r="X176" s="4" t="s">
        <v>32</v>
      </c>
      <c r="Y176" s="4" t="s">
        <v>32</v>
      </c>
      <c r="Z176" s="4" t="s">
        <v>32</v>
      </c>
      <c r="AA176" s="4" t="s">
        <v>32</v>
      </c>
    </row>
    <row r="177" s="4" customFormat="1" spans="1:27">
      <c r="A177" s="4" t="s">
        <v>104</v>
      </c>
      <c r="B177" s="4" t="s">
        <v>28</v>
      </c>
      <c r="C177" s="4">
        <v>12762621</v>
      </c>
      <c r="D177" s="19">
        <v>254791226446</v>
      </c>
      <c r="E177" s="21">
        <v>45401.6879976852</v>
      </c>
      <c r="F177" s="4">
        <v>486.77</v>
      </c>
      <c r="G177" s="4">
        <v>0.24</v>
      </c>
      <c r="H177" s="4">
        <v>486.53</v>
      </c>
      <c r="I177" s="4">
        <v>7.1</v>
      </c>
      <c r="J177" s="4">
        <v>0.24</v>
      </c>
      <c r="K177" s="4">
        <v>6.86</v>
      </c>
      <c r="L177" s="4">
        <v>122.59</v>
      </c>
      <c r="M177" s="4">
        <v>16305</v>
      </c>
      <c r="N177" s="4">
        <v>45.79</v>
      </c>
      <c r="O177" s="4">
        <v>6089.5</v>
      </c>
      <c r="P177" s="4" t="s">
        <v>34</v>
      </c>
      <c r="Q177" s="4" t="s">
        <v>30</v>
      </c>
      <c r="R177" s="4" t="s">
        <v>38</v>
      </c>
      <c r="S177" s="4">
        <v>0</v>
      </c>
      <c r="T177" s="4">
        <v>0</v>
      </c>
      <c r="U177" s="4">
        <v>0</v>
      </c>
      <c r="V177" s="4" t="s">
        <v>32</v>
      </c>
      <c r="W177" s="4" t="s">
        <v>32</v>
      </c>
      <c r="X177" s="4" t="s">
        <v>32</v>
      </c>
      <c r="Y177" s="4" t="s">
        <v>32</v>
      </c>
      <c r="Z177" s="4" t="s">
        <v>32</v>
      </c>
      <c r="AA177" s="4" t="s">
        <v>32</v>
      </c>
    </row>
    <row r="178" s="4" customFormat="1" spans="1:27">
      <c r="A178" s="4" t="s">
        <v>104</v>
      </c>
      <c r="B178" s="4" t="s">
        <v>28</v>
      </c>
      <c r="C178" s="4">
        <v>22584100</v>
      </c>
      <c r="D178" s="19">
        <v>254791677041</v>
      </c>
      <c r="E178" s="21">
        <v>46136.3260763889</v>
      </c>
      <c r="F178" s="4">
        <v>335.7</v>
      </c>
      <c r="G178" s="4">
        <v>7.14</v>
      </c>
      <c r="H178" s="4">
        <v>328.56</v>
      </c>
      <c r="I178" s="4">
        <v>-15.71</v>
      </c>
      <c r="J178" s="4">
        <v>7.14</v>
      </c>
      <c r="K178" s="4">
        <v>-22.86</v>
      </c>
      <c r="L178" s="4">
        <v>124.66</v>
      </c>
      <c r="M178" s="4">
        <v>16580</v>
      </c>
      <c r="N178" s="4">
        <v>118.43</v>
      </c>
      <c r="O178" s="4">
        <v>15751</v>
      </c>
      <c r="P178" s="4" t="s">
        <v>29</v>
      </c>
      <c r="Q178" s="4" t="s">
        <v>30</v>
      </c>
      <c r="R178" s="4" t="s">
        <v>38</v>
      </c>
      <c r="S178" s="4">
        <v>0</v>
      </c>
      <c r="T178" s="4">
        <v>0</v>
      </c>
      <c r="U178" s="4">
        <v>0</v>
      </c>
      <c r="V178" s="4" t="s">
        <v>32</v>
      </c>
      <c r="W178" s="4" t="s">
        <v>32</v>
      </c>
      <c r="X178" s="4" t="s">
        <v>32</v>
      </c>
      <c r="Y178" s="4" t="s">
        <v>32</v>
      </c>
      <c r="Z178" s="4" t="s">
        <v>32</v>
      </c>
      <c r="AA178" s="4" t="s">
        <v>32</v>
      </c>
    </row>
    <row r="179" s="4" customFormat="1" spans="1:27">
      <c r="A179" s="4" t="s">
        <v>104</v>
      </c>
      <c r="B179" s="4" t="s">
        <v>28</v>
      </c>
      <c r="C179" s="4">
        <v>1140950</v>
      </c>
      <c r="D179" s="19">
        <v>254793055517</v>
      </c>
      <c r="E179" s="21">
        <v>44000.5281018519</v>
      </c>
      <c r="F179" s="4">
        <v>29201.52</v>
      </c>
      <c r="G179" s="4">
        <v>0</v>
      </c>
      <c r="H179" s="4">
        <v>29201.52</v>
      </c>
      <c r="I179" s="4">
        <v>612.64</v>
      </c>
      <c r="J179" s="4">
        <v>0</v>
      </c>
      <c r="K179" s="4">
        <v>612.64</v>
      </c>
      <c r="L179" s="4">
        <v>1038.57</v>
      </c>
      <c r="M179" s="4">
        <v>138130</v>
      </c>
      <c r="N179" s="4">
        <v>493.07</v>
      </c>
      <c r="O179" s="4">
        <v>65578.5</v>
      </c>
      <c r="P179" s="4" t="s">
        <v>34</v>
      </c>
      <c r="Q179" s="4" t="s">
        <v>33</v>
      </c>
      <c r="R179" s="4" t="s">
        <v>38</v>
      </c>
      <c r="S179" s="4">
        <v>0</v>
      </c>
      <c r="T179" s="4">
        <v>0</v>
      </c>
      <c r="U179" s="4">
        <v>0</v>
      </c>
      <c r="V179" s="4" t="s">
        <v>32</v>
      </c>
      <c r="W179" s="4" t="s">
        <v>32</v>
      </c>
      <c r="X179" s="4" t="s">
        <v>32</v>
      </c>
      <c r="Y179" s="4" t="s">
        <v>32</v>
      </c>
      <c r="Z179" s="4" t="s">
        <v>32</v>
      </c>
      <c r="AA179" s="4" t="s">
        <v>32</v>
      </c>
    </row>
    <row r="180" s="4" customFormat="1" spans="1:27">
      <c r="A180" s="4" t="s">
        <v>104</v>
      </c>
      <c r="B180" s="4" t="s">
        <v>28</v>
      </c>
      <c r="C180" s="4">
        <v>22639362</v>
      </c>
      <c r="D180" s="19">
        <v>254797909034</v>
      </c>
      <c r="E180" s="21">
        <v>46140.5961921296</v>
      </c>
      <c r="F180" s="4">
        <v>77.86</v>
      </c>
      <c r="G180" s="4">
        <v>0</v>
      </c>
      <c r="H180" s="4">
        <v>77.86</v>
      </c>
      <c r="I180" s="4">
        <v>13.24</v>
      </c>
      <c r="J180" s="4">
        <v>0</v>
      </c>
      <c r="K180" s="4">
        <v>13.24</v>
      </c>
      <c r="L180" s="4">
        <v>51.13</v>
      </c>
      <c r="M180" s="4">
        <v>6800</v>
      </c>
      <c r="N180" s="4">
        <v>48.57</v>
      </c>
      <c r="O180" s="4">
        <v>6460</v>
      </c>
      <c r="P180" s="4" t="s">
        <v>34</v>
      </c>
      <c r="Q180" s="4" t="s">
        <v>30</v>
      </c>
      <c r="R180" s="4" t="s">
        <v>38</v>
      </c>
      <c r="S180" s="4">
        <v>0</v>
      </c>
      <c r="T180" s="4">
        <v>0</v>
      </c>
      <c r="U180" s="4">
        <v>0</v>
      </c>
      <c r="V180" s="4" t="s">
        <v>32</v>
      </c>
      <c r="W180" s="4" t="s">
        <v>32</v>
      </c>
      <c r="X180" s="4" t="s">
        <v>32</v>
      </c>
      <c r="Y180" s="4" t="s">
        <v>32</v>
      </c>
      <c r="Z180" s="4" t="s">
        <v>32</v>
      </c>
      <c r="AA180" s="4" t="s">
        <v>32</v>
      </c>
    </row>
    <row r="181" s="4" customFormat="1" spans="1:27">
      <c r="A181" s="4" t="s">
        <v>104</v>
      </c>
      <c r="B181" s="4" t="s">
        <v>28</v>
      </c>
      <c r="C181" s="4">
        <v>17226732</v>
      </c>
      <c r="D181" s="19">
        <v>254798188421</v>
      </c>
      <c r="E181" s="21">
        <v>45840.5898032407</v>
      </c>
      <c r="F181" s="4">
        <v>691.03</v>
      </c>
      <c r="G181" s="4">
        <v>0.34</v>
      </c>
      <c r="H181" s="4">
        <v>690.7</v>
      </c>
      <c r="I181" s="4">
        <v>-45.82</v>
      </c>
      <c r="J181" s="4">
        <v>0.34</v>
      </c>
      <c r="K181" s="4">
        <v>-46.16</v>
      </c>
      <c r="L181" s="4">
        <v>133.26</v>
      </c>
      <c r="M181" s="4">
        <v>17724</v>
      </c>
      <c r="N181" s="4">
        <v>63.11</v>
      </c>
      <c r="O181" s="4">
        <v>8393.25</v>
      </c>
      <c r="P181" s="4" t="s">
        <v>34</v>
      </c>
      <c r="Q181" s="4" t="s">
        <v>30</v>
      </c>
      <c r="R181" s="4" t="s">
        <v>38</v>
      </c>
      <c r="S181" s="4">
        <v>0</v>
      </c>
      <c r="T181" s="4">
        <v>0</v>
      </c>
      <c r="U181" s="4">
        <v>0</v>
      </c>
      <c r="V181" s="4" t="s">
        <v>32</v>
      </c>
      <c r="W181" s="4" t="s">
        <v>32</v>
      </c>
      <c r="X181" s="4" t="s">
        <v>32</v>
      </c>
      <c r="Y181" s="4" t="s">
        <v>32</v>
      </c>
      <c r="Z181" s="4" t="s">
        <v>32</v>
      </c>
      <c r="AA181" s="4" t="s">
        <v>32</v>
      </c>
    </row>
    <row r="182" s="4" customFormat="1" spans="1:27">
      <c r="A182" s="4" t="s">
        <v>105</v>
      </c>
      <c r="B182" s="4" t="s">
        <v>28</v>
      </c>
      <c r="C182" s="4">
        <v>19676411</v>
      </c>
      <c r="D182" s="19">
        <v>254105141513</v>
      </c>
      <c r="E182" s="21">
        <v>45985.3398148148</v>
      </c>
      <c r="F182" s="4">
        <v>655.72</v>
      </c>
      <c r="G182" s="4">
        <v>7.02</v>
      </c>
      <c r="H182" s="4">
        <v>648.7</v>
      </c>
      <c r="I182" s="4">
        <v>-0.26</v>
      </c>
      <c r="J182" s="4">
        <v>7.02</v>
      </c>
      <c r="K182" s="4">
        <v>-7.28</v>
      </c>
      <c r="L182" s="4">
        <v>137.46</v>
      </c>
      <c r="M182" s="4">
        <v>18282</v>
      </c>
      <c r="N182" s="4">
        <v>27.38</v>
      </c>
      <c r="O182" s="4">
        <v>3641.35</v>
      </c>
      <c r="P182" s="4" t="s">
        <v>34</v>
      </c>
      <c r="Q182" s="4" t="s">
        <v>30</v>
      </c>
      <c r="R182" s="4" t="s">
        <v>38</v>
      </c>
      <c r="S182" s="4">
        <v>0</v>
      </c>
      <c r="T182" s="4">
        <v>0</v>
      </c>
      <c r="U182" s="4">
        <v>0</v>
      </c>
      <c r="V182" s="4" t="s">
        <v>32</v>
      </c>
      <c r="W182" s="4" t="s">
        <v>32</v>
      </c>
      <c r="X182" s="4" t="s">
        <v>32</v>
      </c>
      <c r="Y182" s="4" t="s">
        <v>32</v>
      </c>
      <c r="Z182" s="4" t="s">
        <v>32</v>
      </c>
      <c r="AA182" s="4" t="s">
        <v>32</v>
      </c>
    </row>
    <row r="183" s="4" customFormat="1" spans="1:27">
      <c r="A183" s="4" t="s">
        <v>105</v>
      </c>
      <c r="B183" s="4" t="s">
        <v>28</v>
      </c>
      <c r="C183" s="4">
        <v>20292020</v>
      </c>
      <c r="D183" s="19">
        <v>254111402205</v>
      </c>
      <c r="E183" s="21">
        <v>46015.3655208333</v>
      </c>
      <c r="F183" s="4">
        <v>1796.3</v>
      </c>
      <c r="G183" s="4">
        <v>0</v>
      </c>
      <c r="H183" s="4">
        <v>1796.3</v>
      </c>
      <c r="I183" s="4">
        <v>75.37</v>
      </c>
      <c r="J183" s="4">
        <v>0</v>
      </c>
      <c r="K183" s="4">
        <v>75.37</v>
      </c>
      <c r="L183" s="4">
        <v>304.29</v>
      </c>
      <c r="M183" s="4">
        <v>40470</v>
      </c>
      <c r="N183" s="4">
        <v>132</v>
      </c>
      <c r="O183" s="4">
        <v>17556</v>
      </c>
      <c r="P183" s="4" t="s">
        <v>29</v>
      </c>
      <c r="Q183" s="4" t="s">
        <v>30</v>
      </c>
      <c r="R183" s="4" t="s">
        <v>38</v>
      </c>
      <c r="S183" s="4">
        <v>0</v>
      </c>
      <c r="T183" s="4">
        <v>0</v>
      </c>
      <c r="U183" s="4">
        <v>0</v>
      </c>
      <c r="V183" s="4" t="s">
        <v>32</v>
      </c>
      <c r="W183" s="4" t="s">
        <v>32</v>
      </c>
      <c r="X183" s="4" t="s">
        <v>32</v>
      </c>
      <c r="Y183" s="4" t="s">
        <v>32</v>
      </c>
      <c r="Z183" s="4" t="s">
        <v>32</v>
      </c>
      <c r="AA183" s="4" t="s">
        <v>32</v>
      </c>
    </row>
    <row r="184" s="4" customFormat="1" spans="1:27">
      <c r="A184" s="4" t="s">
        <v>105</v>
      </c>
      <c r="B184" s="4" t="s">
        <v>28</v>
      </c>
      <c r="C184" s="4">
        <v>9709070</v>
      </c>
      <c r="D184" s="19">
        <v>254111933428</v>
      </c>
      <c r="E184" s="21">
        <v>45020.3966666667</v>
      </c>
      <c r="F184" s="4">
        <v>338.21</v>
      </c>
      <c r="G184" s="4">
        <v>0</v>
      </c>
      <c r="H184" s="4">
        <v>338.21</v>
      </c>
      <c r="I184" s="4">
        <v>46.48</v>
      </c>
      <c r="J184" s="4">
        <v>0</v>
      </c>
      <c r="K184" s="4">
        <v>46.48</v>
      </c>
      <c r="L184" s="4">
        <v>123.23</v>
      </c>
      <c r="M184" s="4">
        <v>16390</v>
      </c>
      <c r="N184" s="4">
        <v>8.21</v>
      </c>
      <c r="O184" s="4">
        <v>1092.5</v>
      </c>
      <c r="P184" s="4" t="s">
        <v>34</v>
      </c>
      <c r="Q184" s="4" t="s">
        <v>30</v>
      </c>
      <c r="R184" s="4" t="s">
        <v>38</v>
      </c>
      <c r="S184" s="4">
        <v>0</v>
      </c>
      <c r="T184" s="4">
        <v>0</v>
      </c>
      <c r="U184" s="4">
        <v>0</v>
      </c>
      <c r="V184" s="4" t="s">
        <v>32</v>
      </c>
      <c r="W184" s="4" t="s">
        <v>32</v>
      </c>
      <c r="X184" s="4" t="s">
        <v>32</v>
      </c>
      <c r="Y184" s="4" t="s">
        <v>32</v>
      </c>
      <c r="Z184" s="4" t="s">
        <v>32</v>
      </c>
      <c r="AA184" s="4" t="s">
        <v>32</v>
      </c>
    </row>
    <row r="185" s="4" customFormat="1" spans="1:27">
      <c r="A185" s="4" t="s">
        <v>105</v>
      </c>
      <c r="B185" s="4" t="s">
        <v>28</v>
      </c>
      <c r="C185" s="4">
        <v>19871132</v>
      </c>
      <c r="D185" s="19">
        <v>254113474117</v>
      </c>
      <c r="E185" s="21">
        <v>45994.7827662037</v>
      </c>
      <c r="F185" s="4">
        <v>194.66</v>
      </c>
      <c r="G185" s="4">
        <v>0</v>
      </c>
      <c r="H185" s="4">
        <v>194.66</v>
      </c>
      <c r="I185" s="4">
        <v>81.35</v>
      </c>
      <c r="J185" s="4">
        <v>0</v>
      </c>
      <c r="K185" s="4">
        <v>81.35</v>
      </c>
      <c r="L185" s="4">
        <v>93.95</v>
      </c>
      <c r="M185" s="4">
        <v>12495</v>
      </c>
      <c r="N185" s="4">
        <v>0</v>
      </c>
      <c r="O185" s="4">
        <v>0</v>
      </c>
      <c r="P185" s="4" t="s">
        <v>34</v>
      </c>
      <c r="Q185" s="4" t="s">
        <v>30</v>
      </c>
      <c r="R185" s="4" t="s">
        <v>38</v>
      </c>
      <c r="S185" s="4">
        <v>0</v>
      </c>
      <c r="T185" s="4">
        <v>0</v>
      </c>
      <c r="U185" s="4">
        <v>0</v>
      </c>
      <c r="V185" s="4" t="s">
        <v>32</v>
      </c>
      <c r="W185" s="4" t="s">
        <v>32</v>
      </c>
      <c r="X185" s="4" t="s">
        <v>32</v>
      </c>
      <c r="Y185" s="4" t="s">
        <v>32</v>
      </c>
      <c r="Z185" s="4" t="s">
        <v>32</v>
      </c>
      <c r="AA185" s="4" t="s">
        <v>32</v>
      </c>
    </row>
    <row r="186" s="4" customFormat="1" spans="1:27">
      <c r="A186" s="4" t="s">
        <v>105</v>
      </c>
      <c r="B186" s="4" t="s">
        <v>28</v>
      </c>
      <c r="C186" s="4">
        <v>22747351</v>
      </c>
      <c r="D186" s="19">
        <v>254113500353</v>
      </c>
      <c r="E186" s="21">
        <v>46148.5296990741</v>
      </c>
      <c r="F186" s="4">
        <v>120595.94</v>
      </c>
      <c r="G186" s="4">
        <v>2781.2</v>
      </c>
      <c r="H186" s="4">
        <v>117814.74</v>
      </c>
      <c r="I186" s="4">
        <v>-1384.79</v>
      </c>
      <c r="J186" s="4">
        <v>-1079.13</v>
      </c>
      <c r="K186" s="4">
        <v>446.22</v>
      </c>
      <c r="L186" s="4">
        <v>3917.29</v>
      </c>
      <c r="M186" s="4">
        <v>521000</v>
      </c>
      <c r="N186" s="4">
        <v>3721.43</v>
      </c>
      <c r="O186" s="4">
        <v>494950</v>
      </c>
      <c r="P186" s="4" t="s">
        <v>34</v>
      </c>
      <c r="Q186" s="4" t="s">
        <v>33</v>
      </c>
      <c r="R186" s="4" t="s">
        <v>38</v>
      </c>
      <c r="S186" s="4">
        <v>0</v>
      </c>
      <c r="T186" s="4">
        <v>0</v>
      </c>
      <c r="U186" s="4">
        <v>0</v>
      </c>
      <c r="V186" s="4" t="s">
        <v>32</v>
      </c>
      <c r="W186" s="4" t="s">
        <v>32</v>
      </c>
      <c r="X186" s="4" t="s">
        <v>32</v>
      </c>
      <c r="Y186" s="4" t="s">
        <v>32</v>
      </c>
      <c r="Z186" s="4" t="s">
        <v>32</v>
      </c>
      <c r="AA186" s="4" t="s">
        <v>32</v>
      </c>
    </row>
    <row r="187" s="4" customFormat="1" spans="1:27">
      <c r="A187" s="4" t="s">
        <v>105</v>
      </c>
      <c r="B187" s="4" t="s">
        <v>28</v>
      </c>
      <c r="C187" s="4">
        <v>18670890</v>
      </c>
      <c r="D187" s="19">
        <v>254113576740</v>
      </c>
      <c r="E187" s="21">
        <v>45925.8441550926</v>
      </c>
      <c r="F187" s="4">
        <v>1077.11</v>
      </c>
      <c r="G187" s="4">
        <v>27.87</v>
      </c>
      <c r="H187" s="4">
        <v>1049.23</v>
      </c>
      <c r="I187" s="4">
        <v>-24.01</v>
      </c>
      <c r="J187" s="4">
        <v>8.88</v>
      </c>
      <c r="K187" s="4">
        <v>-32.89</v>
      </c>
      <c r="L187" s="4">
        <v>215.77</v>
      </c>
      <c r="M187" s="4">
        <v>28697</v>
      </c>
      <c r="N187" s="4">
        <v>0</v>
      </c>
      <c r="O187" s="4">
        <v>0</v>
      </c>
      <c r="P187" s="4" t="s">
        <v>29</v>
      </c>
      <c r="Q187" s="4" t="s">
        <v>30</v>
      </c>
      <c r="R187" s="4" t="s">
        <v>38</v>
      </c>
      <c r="S187" s="4">
        <v>0</v>
      </c>
      <c r="T187" s="4">
        <v>0</v>
      </c>
      <c r="U187" s="4">
        <v>0</v>
      </c>
      <c r="V187" s="4" t="s">
        <v>32</v>
      </c>
      <c r="W187" s="4" t="s">
        <v>32</v>
      </c>
      <c r="X187" s="4" t="s">
        <v>32</v>
      </c>
      <c r="Y187" s="4" t="s">
        <v>32</v>
      </c>
      <c r="Z187" s="4" t="s">
        <v>32</v>
      </c>
      <c r="AA187" s="4" t="s">
        <v>32</v>
      </c>
    </row>
    <row r="188" s="4" customFormat="1" spans="1:27">
      <c r="A188" s="4" t="s">
        <v>105</v>
      </c>
      <c r="B188" s="4" t="s">
        <v>28</v>
      </c>
      <c r="C188" s="4">
        <v>8953011</v>
      </c>
      <c r="D188" s="19">
        <v>254114652944</v>
      </c>
      <c r="E188" s="21">
        <v>44865.6365393518</v>
      </c>
      <c r="F188" s="4">
        <v>288.76</v>
      </c>
      <c r="G188" s="4">
        <v>0</v>
      </c>
      <c r="H188" s="4">
        <v>288.76</v>
      </c>
      <c r="I188" s="4">
        <v>71.57</v>
      </c>
      <c r="J188" s="4">
        <v>0</v>
      </c>
      <c r="K188" s="4">
        <v>71.57</v>
      </c>
      <c r="L188" s="4">
        <v>120.6</v>
      </c>
      <c r="M188" s="4">
        <v>16040</v>
      </c>
      <c r="N188" s="4">
        <v>28.64</v>
      </c>
      <c r="O188" s="4">
        <v>3809.5</v>
      </c>
      <c r="P188" s="4" t="s">
        <v>34</v>
      </c>
      <c r="Q188" s="4" t="s">
        <v>30</v>
      </c>
      <c r="R188" s="4" t="s">
        <v>38</v>
      </c>
      <c r="S188" s="4">
        <v>0</v>
      </c>
      <c r="T188" s="4">
        <v>0</v>
      </c>
      <c r="U188" s="4">
        <v>0</v>
      </c>
      <c r="V188" s="4" t="s">
        <v>32</v>
      </c>
      <c r="W188" s="4" t="s">
        <v>32</v>
      </c>
      <c r="X188" s="4" t="s">
        <v>32</v>
      </c>
      <c r="Y188" s="4" t="s">
        <v>32</v>
      </c>
      <c r="Z188" s="4" t="s">
        <v>32</v>
      </c>
      <c r="AA188" s="4" t="s">
        <v>32</v>
      </c>
    </row>
    <row r="189" s="4" customFormat="1" spans="1:27">
      <c r="A189" s="4" t="s">
        <v>105</v>
      </c>
      <c r="B189" s="4" t="s">
        <v>28</v>
      </c>
      <c r="C189" s="4">
        <v>17953561</v>
      </c>
      <c r="D189" s="19">
        <v>254117626833</v>
      </c>
      <c r="E189" s="21">
        <v>45884.6767708333</v>
      </c>
      <c r="F189" s="4">
        <v>1593.3</v>
      </c>
      <c r="G189" s="4">
        <v>0</v>
      </c>
      <c r="H189" s="4">
        <v>1593.3</v>
      </c>
      <c r="I189" s="4">
        <v>389.19</v>
      </c>
      <c r="J189" s="4">
        <v>-0.41</v>
      </c>
      <c r="K189" s="4">
        <v>389.6</v>
      </c>
      <c r="L189" s="4">
        <v>480.32</v>
      </c>
      <c r="M189" s="4">
        <v>63882</v>
      </c>
      <c r="N189" s="4">
        <v>0</v>
      </c>
      <c r="O189" s="4">
        <v>0</v>
      </c>
      <c r="P189" s="4" t="s">
        <v>29</v>
      </c>
      <c r="Q189" s="4" t="s">
        <v>30</v>
      </c>
      <c r="R189" s="4" t="s">
        <v>38</v>
      </c>
      <c r="S189" s="4">
        <v>0</v>
      </c>
      <c r="T189" s="4">
        <v>0</v>
      </c>
      <c r="U189" s="4">
        <v>0</v>
      </c>
      <c r="V189" s="4" t="s">
        <v>32</v>
      </c>
      <c r="W189" s="4" t="s">
        <v>32</v>
      </c>
      <c r="X189" s="4" t="s">
        <v>32</v>
      </c>
      <c r="Y189" s="4" t="s">
        <v>32</v>
      </c>
      <c r="Z189" s="4" t="s">
        <v>32</v>
      </c>
      <c r="AA189" s="4" t="s">
        <v>32</v>
      </c>
    </row>
    <row r="190" s="4" customFormat="1" spans="1:27">
      <c r="A190" s="4" t="s">
        <v>105</v>
      </c>
      <c r="B190" s="4" t="s">
        <v>28</v>
      </c>
      <c r="C190" s="4">
        <v>22940112</v>
      </c>
      <c r="D190" s="19">
        <v>254118815668</v>
      </c>
      <c r="E190" s="21">
        <v>46162.2390046296</v>
      </c>
      <c r="F190" s="4">
        <v>10.03</v>
      </c>
      <c r="G190" s="4">
        <v>0</v>
      </c>
      <c r="H190" s="4">
        <v>10.03</v>
      </c>
      <c r="I190" s="4">
        <v>4.18</v>
      </c>
      <c r="J190" s="4">
        <v>0</v>
      </c>
      <c r="K190" s="4">
        <v>4.18</v>
      </c>
      <c r="L190" s="4">
        <v>380.26</v>
      </c>
      <c r="M190" s="4">
        <v>50575</v>
      </c>
      <c r="N190" s="4">
        <v>361.25</v>
      </c>
      <c r="O190" s="4">
        <v>48046.25</v>
      </c>
      <c r="P190" s="4" t="s">
        <v>29</v>
      </c>
      <c r="Q190" s="4" t="s">
        <v>30</v>
      </c>
      <c r="R190" s="4" t="s">
        <v>38</v>
      </c>
      <c r="S190" s="4">
        <v>0</v>
      </c>
      <c r="T190" s="4">
        <v>0</v>
      </c>
      <c r="U190" s="4">
        <v>0</v>
      </c>
      <c r="V190" s="4" t="s">
        <v>32</v>
      </c>
      <c r="W190" s="4" t="s">
        <v>32</v>
      </c>
      <c r="X190" s="4" t="s">
        <v>32</v>
      </c>
      <c r="Y190" s="4" t="s">
        <v>32</v>
      </c>
      <c r="Z190" s="4" t="s">
        <v>32</v>
      </c>
      <c r="AA190" s="4" t="s">
        <v>32</v>
      </c>
    </row>
    <row r="191" s="4" customFormat="1" spans="1:27">
      <c r="A191" s="4" t="s">
        <v>105</v>
      </c>
      <c r="B191" s="4" t="s">
        <v>28</v>
      </c>
      <c r="C191" s="4">
        <v>22940020</v>
      </c>
      <c r="D191" s="19">
        <v>254140142988</v>
      </c>
      <c r="E191" s="21">
        <v>46162.2280092593</v>
      </c>
      <c r="F191" s="4">
        <v>23.5</v>
      </c>
      <c r="G191" s="4">
        <v>0</v>
      </c>
      <c r="H191" s="4">
        <v>23.5</v>
      </c>
      <c r="I191" s="4">
        <v>2.63</v>
      </c>
      <c r="J191" s="4">
        <v>0</v>
      </c>
      <c r="K191" s="4">
        <v>2.63</v>
      </c>
      <c r="L191" s="4">
        <v>383.01</v>
      </c>
      <c r="M191" s="4">
        <v>50940</v>
      </c>
      <c r="N191" s="4">
        <v>363.86</v>
      </c>
      <c r="O191" s="4">
        <v>48393</v>
      </c>
      <c r="P191" s="4" t="s">
        <v>29</v>
      </c>
      <c r="Q191" s="4" t="s">
        <v>30</v>
      </c>
      <c r="R191" s="4" t="s">
        <v>38</v>
      </c>
      <c r="S191" s="4">
        <v>0</v>
      </c>
      <c r="T191" s="4">
        <v>0</v>
      </c>
      <c r="U191" s="4">
        <v>0</v>
      </c>
      <c r="V191" s="4" t="s">
        <v>32</v>
      </c>
      <c r="W191" s="4" t="s">
        <v>32</v>
      </c>
      <c r="X191" s="4" t="s">
        <v>32</v>
      </c>
      <c r="Y191" s="4" t="s">
        <v>32</v>
      </c>
      <c r="Z191" s="4" t="s">
        <v>32</v>
      </c>
      <c r="AA191" s="4" t="s">
        <v>32</v>
      </c>
    </row>
    <row r="192" s="4" customFormat="1" spans="1:27">
      <c r="A192" s="4" t="s">
        <v>105</v>
      </c>
      <c r="B192" s="4" t="s">
        <v>28</v>
      </c>
      <c r="C192" s="4">
        <v>21663632</v>
      </c>
      <c r="D192" s="19">
        <v>254140632144</v>
      </c>
      <c r="E192" s="21">
        <v>46083.6966550926</v>
      </c>
      <c r="F192" s="4">
        <v>3.76</v>
      </c>
      <c r="G192" s="4">
        <v>0</v>
      </c>
      <c r="H192" s="4">
        <v>3.76</v>
      </c>
      <c r="I192" s="4">
        <v>3.76</v>
      </c>
      <c r="J192" s="4">
        <v>0</v>
      </c>
      <c r="K192" s="4">
        <v>3.76</v>
      </c>
      <c r="L192" s="4">
        <v>375.94</v>
      </c>
      <c r="M192" s="4">
        <v>50000</v>
      </c>
      <c r="N192" s="4">
        <v>357.14</v>
      </c>
      <c r="O192" s="4">
        <v>47500</v>
      </c>
      <c r="P192" s="4" t="s">
        <v>29</v>
      </c>
      <c r="Q192" s="4" t="s">
        <v>30</v>
      </c>
      <c r="R192" s="4" t="s">
        <v>38</v>
      </c>
      <c r="S192" s="4">
        <v>0</v>
      </c>
      <c r="T192" s="4">
        <v>0</v>
      </c>
      <c r="U192" s="4">
        <v>0</v>
      </c>
      <c r="V192" s="4" t="s">
        <v>32</v>
      </c>
      <c r="W192" s="4" t="s">
        <v>32</v>
      </c>
      <c r="X192" s="4" t="s">
        <v>32</v>
      </c>
      <c r="Y192" s="4" t="s">
        <v>32</v>
      </c>
      <c r="Z192" s="4" t="s">
        <v>32</v>
      </c>
      <c r="AA192" s="4" t="s">
        <v>32</v>
      </c>
    </row>
    <row r="193" s="4" customFormat="1" spans="1:27">
      <c r="A193" s="4" t="s">
        <v>105</v>
      </c>
      <c r="B193" s="4" t="s">
        <v>28</v>
      </c>
      <c r="C193" s="4">
        <v>22809741</v>
      </c>
      <c r="D193" s="19">
        <v>254142167435</v>
      </c>
      <c r="E193" s="21">
        <v>46152.3833101852</v>
      </c>
      <c r="F193" s="4">
        <v>1120.27</v>
      </c>
      <c r="G193" s="4">
        <v>0</v>
      </c>
      <c r="H193" s="4">
        <v>1120.27</v>
      </c>
      <c r="I193" s="4">
        <v>124.98</v>
      </c>
      <c r="J193" s="4">
        <v>0</v>
      </c>
      <c r="K193" s="4">
        <v>124.98</v>
      </c>
      <c r="L193" s="4">
        <v>131.58</v>
      </c>
      <c r="M193" s="4">
        <v>17500</v>
      </c>
      <c r="N193" s="4">
        <v>125</v>
      </c>
      <c r="O193" s="4">
        <v>16625</v>
      </c>
      <c r="P193" s="4" t="s">
        <v>34</v>
      </c>
      <c r="Q193" s="4" t="s">
        <v>30</v>
      </c>
      <c r="R193" s="4" t="s">
        <v>38</v>
      </c>
      <c r="S193" s="4">
        <v>0</v>
      </c>
      <c r="T193" s="4">
        <v>0</v>
      </c>
      <c r="U193" s="4">
        <v>0</v>
      </c>
      <c r="V193" s="4" t="s">
        <v>32</v>
      </c>
      <c r="W193" s="4" t="s">
        <v>32</v>
      </c>
      <c r="X193" s="4" t="s">
        <v>32</v>
      </c>
      <c r="Y193" s="4" t="s">
        <v>32</v>
      </c>
      <c r="Z193" s="4" t="s">
        <v>32</v>
      </c>
      <c r="AA193" s="4" t="s">
        <v>32</v>
      </c>
    </row>
    <row r="194" s="4" customFormat="1" spans="1:27">
      <c r="A194" s="4" t="s">
        <v>105</v>
      </c>
      <c r="B194" s="4" t="s">
        <v>28</v>
      </c>
      <c r="C194" s="4">
        <v>9323461</v>
      </c>
      <c r="D194" s="19">
        <v>254700724502</v>
      </c>
      <c r="E194" s="21">
        <v>44931.6085185185</v>
      </c>
      <c r="F194" s="4">
        <v>639.44</v>
      </c>
      <c r="G194" s="4">
        <v>0.07</v>
      </c>
      <c r="H194" s="4">
        <v>639.37</v>
      </c>
      <c r="I194" s="4">
        <v>-142.44</v>
      </c>
      <c r="J194" s="4">
        <v>0.07</v>
      </c>
      <c r="K194" s="4">
        <v>-142.5</v>
      </c>
      <c r="L194" s="4">
        <v>217.82</v>
      </c>
      <c r="M194" s="4">
        <v>28970</v>
      </c>
      <c r="N194" s="4">
        <v>206.93</v>
      </c>
      <c r="O194" s="4">
        <v>27521.5</v>
      </c>
      <c r="P194" s="4" t="s">
        <v>29</v>
      </c>
      <c r="Q194" s="4" t="s">
        <v>30</v>
      </c>
      <c r="R194" s="4" t="s">
        <v>38</v>
      </c>
      <c r="S194" s="4">
        <v>0</v>
      </c>
      <c r="T194" s="4">
        <v>0</v>
      </c>
      <c r="U194" s="4">
        <v>0</v>
      </c>
      <c r="V194" s="4" t="s">
        <v>32</v>
      </c>
      <c r="W194" s="4" t="s">
        <v>32</v>
      </c>
      <c r="X194" s="4" t="s">
        <v>32</v>
      </c>
      <c r="Y194" s="4" t="s">
        <v>32</v>
      </c>
      <c r="Z194" s="4" t="s">
        <v>32</v>
      </c>
      <c r="AA194" s="4" t="s">
        <v>32</v>
      </c>
    </row>
    <row r="195" s="4" customFormat="1" spans="1:27">
      <c r="A195" s="4" t="s">
        <v>105</v>
      </c>
      <c r="B195" s="4" t="s">
        <v>28</v>
      </c>
      <c r="C195" s="4">
        <v>856211</v>
      </c>
      <c r="D195" s="19">
        <v>254702233849</v>
      </c>
      <c r="E195" s="21">
        <v>43973.5488541667</v>
      </c>
      <c r="F195" s="4">
        <v>2335.27</v>
      </c>
      <c r="G195" s="4">
        <v>119.35</v>
      </c>
      <c r="H195" s="4">
        <v>2215.92</v>
      </c>
      <c r="I195" s="4">
        <v>71.63</v>
      </c>
      <c r="J195" s="4">
        <v>29.51</v>
      </c>
      <c r="K195" s="4">
        <v>42.87</v>
      </c>
      <c r="L195" s="4">
        <v>282.71</v>
      </c>
      <c r="M195" s="4">
        <v>37600</v>
      </c>
      <c r="N195" s="4">
        <v>268.57</v>
      </c>
      <c r="O195" s="4">
        <v>35720</v>
      </c>
      <c r="P195" s="4" t="s">
        <v>29</v>
      </c>
      <c r="Q195" s="4" t="s">
        <v>30</v>
      </c>
      <c r="R195" s="4" t="s">
        <v>38</v>
      </c>
      <c r="S195" s="4">
        <v>0</v>
      </c>
      <c r="T195" s="4">
        <v>0</v>
      </c>
      <c r="U195" s="4">
        <v>0</v>
      </c>
      <c r="V195" s="4" t="s">
        <v>32</v>
      </c>
      <c r="W195" s="4" t="s">
        <v>32</v>
      </c>
      <c r="X195" s="4" t="s">
        <v>32</v>
      </c>
      <c r="Y195" s="4" t="s">
        <v>32</v>
      </c>
      <c r="Z195" s="4" t="s">
        <v>32</v>
      </c>
      <c r="AA195" s="4" t="s">
        <v>32</v>
      </c>
    </row>
    <row r="196" s="4" customFormat="1" spans="1:27">
      <c r="A196" s="4" t="s">
        <v>105</v>
      </c>
      <c r="B196" s="4" t="s">
        <v>28</v>
      </c>
      <c r="C196" s="4">
        <v>3504950</v>
      </c>
      <c r="D196" s="19">
        <v>254702319862</v>
      </c>
      <c r="E196" s="21">
        <v>44236.7640972222</v>
      </c>
      <c r="F196" s="4">
        <v>3295.91</v>
      </c>
      <c r="G196" s="4">
        <v>0</v>
      </c>
      <c r="H196" s="4">
        <v>3295.91</v>
      </c>
      <c r="I196" s="4">
        <v>133.25</v>
      </c>
      <c r="J196" s="4">
        <v>0</v>
      </c>
      <c r="K196" s="4">
        <v>133.25</v>
      </c>
      <c r="L196" s="4">
        <v>488.02</v>
      </c>
      <c r="M196" s="4">
        <v>64906</v>
      </c>
      <c r="N196" s="4">
        <v>50.36</v>
      </c>
      <c r="O196" s="4">
        <v>6697.5</v>
      </c>
      <c r="P196" s="4" t="s">
        <v>34</v>
      </c>
      <c r="Q196" s="4" t="s">
        <v>30</v>
      </c>
      <c r="R196" s="4" t="s">
        <v>38</v>
      </c>
      <c r="S196" s="4">
        <v>0</v>
      </c>
      <c r="T196" s="4">
        <v>0</v>
      </c>
      <c r="U196" s="4">
        <v>0</v>
      </c>
      <c r="V196" s="4" t="s">
        <v>32</v>
      </c>
      <c r="W196" s="4" t="s">
        <v>32</v>
      </c>
      <c r="X196" s="4" t="s">
        <v>32</v>
      </c>
      <c r="Y196" s="4" t="s">
        <v>32</v>
      </c>
      <c r="Z196" s="4" t="s">
        <v>32</v>
      </c>
      <c r="AA196" s="4" t="s">
        <v>32</v>
      </c>
    </row>
    <row r="197" s="4" customFormat="1" spans="1:27">
      <c r="A197" s="4" t="s">
        <v>105</v>
      </c>
      <c r="B197" s="4" t="s">
        <v>28</v>
      </c>
      <c r="C197" s="4">
        <v>18338221</v>
      </c>
      <c r="D197" s="19">
        <v>254702735284</v>
      </c>
      <c r="E197" s="21">
        <v>45905.5222685185</v>
      </c>
      <c r="F197" s="4">
        <v>6619.21</v>
      </c>
      <c r="G197" s="4">
        <v>0</v>
      </c>
      <c r="H197" s="4">
        <v>6619.21</v>
      </c>
      <c r="I197" s="4">
        <v>-62.67</v>
      </c>
      <c r="J197" s="4">
        <v>0</v>
      </c>
      <c r="K197" s="4">
        <v>-62.67</v>
      </c>
      <c r="L197" s="4">
        <v>1741.97</v>
      </c>
      <c r="M197" s="4">
        <v>231682</v>
      </c>
      <c r="N197" s="4">
        <v>786.82</v>
      </c>
      <c r="O197" s="4">
        <v>104647.25</v>
      </c>
      <c r="P197" s="4" t="s">
        <v>29</v>
      </c>
      <c r="Q197" s="4" t="s">
        <v>33</v>
      </c>
      <c r="R197" s="4" t="s">
        <v>38</v>
      </c>
      <c r="S197" s="4">
        <v>0</v>
      </c>
      <c r="T197" s="4">
        <v>0</v>
      </c>
      <c r="U197" s="4">
        <v>0</v>
      </c>
      <c r="V197" s="4" t="s">
        <v>32</v>
      </c>
      <c r="W197" s="4" t="s">
        <v>32</v>
      </c>
      <c r="X197" s="4" t="s">
        <v>32</v>
      </c>
      <c r="Y197" s="4" t="s">
        <v>32</v>
      </c>
      <c r="Z197" s="4" t="s">
        <v>32</v>
      </c>
      <c r="AA197" s="4" t="s">
        <v>32</v>
      </c>
    </row>
    <row r="198" s="4" customFormat="1" spans="1:27">
      <c r="A198" s="4" t="s">
        <v>105</v>
      </c>
      <c r="B198" s="4" t="s">
        <v>28</v>
      </c>
      <c r="C198" s="4">
        <v>9194290</v>
      </c>
      <c r="D198" s="19">
        <v>254702940023</v>
      </c>
      <c r="E198" s="21">
        <v>44905.6709143519</v>
      </c>
      <c r="F198" s="4">
        <v>1086.53</v>
      </c>
      <c r="G198" s="4">
        <v>0.3</v>
      </c>
      <c r="H198" s="4">
        <v>1086.23</v>
      </c>
      <c r="I198" s="4">
        <v>110.86</v>
      </c>
      <c r="J198" s="4">
        <v>0.3</v>
      </c>
      <c r="K198" s="4">
        <v>110.56</v>
      </c>
      <c r="L198" s="4">
        <v>198.98</v>
      </c>
      <c r="M198" s="4">
        <v>26465</v>
      </c>
      <c r="N198" s="4">
        <v>2.86</v>
      </c>
      <c r="O198" s="4">
        <v>380.38</v>
      </c>
      <c r="P198" s="4" t="s">
        <v>34</v>
      </c>
      <c r="Q198" s="4" t="s">
        <v>30</v>
      </c>
      <c r="R198" s="4" t="s">
        <v>38</v>
      </c>
      <c r="S198" s="4">
        <v>0</v>
      </c>
      <c r="T198" s="4">
        <v>0</v>
      </c>
      <c r="U198" s="4">
        <v>0</v>
      </c>
      <c r="V198" s="4" t="s">
        <v>32</v>
      </c>
      <c r="W198" s="4" t="s">
        <v>32</v>
      </c>
      <c r="X198" s="4" t="s">
        <v>32</v>
      </c>
      <c r="Y198" s="4" t="s">
        <v>32</v>
      </c>
      <c r="Z198" s="4" t="s">
        <v>32</v>
      </c>
      <c r="AA198" s="4" t="s">
        <v>32</v>
      </c>
    </row>
    <row r="199" s="4" customFormat="1" spans="1:27">
      <c r="A199" s="4" t="s">
        <v>105</v>
      </c>
      <c r="B199" s="4" t="s">
        <v>28</v>
      </c>
      <c r="C199" s="4">
        <v>16326602</v>
      </c>
      <c r="D199" s="19">
        <v>254703148756</v>
      </c>
      <c r="E199" s="21">
        <v>45767.5636805556</v>
      </c>
      <c r="F199" s="4">
        <v>673.14</v>
      </c>
      <c r="G199" s="4">
        <v>0</v>
      </c>
      <c r="H199" s="4">
        <v>673.14</v>
      </c>
      <c r="I199" s="4">
        <v>-81.54</v>
      </c>
      <c r="J199" s="4">
        <v>0</v>
      </c>
      <c r="K199" s="4">
        <v>-81.54</v>
      </c>
      <c r="L199" s="4">
        <v>276.15</v>
      </c>
      <c r="M199" s="4">
        <v>36728</v>
      </c>
      <c r="N199" s="4">
        <v>253.59</v>
      </c>
      <c r="O199" s="4">
        <v>33727.85</v>
      </c>
      <c r="P199" s="4" t="s">
        <v>29</v>
      </c>
      <c r="Q199" s="4" t="s">
        <v>30</v>
      </c>
      <c r="R199" s="4" t="s">
        <v>38</v>
      </c>
      <c r="S199" s="4">
        <v>0</v>
      </c>
      <c r="T199" s="4">
        <v>0</v>
      </c>
      <c r="U199" s="4">
        <v>0</v>
      </c>
      <c r="V199" s="4" t="s">
        <v>32</v>
      </c>
      <c r="W199" s="4" t="s">
        <v>32</v>
      </c>
      <c r="X199" s="4" t="s">
        <v>32</v>
      </c>
      <c r="Y199" s="4" t="s">
        <v>32</v>
      </c>
      <c r="Z199" s="4" t="s">
        <v>32</v>
      </c>
      <c r="AA199" s="4" t="s">
        <v>32</v>
      </c>
    </row>
    <row r="200" s="4" customFormat="1" spans="1:27">
      <c r="A200" s="4" t="s">
        <v>105</v>
      </c>
      <c r="B200" s="4" t="s">
        <v>28</v>
      </c>
      <c r="C200" s="4">
        <v>44420</v>
      </c>
      <c r="D200" s="19">
        <v>254704005555</v>
      </c>
      <c r="E200" s="21">
        <v>43842.6417824074</v>
      </c>
      <c r="F200" s="4">
        <v>1159.68</v>
      </c>
      <c r="G200" s="4">
        <v>18.45</v>
      </c>
      <c r="H200" s="4">
        <v>1141.23</v>
      </c>
      <c r="I200" s="4">
        <v>182.08</v>
      </c>
      <c r="J200" s="4">
        <v>2.65</v>
      </c>
      <c r="K200" s="4">
        <v>179.43</v>
      </c>
      <c r="L200" s="4">
        <v>563.31</v>
      </c>
      <c r="M200" s="4">
        <v>74920</v>
      </c>
      <c r="N200" s="4">
        <v>0.71</v>
      </c>
      <c r="O200" s="4">
        <v>95</v>
      </c>
      <c r="P200" s="4" t="s">
        <v>34</v>
      </c>
      <c r="Q200" s="4" t="s">
        <v>30</v>
      </c>
      <c r="R200" s="4" t="s">
        <v>38</v>
      </c>
      <c r="S200" s="4">
        <v>0</v>
      </c>
      <c r="T200" s="4">
        <v>0</v>
      </c>
      <c r="U200" s="4">
        <v>0</v>
      </c>
      <c r="V200" s="4" t="s">
        <v>32</v>
      </c>
      <c r="W200" s="4" t="s">
        <v>32</v>
      </c>
      <c r="X200" s="4" t="s">
        <v>32</v>
      </c>
      <c r="Y200" s="4" t="s">
        <v>32</v>
      </c>
      <c r="Z200" s="4" t="s">
        <v>32</v>
      </c>
      <c r="AA200" s="4" t="s">
        <v>32</v>
      </c>
    </row>
    <row r="201" s="4" customFormat="1" spans="1:27">
      <c r="A201" s="4" t="s">
        <v>105</v>
      </c>
      <c r="B201" s="4" t="s">
        <v>28</v>
      </c>
      <c r="C201" s="4">
        <v>22390812</v>
      </c>
      <c r="D201" s="19">
        <v>254706171860</v>
      </c>
      <c r="E201" s="21">
        <v>46124.4579282407</v>
      </c>
      <c r="F201" s="4">
        <v>425.67</v>
      </c>
      <c r="G201" s="4">
        <v>0.02</v>
      </c>
      <c r="H201" s="4">
        <v>425.65</v>
      </c>
      <c r="I201" s="4">
        <v>3.37</v>
      </c>
      <c r="J201" s="4">
        <v>0.02</v>
      </c>
      <c r="K201" s="4">
        <v>3.35</v>
      </c>
      <c r="L201" s="4">
        <v>87.85</v>
      </c>
      <c r="M201" s="4">
        <v>11684</v>
      </c>
      <c r="N201" s="4">
        <v>83.46</v>
      </c>
      <c r="O201" s="4">
        <v>11099.8</v>
      </c>
      <c r="P201" s="4" t="s">
        <v>34</v>
      </c>
      <c r="Q201" s="4" t="s">
        <v>30</v>
      </c>
      <c r="R201" s="4" t="s">
        <v>38</v>
      </c>
      <c r="S201" s="4">
        <v>0</v>
      </c>
      <c r="T201" s="4">
        <v>0</v>
      </c>
      <c r="U201" s="4">
        <v>0</v>
      </c>
      <c r="V201" s="4" t="s">
        <v>32</v>
      </c>
      <c r="W201" s="4" t="s">
        <v>32</v>
      </c>
      <c r="X201" s="4" t="s">
        <v>32</v>
      </c>
      <c r="Y201" s="4" t="s">
        <v>32</v>
      </c>
      <c r="Z201" s="4" t="s">
        <v>32</v>
      </c>
      <c r="AA201" s="4" t="s">
        <v>32</v>
      </c>
    </row>
    <row r="202" s="4" customFormat="1" spans="1:27">
      <c r="A202" s="4" t="s">
        <v>105</v>
      </c>
      <c r="B202" s="4" t="s">
        <v>28</v>
      </c>
      <c r="C202" s="4">
        <v>14085322</v>
      </c>
      <c r="D202" s="19">
        <v>254706572795</v>
      </c>
      <c r="E202" s="21">
        <v>45575.7372685185</v>
      </c>
      <c r="F202" s="4">
        <v>966.53</v>
      </c>
      <c r="G202" s="4">
        <v>0.05</v>
      </c>
      <c r="H202" s="4">
        <v>966.48</v>
      </c>
      <c r="I202" s="4">
        <v>94.12</v>
      </c>
      <c r="J202" s="4">
        <v>0.05</v>
      </c>
      <c r="K202" s="4">
        <v>94.08</v>
      </c>
      <c r="L202" s="4">
        <v>286.64</v>
      </c>
      <c r="M202" s="4">
        <v>38123</v>
      </c>
      <c r="N202" s="4">
        <v>0</v>
      </c>
      <c r="O202" s="4">
        <v>0</v>
      </c>
      <c r="P202" s="4" t="s">
        <v>29</v>
      </c>
      <c r="Q202" s="4" t="s">
        <v>30</v>
      </c>
      <c r="R202" s="4" t="s">
        <v>38</v>
      </c>
      <c r="S202" s="4">
        <v>0</v>
      </c>
      <c r="T202" s="4">
        <v>0</v>
      </c>
      <c r="U202" s="4">
        <v>0</v>
      </c>
      <c r="V202" s="4" t="s">
        <v>32</v>
      </c>
      <c r="W202" s="4" t="s">
        <v>32</v>
      </c>
      <c r="X202" s="4" t="s">
        <v>32</v>
      </c>
      <c r="Y202" s="4" t="s">
        <v>32</v>
      </c>
      <c r="Z202" s="4" t="s">
        <v>32</v>
      </c>
      <c r="AA202" s="4" t="s">
        <v>32</v>
      </c>
    </row>
    <row r="203" s="4" customFormat="1" spans="1:27">
      <c r="A203" s="4" t="s">
        <v>105</v>
      </c>
      <c r="B203" s="4" t="s">
        <v>28</v>
      </c>
      <c r="C203" s="4">
        <v>21150372</v>
      </c>
      <c r="D203" s="19">
        <v>254707092265</v>
      </c>
      <c r="E203" s="21">
        <v>46058.2088657407</v>
      </c>
      <c r="F203" s="4">
        <v>336.41</v>
      </c>
      <c r="G203" s="4">
        <v>0.58</v>
      </c>
      <c r="H203" s="4">
        <v>335.83</v>
      </c>
      <c r="I203" s="4">
        <v>38.85</v>
      </c>
      <c r="J203" s="4">
        <v>0.58</v>
      </c>
      <c r="K203" s="4">
        <v>38.27</v>
      </c>
      <c r="L203" s="4">
        <v>50.04</v>
      </c>
      <c r="M203" s="4">
        <v>6655</v>
      </c>
      <c r="N203" s="4">
        <v>30.83</v>
      </c>
      <c r="O203" s="4">
        <v>4100.2</v>
      </c>
      <c r="P203" s="4" t="s">
        <v>34</v>
      </c>
      <c r="Q203" s="4" t="s">
        <v>30</v>
      </c>
      <c r="R203" s="4" t="s">
        <v>38</v>
      </c>
      <c r="S203" s="4">
        <v>0</v>
      </c>
      <c r="T203" s="4">
        <v>0</v>
      </c>
      <c r="U203" s="4">
        <v>0</v>
      </c>
      <c r="V203" s="4" t="s">
        <v>32</v>
      </c>
      <c r="W203" s="4" t="s">
        <v>32</v>
      </c>
      <c r="X203" s="4" t="s">
        <v>32</v>
      </c>
      <c r="Y203" s="4" t="s">
        <v>32</v>
      </c>
      <c r="Z203" s="4" t="s">
        <v>32</v>
      </c>
      <c r="AA203" s="4" t="s">
        <v>32</v>
      </c>
    </row>
    <row r="204" s="4" customFormat="1" spans="1:27">
      <c r="A204" s="4" t="s">
        <v>105</v>
      </c>
      <c r="B204" s="4" t="s">
        <v>28</v>
      </c>
      <c r="C204" s="4">
        <v>20000451</v>
      </c>
      <c r="D204" s="19">
        <v>254707212219</v>
      </c>
      <c r="E204" s="21">
        <v>46000.7826851852</v>
      </c>
      <c r="F204" s="4">
        <v>638.39</v>
      </c>
      <c r="G204" s="4">
        <v>9.06</v>
      </c>
      <c r="H204" s="4">
        <v>629.33</v>
      </c>
      <c r="I204" s="4">
        <v>23.28</v>
      </c>
      <c r="J204" s="4">
        <v>-4.91</v>
      </c>
      <c r="K204" s="4">
        <v>28.19</v>
      </c>
      <c r="L204" s="4">
        <v>116.83</v>
      </c>
      <c r="M204" s="4">
        <v>15539</v>
      </c>
      <c r="N204" s="4">
        <v>24.12</v>
      </c>
      <c r="O204" s="4">
        <v>3208.15</v>
      </c>
      <c r="P204" s="4" t="s">
        <v>34</v>
      </c>
      <c r="Q204" s="4" t="s">
        <v>30</v>
      </c>
      <c r="R204" s="4" t="s">
        <v>38</v>
      </c>
      <c r="S204" s="4">
        <v>0</v>
      </c>
      <c r="T204" s="4">
        <v>0</v>
      </c>
      <c r="U204" s="4">
        <v>0</v>
      </c>
      <c r="V204" s="4" t="s">
        <v>32</v>
      </c>
      <c r="W204" s="4" t="s">
        <v>32</v>
      </c>
      <c r="X204" s="4" t="s">
        <v>32</v>
      </c>
      <c r="Y204" s="4" t="s">
        <v>32</v>
      </c>
      <c r="Z204" s="4" t="s">
        <v>32</v>
      </c>
      <c r="AA204" s="4" t="s">
        <v>32</v>
      </c>
    </row>
    <row r="205" s="4" customFormat="1" spans="1:27">
      <c r="A205" s="4" t="s">
        <v>105</v>
      </c>
      <c r="B205" s="4" t="s">
        <v>28</v>
      </c>
      <c r="C205" s="4">
        <v>13021472</v>
      </c>
      <c r="D205" s="19">
        <v>254707216705</v>
      </c>
      <c r="E205" s="21">
        <v>45431.5689814815</v>
      </c>
      <c r="F205" s="4">
        <v>402.81</v>
      </c>
      <c r="G205" s="4">
        <v>0.86</v>
      </c>
      <c r="H205" s="4">
        <v>401.95</v>
      </c>
      <c r="I205" s="4">
        <v>21.08</v>
      </c>
      <c r="J205" s="4">
        <v>0.86</v>
      </c>
      <c r="K205" s="4">
        <v>20.23</v>
      </c>
      <c r="L205" s="4">
        <v>91.73</v>
      </c>
      <c r="M205" s="4">
        <v>12200</v>
      </c>
      <c r="N205" s="4">
        <v>87.14</v>
      </c>
      <c r="O205" s="4">
        <v>11590</v>
      </c>
      <c r="P205" s="4" t="s">
        <v>34</v>
      </c>
      <c r="Q205" s="4" t="s">
        <v>30</v>
      </c>
      <c r="R205" s="4" t="s">
        <v>38</v>
      </c>
      <c r="S205" s="4">
        <v>0</v>
      </c>
      <c r="T205" s="4">
        <v>0</v>
      </c>
      <c r="U205" s="4">
        <v>0</v>
      </c>
      <c r="V205" s="4" t="s">
        <v>32</v>
      </c>
      <c r="W205" s="4" t="s">
        <v>32</v>
      </c>
      <c r="X205" s="4" t="s">
        <v>32</v>
      </c>
      <c r="Y205" s="4" t="s">
        <v>32</v>
      </c>
      <c r="Z205" s="4" t="s">
        <v>32</v>
      </c>
      <c r="AA205" s="4" t="s">
        <v>32</v>
      </c>
    </row>
    <row r="206" s="4" customFormat="1" spans="1:27">
      <c r="A206" s="4" t="s">
        <v>105</v>
      </c>
      <c r="B206" s="4" t="s">
        <v>28</v>
      </c>
      <c r="C206" s="4">
        <v>22375110</v>
      </c>
      <c r="D206" s="19">
        <v>254708615417</v>
      </c>
      <c r="E206" s="21">
        <v>46123.5470833333</v>
      </c>
      <c r="F206" s="4">
        <v>3040.33</v>
      </c>
      <c r="G206" s="4">
        <v>0.15</v>
      </c>
      <c r="H206" s="4">
        <v>3040.18</v>
      </c>
      <c r="I206" s="4">
        <v>-14.55</v>
      </c>
      <c r="J206" s="4">
        <v>-0.28</v>
      </c>
      <c r="K206" s="4">
        <v>-14.27</v>
      </c>
      <c r="L206" s="4">
        <v>407.5</v>
      </c>
      <c r="M206" s="4">
        <v>54197</v>
      </c>
      <c r="N206" s="4">
        <v>387.12</v>
      </c>
      <c r="O206" s="4">
        <v>51487.15</v>
      </c>
      <c r="P206" s="4" t="s">
        <v>34</v>
      </c>
      <c r="Q206" s="4" t="s">
        <v>30</v>
      </c>
      <c r="R206" s="4" t="s">
        <v>38</v>
      </c>
      <c r="S206" s="4">
        <v>0</v>
      </c>
      <c r="T206" s="4">
        <v>0</v>
      </c>
      <c r="U206" s="4">
        <v>0</v>
      </c>
      <c r="V206" s="4" t="s">
        <v>32</v>
      </c>
      <c r="W206" s="4" t="s">
        <v>32</v>
      </c>
      <c r="X206" s="4" t="s">
        <v>32</v>
      </c>
      <c r="Y206" s="4" t="s">
        <v>32</v>
      </c>
      <c r="Z206" s="4" t="s">
        <v>32</v>
      </c>
      <c r="AA206" s="4" t="s">
        <v>32</v>
      </c>
    </row>
    <row r="207" s="4" customFormat="1" spans="1:27">
      <c r="A207" s="4" t="s">
        <v>105</v>
      </c>
      <c r="B207" s="4" t="s">
        <v>28</v>
      </c>
      <c r="C207" s="4">
        <v>2384142</v>
      </c>
      <c r="D207" s="19">
        <v>254710101775</v>
      </c>
      <c r="E207" s="21">
        <v>44075.598900463</v>
      </c>
      <c r="F207" s="4">
        <v>766.33</v>
      </c>
      <c r="G207" s="4">
        <v>1.95</v>
      </c>
      <c r="H207" s="4">
        <v>764.38</v>
      </c>
      <c r="I207" s="4">
        <v>45.88</v>
      </c>
      <c r="J207" s="4">
        <v>1.95</v>
      </c>
      <c r="K207" s="4">
        <v>44.68</v>
      </c>
      <c r="L207" s="4">
        <v>81.69</v>
      </c>
      <c r="M207" s="4">
        <v>10865</v>
      </c>
      <c r="N207" s="4">
        <v>77.61</v>
      </c>
      <c r="O207" s="4">
        <v>10321.75</v>
      </c>
      <c r="P207" s="4" t="s">
        <v>29</v>
      </c>
      <c r="Q207" s="4" t="s">
        <v>30</v>
      </c>
      <c r="R207" s="4" t="s">
        <v>38</v>
      </c>
      <c r="S207" s="4">
        <v>0</v>
      </c>
      <c r="T207" s="4">
        <v>0</v>
      </c>
      <c r="U207" s="4">
        <v>0</v>
      </c>
      <c r="V207" s="4" t="s">
        <v>32</v>
      </c>
      <c r="W207" s="4" t="s">
        <v>32</v>
      </c>
      <c r="X207" s="4" t="s">
        <v>32</v>
      </c>
      <c r="Y207" s="4" t="s">
        <v>32</v>
      </c>
      <c r="Z207" s="4" t="s">
        <v>32</v>
      </c>
      <c r="AA207" s="4" t="s">
        <v>32</v>
      </c>
    </row>
    <row r="208" s="4" customFormat="1" spans="1:27">
      <c r="A208" s="4" t="s">
        <v>105</v>
      </c>
      <c r="B208" s="4" t="s">
        <v>28</v>
      </c>
      <c r="C208" s="4">
        <v>18952</v>
      </c>
      <c r="D208" s="19">
        <v>254711300997</v>
      </c>
      <c r="E208" s="21">
        <v>43804.8456018519</v>
      </c>
      <c r="F208" s="4">
        <v>8677.04</v>
      </c>
      <c r="G208" s="4">
        <v>0.38</v>
      </c>
      <c r="H208" s="4">
        <v>8676.66</v>
      </c>
      <c r="I208" s="4">
        <v>483.55</v>
      </c>
      <c r="J208" s="4">
        <v>-0.42</v>
      </c>
      <c r="K208" s="4">
        <v>483.97</v>
      </c>
      <c r="L208" s="4">
        <v>784.62</v>
      </c>
      <c r="M208" s="4">
        <v>104355</v>
      </c>
      <c r="N208" s="4">
        <v>38.95</v>
      </c>
      <c r="O208" s="4">
        <v>5180.35</v>
      </c>
      <c r="P208" s="4" t="s">
        <v>34</v>
      </c>
      <c r="Q208" s="4" t="s">
        <v>30</v>
      </c>
      <c r="R208" s="4" t="s">
        <v>38</v>
      </c>
      <c r="S208" s="4">
        <v>0</v>
      </c>
      <c r="T208" s="4">
        <v>0</v>
      </c>
      <c r="U208" s="4">
        <v>0</v>
      </c>
      <c r="V208" s="4" t="s">
        <v>32</v>
      </c>
      <c r="W208" s="4" t="s">
        <v>32</v>
      </c>
      <c r="X208" s="4" t="s">
        <v>32</v>
      </c>
      <c r="Y208" s="4" t="s">
        <v>32</v>
      </c>
      <c r="Z208" s="4" t="s">
        <v>32</v>
      </c>
      <c r="AA208" s="4" t="s">
        <v>32</v>
      </c>
    </row>
    <row r="209" s="4" customFormat="1" spans="1:27">
      <c r="A209" s="4" t="s">
        <v>105</v>
      </c>
      <c r="B209" s="4" t="s">
        <v>28</v>
      </c>
      <c r="C209" s="4">
        <v>22473930</v>
      </c>
      <c r="D209" s="19">
        <v>254711310638</v>
      </c>
      <c r="E209" s="21">
        <v>46129.246099537</v>
      </c>
      <c r="F209" s="4">
        <v>393.66</v>
      </c>
      <c r="G209" s="4">
        <v>0.01</v>
      </c>
      <c r="H209" s="4">
        <v>393.65</v>
      </c>
      <c r="I209" s="4">
        <v>7.32</v>
      </c>
      <c r="J209" s="4">
        <v>0.01</v>
      </c>
      <c r="K209" s="4">
        <v>7.31</v>
      </c>
      <c r="L209" s="4">
        <v>53.53</v>
      </c>
      <c r="M209" s="4">
        <v>7120</v>
      </c>
      <c r="N209" s="4">
        <v>50.86</v>
      </c>
      <c r="O209" s="4">
        <v>6764</v>
      </c>
      <c r="P209" s="4" t="s">
        <v>29</v>
      </c>
      <c r="Q209" s="4" t="s">
        <v>30</v>
      </c>
      <c r="R209" s="4" t="s">
        <v>38</v>
      </c>
      <c r="S209" s="4">
        <v>0</v>
      </c>
      <c r="T209" s="4">
        <v>0</v>
      </c>
      <c r="U209" s="4">
        <v>0</v>
      </c>
      <c r="V209" s="4" t="s">
        <v>32</v>
      </c>
      <c r="W209" s="4" t="s">
        <v>32</v>
      </c>
      <c r="X209" s="4" t="s">
        <v>32</v>
      </c>
      <c r="Y209" s="4" t="s">
        <v>32</v>
      </c>
      <c r="Z209" s="4" t="s">
        <v>32</v>
      </c>
      <c r="AA209" s="4" t="s">
        <v>32</v>
      </c>
    </row>
    <row r="210" s="4" customFormat="1" spans="1:27">
      <c r="A210" s="4" t="s">
        <v>105</v>
      </c>
      <c r="B210" s="4" t="s">
        <v>28</v>
      </c>
      <c r="C210" s="4">
        <v>12637121</v>
      </c>
      <c r="D210" s="19">
        <v>254712616998</v>
      </c>
      <c r="E210" s="21">
        <v>45386.472025463</v>
      </c>
      <c r="F210" s="4">
        <v>13642.85</v>
      </c>
      <c r="G210" s="4">
        <v>62.89</v>
      </c>
      <c r="H210" s="4">
        <v>13579.96</v>
      </c>
      <c r="I210" s="4">
        <v>371.02</v>
      </c>
      <c r="J210" s="4">
        <v>-23.63</v>
      </c>
      <c r="K210" s="4">
        <v>394.65</v>
      </c>
      <c r="L210" s="4">
        <v>1036.75</v>
      </c>
      <c r="M210" s="4">
        <v>137888</v>
      </c>
      <c r="N210" s="4">
        <v>196.43</v>
      </c>
      <c r="O210" s="4">
        <v>26125</v>
      </c>
      <c r="P210" s="4" t="s">
        <v>34</v>
      </c>
      <c r="Q210" s="4" t="s">
        <v>33</v>
      </c>
      <c r="R210" s="4" t="s">
        <v>38</v>
      </c>
      <c r="S210" s="4">
        <v>0</v>
      </c>
      <c r="T210" s="4">
        <v>0</v>
      </c>
      <c r="U210" s="4">
        <v>0</v>
      </c>
      <c r="V210" s="4" t="s">
        <v>32</v>
      </c>
      <c r="W210" s="4" t="s">
        <v>32</v>
      </c>
      <c r="X210" s="4" t="s">
        <v>32</v>
      </c>
      <c r="Y210" s="4" t="s">
        <v>32</v>
      </c>
      <c r="Z210" s="4" t="s">
        <v>32</v>
      </c>
      <c r="AA210" s="4" t="s">
        <v>32</v>
      </c>
    </row>
    <row r="211" s="4" customFormat="1" spans="1:27">
      <c r="A211" s="4" t="s">
        <v>105</v>
      </c>
      <c r="B211" s="4" t="s">
        <v>28</v>
      </c>
      <c r="C211" s="4">
        <v>21331982</v>
      </c>
      <c r="D211" s="19">
        <v>254712757922</v>
      </c>
      <c r="E211" s="21">
        <v>46067.6879166667</v>
      </c>
      <c r="F211" s="4">
        <v>348.53</v>
      </c>
      <c r="G211" s="4">
        <v>0</v>
      </c>
      <c r="H211" s="4">
        <v>348.53</v>
      </c>
      <c r="I211" s="4">
        <v>-4.45</v>
      </c>
      <c r="J211" s="4">
        <v>0</v>
      </c>
      <c r="K211" s="4">
        <v>-4.45</v>
      </c>
      <c r="L211" s="4">
        <v>86.08</v>
      </c>
      <c r="M211" s="4">
        <v>11448</v>
      </c>
      <c r="N211" s="4">
        <v>81.06</v>
      </c>
      <c r="O211" s="4">
        <v>10780.6</v>
      </c>
      <c r="P211" s="4" t="s">
        <v>29</v>
      </c>
      <c r="Q211" s="4" t="s">
        <v>30</v>
      </c>
      <c r="R211" s="4" t="s">
        <v>38</v>
      </c>
      <c r="S211" s="4">
        <v>0</v>
      </c>
      <c r="T211" s="4">
        <v>0</v>
      </c>
      <c r="U211" s="4">
        <v>0</v>
      </c>
      <c r="V211" s="4" t="s">
        <v>32</v>
      </c>
      <c r="W211" s="4" t="s">
        <v>32</v>
      </c>
      <c r="X211" s="4" t="s">
        <v>32</v>
      </c>
      <c r="Y211" s="4" t="s">
        <v>32</v>
      </c>
      <c r="Z211" s="4" t="s">
        <v>32</v>
      </c>
      <c r="AA211" s="4" t="s">
        <v>32</v>
      </c>
    </row>
    <row r="212" s="4" customFormat="1" spans="1:27">
      <c r="A212" s="4" t="s">
        <v>105</v>
      </c>
      <c r="B212" s="4" t="s">
        <v>28</v>
      </c>
      <c r="C212" s="4">
        <v>9972020</v>
      </c>
      <c r="D212" s="19">
        <v>254713891297</v>
      </c>
      <c r="E212" s="21">
        <v>45065.607662037</v>
      </c>
      <c r="F212" s="4">
        <v>217.79</v>
      </c>
      <c r="G212" s="4">
        <v>0</v>
      </c>
      <c r="H212" s="4">
        <v>217.79</v>
      </c>
      <c r="I212" s="4">
        <v>3.04</v>
      </c>
      <c r="J212" s="4">
        <v>0</v>
      </c>
      <c r="K212" s="4">
        <v>3.04</v>
      </c>
      <c r="L212" s="4">
        <v>54.89</v>
      </c>
      <c r="M212" s="4">
        <v>7300</v>
      </c>
      <c r="N212" s="4">
        <v>46.43</v>
      </c>
      <c r="O212" s="4">
        <v>6175</v>
      </c>
      <c r="P212" s="4" t="s">
        <v>29</v>
      </c>
      <c r="Q212" s="4" t="s">
        <v>30</v>
      </c>
      <c r="R212" s="4" t="s">
        <v>38</v>
      </c>
      <c r="S212" s="4">
        <v>0</v>
      </c>
      <c r="T212" s="4">
        <v>0</v>
      </c>
      <c r="U212" s="4">
        <v>0</v>
      </c>
      <c r="V212" s="4" t="s">
        <v>32</v>
      </c>
      <c r="W212" s="4" t="s">
        <v>32</v>
      </c>
      <c r="X212" s="4" t="s">
        <v>32</v>
      </c>
      <c r="Y212" s="4" t="s">
        <v>32</v>
      </c>
      <c r="Z212" s="4" t="s">
        <v>32</v>
      </c>
      <c r="AA212" s="4" t="s">
        <v>32</v>
      </c>
    </row>
    <row r="213" s="4" customFormat="1" spans="1:27">
      <c r="A213" s="4" t="s">
        <v>105</v>
      </c>
      <c r="B213" s="4" t="s">
        <v>28</v>
      </c>
      <c r="C213" s="4">
        <v>3387590</v>
      </c>
      <c r="D213" s="19">
        <v>254714018823</v>
      </c>
      <c r="E213" s="21">
        <v>44200.7975694444</v>
      </c>
      <c r="F213" s="4">
        <v>1463.46</v>
      </c>
      <c r="G213" s="4">
        <v>0.02</v>
      </c>
      <c r="H213" s="4">
        <v>1463.45</v>
      </c>
      <c r="I213" s="4">
        <v>262.3</v>
      </c>
      <c r="J213" s="4">
        <v>0.02</v>
      </c>
      <c r="K213" s="4">
        <v>262.28</v>
      </c>
      <c r="L213" s="4">
        <v>350.5</v>
      </c>
      <c r="M213" s="4">
        <v>46617</v>
      </c>
      <c r="N213" s="4">
        <v>173.06</v>
      </c>
      <c r="O213" s="4">
        <v>23017.55</v>
      </c>
      <c r="P213" s="4" t="s">
        <v>29</v>
      </c>
      <c r="Q213" s="4" t="s">
        <v>30</v>
      </c>
      <c r="R213" s="4" t="s">
        <v>38</v>
      </c>
      <c r="S213" s="4">
        <v>0</v>
      </c>
      <c r="T213" s="4">
        <v>0</v>
      </c>
      <c r="U213" s="4">
        <v>0</v>
      </c>
      <c r="V213" s="4" t="s">
        <v>32</v>
      </c>
      <c r="W213" s="4" t="s">
        <v>32</v>
      </c>
      <c r="X213" s="4" t="s">
        <v>32</v>
      </c>
      <c r="Y213" s="4" t="s">
        <v>32</v>
      </c>
      <c r="Z213" s="4" t="s">
        <v>32</v>
      </c>
      <c r="AA213" s="4" t="s">
        <v>32</v>
      </c>
    </row>
    <row r="214" s="4" customFormat="1" spans="1:27">
      <c r="A214" s="4" t="s">
        <v>105</v>
      </c>
      <c r="B214" s="4" t="s">
        <v>28</v>
      </c>
      <c r="C214" s="4">
        <v>2902971</v>
      </c>
      <c r="D214" s="19">
        <v>254715675230</v>
      </c>
      <c r="E214" s="21">
        <v>44122.5885300926</v>
      </c>
      <c r="F214" s="4">
        <v>2438.8</v>
      </c>
      <c r="G214" s="4">
        <v>0</v>
      </c>
      <c r="H214" s="4">
        <v>2438.8</v>
      </c>
      <c r="I214" s="4">
        <v>27.55</v>
      </c>
      <c r="J214" s="4">
        <v>0</v>
      </c>
      <c r="K214" s="4">
        <v>27.55</v>
      </c>
      <c r="L214" s="4">
        <v>230.34</v>
      </c>
      <c r="M214" s="4">
        <v>30635</v>
      </c>
      <c r="N214" s="4">
        <v>1.74</v>
      </c>
      <c r="O214" s="4">
        <v>230.85</v>
      </c>
      <c r="P214" s="4" t="s">
        <v>29</v>
      </c>
      <c r="Q214" s="4" t="s">
        <v>30</v>
      </c>
      <c r="R214" s="4" t="s">
        <v>38</v>
      </c>
      <c r="S214" s="4">
        <v>0</v>
      </c>
      <c r="T214" s="4">
        <v>0</v>
      </c>
      <c r="U214" s="4">
        <v>0</v>
      </c>
      <c r="V214" s="4" t="s">
        <v>32</v>
      </c>
      <c r="W214" s="4" t="s">
        <v>32</v>
      </c>
      <c r="X214" s="4" t="s">
        <v>32</v>
      </c>
      <c r="Y214" s="4" t="s">
        <v>32</v>
      </c>
      <c r="Z214" s="4" t="s">
        <v>32</v>
      </c>
      <c r="AA214" s="4" t="s">
        <v>32</v>
      </c>
    </row>
    <row r="215" s="4" customFormat="1" spans="1:27">
      <c r="A215" s="4" t="s">
        <v>105</v>
      </c>
      <c r="B215" s="4" t="s">
        <v>28</v>
      </c>
      <c r="C215" s="4">
        <v>9227481</v>
      </c>
      <c r="D215" s="19">
        <v>254716752899</v>
      </c>
      <c r="E215" s="21">
        <v>44911.4701736111</v>
      </c>
      <c r="F215" s="4">
        <v>1431.81</v>
      </c>
      <c r="G215" s="4">
        <v>0</v>
      </c>
      <c r="H215" s="4">
        <v>1431.81</v>
      </c>
      <c r="I215" s="4">
        <v>76.55</v>
      </c>
      <c r="J215" s="4">
        <v>0</v>
      </c>
      <c r="K215" s="4">
        <v>76.55</v>
      </c>
      <c r="L215" s="4">
        <v>386.42</v>
      </c>
      <c r="M215" s="4">
        <v>51394</v>
      </c>
      <c r="N215" s="4">
        <v>341.67</v>
      </c>
      <c r="O215" s="4">
        <v>45442.3</v>
      </c>
      <c r="P215" s="4" t="s">
        <v>34</v>
      </c>
      <c r="Q215" s="4" t="s">
        <v>30</v>
      </c>
      <c r="R215" s="4" t="s">
        <v>38</v>
      </c>
      <c r="S215" s="4">
        <v>0</v>
      </c>
      <c r="T215" s="4">
        <v>0</v>
      </c>
      <c r="U215" s="4">
        <v>0</v>
      </c>
      <c r="V215" s="4" t="s">
        <v>32</v>
      </c>
      <c r="W215" s="4" t="s">
        <v>32</v>
      </c>
      <c r="X215" s="4" t="s">
        <v>32</v>
      </c>
      <c r="Y215" s="4" t="s">
        <v>32</v>
      </c>
      <c r="Z215" s="4" t="s">
        <v>32</v>
      </c>
      <c r="AA215" s="4" t="s">
        <v>32</v>
      </c>
    </row>
    <row r="216" s="4" customFormat="1" spans="1:27">
      <c r="A216" s="4" t="s">
        <v>105</v>
      </c>
      <c r="B216" s="4" t="s">
        <v>28</v>
      </c>
      <c r="C216" s="4">
        <v>16666892</v>
      </c>
      <c r="D216" s="19">
        <v>254717058936</v>
      </c>
      <c r="E216" s="21">
        <v>45789.9990625</v>
      </c>
      <c r="F216" s="4">
        <v>1441.68</v>
      </c>
      <c r="G216" s="4">
        <v>4.49</v>
      </c>
      <c r="H216" s="4">
        <v>1437.2</v>
      </c>
      <c r="I216" s="4">
        <v>-17.98</v>
      </c>
      <c r="J216" s="4">
        <v>-27.96</v>
      </c>
      <c r="K216" s="4">
        <v>9.98</v>
      </c>
      <c r="L216" s="4">
        <v>151.35</v>
      </c>
      <c r="M216" s="4">
        <v>20130</v>
      </c>
      <c r="N216" s="4">
        <v>139.36</v>
      </c>
      <c r="O216" s="4">
        <v>18534.5</v>
      </c>
      <c r="P216" s="4" t="s">
        <v>34</v>
      </c>
      <c r="Q216" s="4" t="s">
        <v>30</v>
      </c>
      <c r="R216" s="4" t="s">
        <v>38</v>
      </c>
      <c r="S216" s="4">
        <v>0</v>
      </c>
      <c r="T216" s="4">
        <v>0</v>
      </c>
      <c r="U216" s="4">
        <v>0</v>
      </c>
      <c r="V216" s="4" t="s">
        <v>32</v>
      </c>
      <c r="W216" s="4" t="s">
        <v>32</v>
      </c>
      <c r="X216" s="4" t="s">
        <v>32</v>
      </c>
      <c r="Y216" s="4" t="s">
        <v>32</v>
      </c>
      <c r="Z216" s="4" t="s">
        <v>32</v>
      </c>
      <c r="AA216" s="4" t="s">
        <v>32</v>
      </c>
    </row>
    <row r="217" s="4" customFormat="1" spans="1:27">
      <c r="A217" s="4" t="s">
        <v>105</v>
      </c>
      <c r="B217" s="4" t="s">
        <v>28</v>
      </c>
      <c r="C217" s="4">
        <v>15553252</v>
      </c>
      <c r="D217" s="19">
        <v>254718202188</v>
      </c>
      <c r="E217" s="21">
        <v>45678.9091782407</v>
      </c>
      <c r="F217" s="4">
        <v>137.07</v>
      </c>
      <c r="G217" s="4">
        <v>0</v>
      </c>
      <c r="H217" s="4">
        <v>137.07</v>
      </c>
      <c r="I217" s="4">
        <v>6.02</v>
      </c>
      <c r="J217" s="4">
        <v>0</v>
      </c>
      <c r="K217" s="4">
        <v>6.02</v>
      </c>
      <c r="L217" s="4">
        <v>56.79</v>
      </c>
      <c r="M217" s="4">
        <v>7553</v>
      </c>
      <c r="N217" s="4">
        <v>53.95</v>
      </c>
      <c r="O217" s="4">
        <v>7175.35</v>
      </c>
      <c r="P217" s="4" t="s">
        <v>29</v>
      </c>
      <c r="Q217" s="4" t="s">
        <v>30</v>
      </c>
      <c r="R217" s="4" t="s">
        <v>38</v>
      </c>
      <c r="S217" s="4">
        <v>0</v>
      </c>
      <c r="T217" s="4">
        <v>0</v>
      </c>
      <c r="U217" s="4">
        <v>0</v>
      </c>
      <c r="V217" s="4" t="s">
        <v>32</v>
      </c>
      <c r="W217" s="4" t="s">
        <v>32</v>
      </c>
      <c r="X217" s="4" t="s">
        <v>32</v>
      </c>
      <c r="Y217" s="4" t="s">
        <v>32</v>
      </c>
      <c r="Z217" s="4" t="s">
        <v>32</v>
      </c>
      <c r="AA217" s="4" t="s">
        <v>32</v>
      </c>
    </row>
    <row r="218" s="4" customFormat="1" spans="1:27">
      <c r="A218" s="4" t="s">
        <v>105</v>
      </c>
      <c r="B218" s="4" t="s">
        <v>28</v>
      </c>
      <c r="C218" s="4">
        <v>15540860</v>
      </c>
      <c r="D218" s="19">
        <v>254718985030</v>
      </c>
      <c r="E218" s="21">
        <v>45677.7709375</v>
      </c>
      <c r="F218" s="4">
        <v>7089.67</v>
      </c>
      <c r="G218" s="4">
        <v>0.11</v>
      </c>
      <c r="H218" s="4">
        <v>7089.57</v>
      </c>
      <c r="I218" s="4">
        <v>281.71</v>
      </c>
      <c r="J218" s="4">
        <v>0.11</v>
      </c>
      <c r="K218" s="4">
        <v>281.6</v>
      </c>
      <c r="L218" s="4">
        <v>528.8</v>
      </c>
      <c r="M218" s="4">
        <v>70331</v>
      </c>
      <c r="N218" s="4">
        <v>24.55</v>
      </c>
      <c r="O218" s="4">
        <v>3265.15</v>
      </c>
      <c r="P218" s="4" t="s">
        <v>29</v>
      </c>
      <c r="Q218" s="4" t="s">
        <v>30</v>
      </c>
      <c r="R218" s="4" t="s">
        <v>38</v>
      </c>
      <c r="S218" s="4">
        <v>0</v>
      </c>
      <c r="T218" s="4">
        <v>0</v>
      </c>
      <c r="U218" s="4">
        <v>0</v>
      </c>
      <c r="V218" s="4" t="s">
        <v>32</v>
      </c>
      <c r="W218" s="4" t="s">
        <v>32</v>
      </c>
      <c r="X218" s="4" t="s">
        <v>32</v>
      </c>
      <c r="Y218" s="4" t="s">
        <v>32</v>
      </c>
      <c r="Z218" s="4" t="s">
        <v>32</v>
      </c>
      <c r="AA218" s="4" t="s">
        <v>32</v>
      </c>
    </row>
    <row r="219" s="4" customFormat="1" spans="1:27">
      <c r="A219" s="4" t="s">
        <v>105</v>
      </c>
      <c r="B219" s="4" t="s">
        <v>28</v>
      </c>
      <c r="C219" s="4">
        <v>21306091</v>
      </c>
      <c r="D219" s="19">
        <v>254720276518</v>
      </c>
      <c r="E219" s="21">
        <v>46066.3600347222</v>
      </c>
      <c r="F219" s="4">
        <v>1888.99</v>
      </c>
      <c r="G219" s="4">
        <v>3.97</v>
      </c>
      <c r="H219" s="4">
        <v>1885.02</v>
      </c>
      <c r="I219" s="4">
        <v>-109.91</v>
      </c>
      <c r="J219" s="4">
        <v>1.44</v>
      </c>
      <c r="K219" s="4">
        <v>-111.35</v>
      </c>
      <c r="L219" s="4">
        <v>236.08</v>
      </c>
      <c r="M219" s="4">
        <v>31399</v>
      </c>
      <c r="N219" s="4">
        <v>137.84</v>
      </c>
      <c r="O219" s="4">
        <v>18333.1</v>
      </c>
      <c r="P219" s="4" t="s">
        <v>29</v>
      </c>
      <c r="Q219" s="4" t="s">
        <v>30</v>
      </c>
      <c r="R219" s="4" t="s">
        <v>38</v>
      </c>
      <c r="S219" s="4">
        <v>0</v>
      </c>
      <c r="T219" s="4">
        <v>0</v>
      </c>
      <c r="U219" s="4">
        <v>0</v>
      </c>
      <c r="V219" s="4" t="s">
        <v>32</v>
      </c>
      <c r="W219" s="4" t="s">
        <v>32</v>
      </c>
      <c r="X219" s="4" t="s">
        <v>32</v>
      </c>
      <c r="Y219" s="4" t="s">
        <v>32</v>
      </c>
      <c r="Z219" s="4" t="s">
        <v>32</v>
      </c>
      <c r="AA219" s="4" t="s">
        <v>32</v>
      </c>
    </row>
    <row r="220" s="4" customFormat="1" spans="1:27">
      <c r="A220" s="4" t="s">
        <v>105</v>
      </c>
      <c r="B220" s="4" t="s">
        <v>28</v>
      </c>
      <c r="C220" s="4">
        <v>20051721</v>
      </c>
      <c r="D220" s="19">
        <v>254720396271</v>
      </c>
      <c r="E220" s="21">
        <v>46002.6839814815</v>
      </c>
      <c r="F220" s="4">
        <v>4692.95</v>
      </c>
      <c r="G220" s="4">
        <v>0.16</v>
      </c>
      <c r="H220" s="4">
        <v>4692.8</v>
      </c>
      <c r="I220" s="4">
        <v>103.93</v>
      </c>
      <c r="J220" s="4">
        <v>0.14</v>
      </c>
      <c r="K220" s="4">
        <v>103.79</v>
      </c>
      <c r="L220" s="4">
        <v>368.42</v>
      </c>
      <c r="M220" s="4">
        <v>49000</v>
      </c>
      <c r="N220" s="4">
        <v>305.71</v>
      </c>
      <c r="O220" s="4">
        <v>40660</v>
      </c>
      <c r="P220" s="4" t="s">
        <v>34</v>
      </c>
      <c r="Q220" s="4" t="s">
        <v>30</v>
      </c>
      <c r="R220" s="4" t="s">
        <v>38</v>
      </c>
      <c r="S220" s="4">
        <v>0</v>
      </c>
      <c r="T220" s="4">
        <v>0</v>
      </c>
      <c r="U220" s="4">
        <v>0</v>
      </c>
      <c r="V220" s="4" t="s">
        <v>32</v>
      </c>
      <c r="W220" s="4" t="s">
        <v>32</v>
      </c>
      <c r="X220" s="4" t="s">
        <v>32</v>
      </c>
      <c r="Y220" s="4" t="s">
        <v>32</v>
      </c>
      <c r="Z220" s="4" t="s">
        <v>32</v>
      </c>
      <c r="AA220" s="4" t="s">
        <v>32</v>
      </c>
    </row>
    <row r="221" s="4" customFormat="1" spans="1:27">
      <c r="A221" s="4" t="s">
        <v>105</v>
      </c>
      <c r="B221" s="4" t="s">
        <v>28</v>
      </c>
      <c r="C221" s="4">
        <v>20213572</v>
      </c>
      <c r="D221" s="19">
        <v>254720570390</v>
      </c>
      <c r="E221" s="21">
        <v>46010.6447685185</v>
      </c>
      <c r="F221" s="4">
        <v>597.26</v>
      </c>
      <c r="G221" s="4">
        <v>0</v>
      </c>
      <c r="H221" s="4">
        <v>597.26</v>
      </c>
      <c r="I221" s="4">
        <v>79.76</v>
      </c>
      <c r="J221" s="4">
        <v>0</v>
      </c>
      <c r="K221" s="4">
        <v>79.76</v>
      </c>
      <c r="L221" s="4">
        <v>93.98</v>
      </c>
      <c r="M221" s="4">
        <v>12499</v>
      </c>
      <c r="N221" s="4">
        <v>0.57</v>
      </c>
      <c r="O221" s="4">
        <v>76</v>
      </c>
      <c r="P221" s="4" t="s">
        <v>29</v>
      </c>
      <c r="Q221" s="4" t="s">
        <v>30</v>
      </c>
      <c r="R221" s="4" t="s">
        <v>38</v>
      </c>
      <c r="S221" s="4">
        <v>0</v>
      </c>
      <c r="T221" s="4">
        <v>0</v>
      </c>
      <c r="U221" s="4">
        <v>0</v>
      </c>
      <c r="V221" s="4" t="s">
        <v>32</v>
      </c>
      <c r="W221" s="4" t="s">
        <v>32</v>
      </c>
      <c r="X221" s="4" t="s">
        <v>32</v>
      </c>
      <c r="Y221" s="4" t="s">
        <v>32</v>
      </c>
      <c r="Z221" s="4" t="s">
        <v>32</v>
      </c>
      <c r="AA221" s="4" t="s">
        <v>32</v>
      </c>
    </row>
    <row r="222" s="4" customFormat="1" spans="1:27">
      <c r="A222" s="4" t="s">
        <v>105</v>
      </c>
      <c r="B222" s="4" t="s">
        <v>28</v>
      </c>
      <c r="C222" s="4">
        <v>11718720</v>
      </c>
      <c r="D222" s="19">
        <v>254720804258</v>
      </c>
      <c r="E222" s="21">
        <v>45278.3194212963</v>
      </c>
      <c r="F222" s="4">
        <v>358.87</v>
      </c>
      <c r="G222" s="4">
        <v>0</v>
      </c>
      <c r="H222" s="4">
        <v>358.87</v>
      </c>
      <c r="I222" s="4">
        <v>100.34</v>
      </c>
      <c r="J222" s="4">
        <v>0</v>
      </c>
      <c r="K222" s="4">
        <v>100.34</v>
      </c>
      <c r="L222" s="4">
        <v>162.35</v>
      </c>
      <c r="M222" s="4">
        <v>21593</v>
      </c>
      <c r="N222" s="4">
        <v>136.81</v>
      </c>
      <c r="O222" s="4">
        <v>18195.35</v>
      </c>
      <c r="P222" s="4" t="s">
        <v>29</v>
      </c>
      <c r="Q222" s="4" t="s">
        <v>30</v>
      </c>
      <c r="R222" s="4" t="s">
        <v>38</v>
      </c>
      <c r="S222" s="4">
        <v>0</v>
      </c>
      <c r="T222" s="4">
        <v>0</v>
      </c>
      <c r="U222" s="4">
        <v>0</v>
      </c>
      <c r="V222" s="4" t="s">
        <v>32</v>
      </c>
      <c r="W222" s="4" t="s">
        <v>32</v>
      </c>
      <c r="X222" s="4" t="s">
        <v>32</v>
      </c>
      <c r="Y222" s="4" t="s">
        <v>32</v>
      </c>
      <c r="Z222" s="4" t="s">
        <v>32</v>
      </c>
      <c r="AA222" s="4" t="s">
        <v>32</v>
      </c>
    </row>
    <row r="223" s="4" customFormat="1" spans="1:27">
      <c r="A223" s="4" t="s">
        <v>105</v>
      </c>
      <c r="B223" s="4" t="s">
        <v>28</v>
      </c>
      <c r="C223" s="4">
        <v>16156752</v>
      </c>
      <c r="D223" s="19">
        <v>254721105988</v>
      </c>
      <c r="E223" s="21">
        <v>45755.7847106481</v>
      </c>
      <c r="F223" s="4">
        <v>140.52</v>
      </c>
      <c r="G223" s="4">
        <v>54.38</v>
      </c>
      <c r="H223" s="4">
        <v>86.14</v>
      </c>
      <c r="I223" s="4">
        <v>15.95</v>
      </c>
      <c r="J223" s="4">
        <v>21.45</v>
      </c>
      <c r="K223" s="4">
        <v>-5.5</v>
      </c>
      <c r="L223" s="4">
        <v>68.84</v>
      </c>
      <c r="M223" s="4">
        <v>9156</v>
      </c>
      <c r="N223" s="4">
        <v>9.18</v>
      </c>
      <c r="O223" s="4">
        <v>1220.75</v>
      </c>
      <c r="P223" s="4" t="s">
        <v>35</v>
      </c>
      <c r="Q223" s="4" t="s">
        <v>30</v>
      </c>
      <c r="R223" s="4" t="s">
        <v>38</v>
      </c>
      <c r="S223" s="4">
        <v>2000</v>
      </c>
      <c r="T223" s="4">
        <v>0</v>
      </c>
      <c r="U223" s="4">
        <v>0</v>
      </c>
      <c r="V223" s="4" t="s">
        <v>32</v>
      </c>
      <c r="W223" s="4" t="s">
        <v>32</v>
      </c>
      <c r="X223" s="4" t="s">
        <v>32</v>
      </c>
      <c r="Y223" s="4" t="s">
        <v>32</v>
      </c>
      <c r="Z223" s="4" t="s">
        <v>32</v>
      </c>
      <c r="AA223" s="4" t="s">
        <v>32</v>
      </c>
    </row>
    <row r="224" s="4" customFormat="1" spans="1:27">
      <c r="A224" s="4" t="s">
        <v>105</v>
      </c>
      <c r="B224" s="4" t="s">
        <v>28</v>
      </c>
      <c r="C224" s="4">
        <v>2139792</v>
      </c>
      <c r="D224" s="19">
        <v>254721882488</v>
      </c>
      <c r="E224" s="21">
        <v>44053.381724537</v>
      </c>
      <c r="F224" s="4">
        <v>267.07</v>
      </c>
      <c r="G224" s="4">
        <v>0</v>
      </c>
      <c r="H224" s="4">
        <v>267.07</v>
      </c>
      <c r="I224" s="4">
        <v>8.88</v>
      </c>
      <c r="J224" s="4">
        <v>0</v>
      </c>
      <c r="K224" s="4">
        <v>8.88</v>
      </c>
      <c r="L224" s="4">
        <v>62.75</v>
      </c>
      <c r="M224" s="4">
        <v>8346</v>
      </c>
      <c r="N224" s="4">
        <v>16.59</v>
      </c>
      <c r="O224" s="4">
        <v>2206.85</v>
      </c>
      <c r="P224" s="4" t="s">
        <v>34</v>
      </c>
      <c r="Q224" s="4" t="s">
        <v>30</v>
      </c>
      <c r="R224" s="4" t="s">
        <v>38</v>
      </c>
      <c r="S224" s="4">
        <v>0</v>
      </c>
      <c r="T224" s="4">
        <v>0</v>
      </c>
      <c r="U224" s="4">
        <v>0</v>
      </c>
      <c r="V224" s="4" t="s">
        <v>32</v>
      </c>
      <c r="W224" s="4" t="s">
        <v>32</v>
      </c>
      <c r="X224" s="4" t="s">
        <v>32</v>
      </c>
      <c r="Y224" s="4" t="s">
        <v>32</v>
      </c>
      <c r="Z224" s="4" t="s">
        <v>32</v>
      </c>
      <c r="AA224" s="4" t="s">
        <v>32</v>
      </c>
    </row>
    <row r="225" s="4" customFormat="1" spans="1:27">
      <c r="A225" s="4" t="s">
        <v>105</v>
      </c>
      <c r="B225" s="4" t="s">
        <v>28</v>
      </c>
      <c r="C225" s="4">
        <v>2230881</v>
      </c>
      <c r="D225" s="19">
        <v>254722926377</v>
      </c>
      <c r="E225" s="21">
        <v>44060.8314351852</v>
      </c>
      <c r="F225" s="4">
        <v>444.53</v>
      </c>
      <c r="G225" s="4">
        <v>0</v>
      </c>
      <c r="H225" s="4">
        <v>444.53</v>
      </c>
      <c r="I225" s="4">
        <v>51.42</v>
      </c>
      <c r="J225" s="4">
        <v>0</v>
      </c>
      <c r="K225" s="4">
        <v>51.42</v>
      </c>
      <c r="L225" s="4">
        <v>54.14</v>
      </c>
      <c r="M225" s="4">
        <v>7200</v>
      </c>
      <c r="N225" s="4">
        <v>51.43</v>
      </c>
      <c r="O225" s="4">
        <v>6840</v>
      </c>
      <c r="P225" s="4" t="s">
        <v>29</v>
      </c>
      <c r="Q225" s="4" t="s">
        <v>30</v>
      </c>
      <c r="R225" s="4" t="s">
        <v>38</v>
      </c>
      <c r="S225" s="4">
        <v>0</v>
      </c>
      <c r="T225" s="4">
        <v>0</v>
      </c>
      <c r="U225" s="4">
        <v>0</v>
      </c>
      <c r="V225" s="4" t="s">
        <v>32</v>
      </c>
      <c r="W225" s="4" t="s">
        <v>32</v>
      </c>
      <c r="X225" s="4" t="s">
        <v>32</v>
      </c>
      <c r="Y225" s="4" t="s">
        <v>32</v>
      </c>
      <c r="Z225" s="4" t="s">
        <v>32</v>
      </c>
      <c r="AA225" s="4" t="s">
        <v>32</v>
      </c>
    </row>
    <row r="226" s="4" customFormat="1" spans="1:27">
      <c r="A226" s="4" t="s">
        <v>105</v>
      </c>
      <c r="B226" s="4" t="s">
        <v>28</v>
      </c>
      <c r="C226" s="4">
        <v>12651370</v>
      </c>
      <c r="D226" s="19">
        <v>254725075313</v>
      </c>
      <c r="E226" s="21">
        <v>45388.4376273148</v>
      </c>
      <c r="F226" s="4">
        <v>269.5</v>
      </c>
      <c r="G226" s="4">
        <v>115.53</v>
      </c>
      <c r="H226" s="4">
        <v>153.97</v>
      </c>
      <c r="I226" s="4">
        <v>-9.75</v>
      </c>
      <c r="J226" s="4">
        <v>2.96</v>
      </c>
      <c r="K226" s="4">
        <v>-12.71</v>
      </c>
      <c r="L226" s="4">
        <v>81.15</v>
      </c>
      <c r="M226" s="4">
        <v>10793</v>
      </c>
      <c r="N226" s="4">
        <v>10.93</v>
      </c>
      <c r="O226" s="4">
        <v>1453.5</v>
      </c>
      <c r="P226" s="4" t="s">
        <v>35</v>
      </c>
      <c r="Q226" s="4" t="s">
        <v>30</v>
      </c>
      <c r="R226" s="4" t="s">
        <v>38</v>
      </c>
      <c r="S226" s="4">
        <v>2000</v>
      </c>
      <c r="T226" s="4">
        <v>0</v>
      </c>
      <c r="U226" s="4">
        <v>0</v>
      </c>
      <c r="V226" s="4" t="s">
        <v>32</v>
      </c>
      <c r="W226" s="4" t="s">
        <v>32</v>
      </c>
      <c r="X226" s="4" t="s">
        <v>32</v>
      </c>
      <c r="Y226" s="4" t="s">
        <v>32</v>
      </c>
      <c r="Z226" s="4" t="s">
        <v>32</v>
      </c>
      <c r="AA226" s="4" t="s">
        <v>32</v>
      </c>
    </row>
    <row r="227" s="4" customFormat="1" spans="1:27">
      <c r="A227" s="4" t="s">
        <v>105</v>
      </c>
      <c r="B227" s="4" t="s">
        <v>28</v>
      </c>
      <c r="C227" s="4">
        <v>15408520</v>
      </c>
      <c r="D227" s="19">
        <v>254725275696</v>
      </c>
      <c r="E227" s="21">
        <v>45668.5778125</v>
      </c>
      <c r="F227" s="4">
        <v>1491.69</v>
      </c>
      <c r="G227" s="4">
        <v>0</v>
      </c>
      <c r="H227" s="4">
        <v>1491.69</v>
      </c>
      <c r="I227" s="4">
        <v>69.17</v>
      </c>
      <c r="J227" s="4">
        <v>0</v>
      </c>
      <c r="K227" s="4">
        <v>69.17</v>
      </c>
      <c r="L227" s="4">
        <v>138.7</v>
      </c>
      <c r="M227" s="4">
        <v>18447</v>
      </c>
      <c r="N227" s="4">
        <v>59.68</v>
      </c>
      <c r="O227" s="4">
        <v>7937.25</v>
      </c>
      <c r="P227" s="4" t="s">
        <v>34</v>
      </c>
      <c r="Q227" s="4" t="s">
        <v>30</v>
      </c>
      <c r="R227" s="4" t="s">
        <v>38</v>
      </c>
      <c r="S227" s="4">
        <v>0</v>
      </c>
      <c r="T227" s="4">
        <v>0</v>
      </c>
      <c r="U227" s="4">
        <v>0</v>
      </c>
      <c r="V227" s="4" t="s">
        <v>32</v>
      </c>
      <c r="W227" s="4" t="s">
        <v>32</v>
      </c>
      <c r="X227" s="4" t="s">
        <v>32</v>
      </c>
      <c r="Y227" s="4" t="s">
        <v>32</v>
      </c>
      <c r="Z227" s="4" t="s">
        <v>32</v>
      </c>
      <c r="AA227" s="4" t="s">
        <v>32</v>
      </c>
    </row>
    <row r="228" s="4" customFormat="1" spans="1:27">
      <c r="A228" s="4" t="s">
        <v>105</v>
      </c>
      <c r="B228" s="4" t="s">
        <v>28</v>
      </c>
      <c r="C228" s="4">
        <v>18069180</v>
      </c>
      <c r="D228" s="19">
        <v>254725906100</v>
      </c>
      <c r="E228" s="21">
        <v>45890.7758333333</v>
      </c>
      <c r="F228" s="4">
        <v>924.22</v>
      </c>
      <c r="G228" s="4">
        <v>0</v>
      </c>
      <c r="H228" s="4">
        <v>924.22</v>
      </c>
      <c r="I228" s="4">
        <v>24.96</v>
      </c>
      <c r="J228" s="4">
        <v>0</v>
      </c>
      <c r="K228" s="4">
        <v>24.96</v>
      </c>
      <c r="L228" s="4">
        <v>271.61</v>
      </c>
      <c r="M228" s="4">
        <v>36124</v>
      </c>
      <c r="N228" s="4">
        <v>84.03</v>
      </c>
      <c r="O228" s="4">
        <v>11175.8</v>
      </c>
      <c r="P228" s="4" t="s">
        <v>29</v>
      </c>
      <c r="Q228" s="4" t="s">
        <v>30</v>
      </c>
      <c r="R228" s="4" t="s">
        <v>38</v>
      </c>
      <c r="S228" s="4">
        <v>0</v>
      </c>
      <c r="T228" s="4">
        <v>0</v>
      </c>
      <c r="U228" s="4">
        <v>0</v>
      </c>
      <c r="V228" s="4" t="s">
        <v>32</v>
      </c>
      <c r="W228" s="4" t="s">
        <v>32</v>
      </c>
      <c r="X228" s="4" t="s">
        <v>32</v>
      </c>
      <c r="Y228" s="4" t="s">
        <v>32</v>
      </c>
      <c r="Z228" s="4" t="s">
        <v>32</v>
      </c>
      <c r="AA228" s="4" t="s">
        <v>32</v>
      </c>
    </row>
    <row r="229" s="4" customFormat="1" spans="1:27">
      <c r="A229" s="4" t="s">
        <v>105</v>
      </c>
      <c r="B229" s="4" t="s">
        <v>28</v>
      </c>
      <c r="C229" s="4">
        <v>20598120</v>
      </c>
      <c r="D229" s="19">
        <v>254726706750</v>
      </c>
      <c r="E229" s="21">
        <v>46029.6381597222</v>
      </c>
      <c r="F229" s="4">
        <v>191.26</v>
      </c>
      <c r="G229" s="4">
        <v>0</v>
      </c>
      <c r="H229" s="4">
        <v>191.26</v>
      </c>
      <c r="I229" s="4">
        <v>27.6</v>
      </c>
      <c r="J229" s="4">
        <v>0</v>
      </c>
      <c r="K229" s="4">
        <v>27.6</v>
      </c>
      <c r="L229" s="4">
        <v>53.98</v>
      </c>
      <c r="M229" s="4">
        <v>7180</v>
      </c>
      <c r="N229" s="4">
        <v>42</v>
      </c>
      <c r="O229" s="4">
        <v>5586</v>
      </c>
      <c r="P229" s="4" t="s">
        <v>29</v>
      </c>
      <c r="Q229" s="4" t="s">
        <v>30</v>
      </c>
      <c r="R229" s="4" t="s">
        <v>38</v>
      </c>
      <c r="S229" s="4">
        <v>0</v>
      </c>
      <c r="T229" s="4">
        <v>0</v>
      </c>
      <c r="U229" s="4">
        <v>0</v>
      </c>
      <c r="V229" s="4" t="s">
        <v>32</v>
      </c>
      <c r="W229" s="4" t="s">
        <v>32</v>
      </c>
      <c r="X229" s="4" t="s">
        <v>32</v>
      </c>
      <c r="Y229" s="4" t="s">
        <v>32</v>
      </c>
      <c r="Z229" s="4" t="s">
        <v>32</v>
      </c>
      <c r="AA229" s="4" t="s">
        <v>32</v>
      </c>
    </row>
    <row r="230" s="4" customFormat="1" spans="1:27">
      <c r="A230" s="4" t="s">
        <v>105</v>
      </c>
      <c r="B230" s="4" t="s">
        <v>28</v>
      </c>
      <c r="C230" s="4">
        <v>2100252</v>
      </c>
      <c r="D230" s="19">
        <v>254727569262</v>
      </c>
      <c r="E230" s="21">
        <v>44049.7698032407</v>
      </c>
      <c r="F230" s="4">
        <v>284.48</v>
      </c>
      <c r="G230" s="4">
        <v>0</v>
      </c>
      <c r="H230" s="4">
        <v>284.48</v>
      </c>
      <c r="I230" s="4">
        <v>17.73</v>
      </c>
      <c r="J230" s="4">
        <v>0</v>
      </c>
      <c r="K230" s="4">
        <v>17.73</v>
      </c>
      <c r="L230" s="4">
        <v>59.42</v>
      </c>
      <c r="M230" s="4">
        <v>7903</v>
      </c>
      <c r="N230" s="4">
        <v>0.68</v>
      </c>
      <c r="O230" s="4">
        <v>90.25</v>
      </c>
      <c r="P230" s="4" t="s">
        <v>34</v>
      </c>
      <c r="Q230" s="4" t="s">
        <v>30</v>
      </c>
      <c r="R230" s="4" t="s">
        <v>38</v>
      </c>
      <c r="S230" s="4">
        <v>0</v>
      </c>
      <c r="T230" s="4">
        <v>0</v>
      </c>
      <c r="U230" s="4">
        <v>0</v>
      </c>
      <c r="V230" s="4" t="s">
        <v>32</v>
      </c>
      <c r="W230" s="4" t="s">
        <v>32</v>
      </c>
      <c r="X230" s="4" t="s">
        <v>32</v>
      </c>
      <c r="Y230" s="4" t="s">
        <v>32</v>
      </c>
      <c r="Z230" s="4" t="s">
        <v>32</v>
      </c>
      <c r="AA230" s="4" t="s">
        <v>32</v>
      </c>
    </row>
    <row r="231" s="4" customFormat="1" spans="1:27">
      <c r="A231" s="4" t="s">
        <v>105</v>
      </c>
      <c r="B231" s="4" t="s">
        <v>28</v>
      </c>
      <c r="C231" s="4">
        <v>4534010</v>
      </c>
      <c r="D231" s="19">
        <v>254727994988</v>
      </c>
      <c r="E231" s="21">
        <v>44328.441099537</v>
      </c>
      <c r="F231" s="4">
        <v>2049.89</v>
      </c>
      <c r="G231" s="4">
        <v>0.38</v>
      </c>
      <c r="H231" s="4">
        <v>2049.51</v>
      </c>
      <c r="I231" s="4">
        <v>27.47</v>
      </c>
      <c r="J231" s="4">
        <v>0.38</v>
      </c>
      <c r="K231" s="4">
        <v>27.1</v>
      </c>
      <c r="L231" s="4">
        <v>366.89</v>
      </c>
      <c r="M231" s="4">
        <v>48797</v>
      </c>
      <c r="N231" s="4">
        <v>43.71</v>
      </c>
      <c r="O231" s="4">
        <v>5814</v>
      </c>
      <c r="P231" s="4" t="s">
        <v>34</v>
      </c>
      <c r="Q231" s="4" t="s">
        <v>30</v>
      </c>
      <c r="R231" s="4" t="s">
        <v>38</v>
      </c>
      <c r="S231" s="4">
        <v>0</v>
      </c>
      <c r="T231" s="4">
        <v>0</v>
      </c>
      <c r="U231" s="4">
        <v>0</v>
      </c>
      <c r="V231" s="4" t="s">
        <v>32</v>
      </c>
      <c r="W231" s="4" t="s">
        <v>32</v>
      </c>
      <c r="X231" s="4" t="s">
        <v>32</v>
      </c>
      <c r="Y231" s="4" t="s">
        <v>32</v>
      </c>
      <c r="Z231" s="4" t="s">
        <v>32</v>
      </c>
      <c r="AA231" s="4" t="s">
        <v>32</v>
      </c>
    </row>
    <row r="232" s="4" customFormat="1" spans="1:27">
      <c r="A232" s="4" t="s">
        <v>105</v>
      </c>
      <c r="B232" s="4" t="s">
        <v>28</v>
      </c>
      <c r="C232" s="4">
        <v>13395280</v>
      </c>
      <c r="D232" s="19">
        <v>254728820482</v>
      </c>
      <c r="E232" s="21">
        <v>45504.3784027778</v>
      </c>
      <c r="F232" s="4">
        <v>577.14</v>
      </c>
      <c r="G232" s="4">
        <v>0</v>
      </c>
      <c r="H232" s="4">
        <v>577.14</v>
      </c>
      <c r="I232" s="4">
        <v>46.16</v>
      </c>
      <c r="J232" s="4">
        <v>0</v>
      </c>
      <c r="K232" s="4">
        <v>46.16</v>
      </c>
      <c r="L232" s="4">
        <v>105.34</v>
      </c>
      <c r="M232" s="4">
        <v>14010</v>
      </c>
      <c r="N232" s="4">
        <v>85.79</v>
      </c>
      <c r="O232" s="4">
        <v>11409.5</v>
      </c>
      <c r="P232" s="4" t="s">
        <v>34</v>
      </c>
      <c r="Q232" s="4" t="s">
        <v>30</v>
      </c>
      <c r="R232" s="4" t="s">
        <v>38</v>
      </c>
      <c r="S232" s="4">
        <v>0</v>
      </c>
      <c r="T232" s="4">
        <v>0</v>
      </c>
      <c r="U232" s="4">
        <v>0</v>
      </c>
      <c r="V232" s="4" t="s">
        <v>32</v>
      </c>
      <c r="W232" s="4" t="s">
        <v>32</v>
      </c>
      <c r="X232" s="4" t="s">
        <v>32</v>
      </c>
      <c r="Y232" s="4" t="s">
        <v>32</v>
      </c>
      <c r="Z232" s="4" t="s">
        <v>32</v>
      </c>
      <c r="AA232" s="4" t="s">
        <v>32</v>
      </c>
    </row>
    <row r="233" s="4" customFormat="1" spans="1:27">
      <c r="A233" s="4" t="s">
        <v>105</v>
      </c>
      <c r="B233" s="4" t="s">
        <v>28</v>
      </c>
      <c r="C233" s="4">
        <v>20267270</v>
      </c>
      <c r="D233" s="19">
        <v>254729893155</v>
      </c>
      <c r="E233" s="21">
        <v>46013.9158449074</v>
      </c>
      <c r="F233" s="4">
        <v>1115.32</v>
      </c>
      <c r="G233" s="4">
        <v>28.32</v>
      </c>
      <c r="H233" s="4">
        <v>1086.99</v>
      </c>
      <c r="I233" s="4">
        <v>27.5</v>
      </c>
      <c r="J233" s="4">
        <v>14.14</v>
      </c>
      <c r="K233" s="4">
        <v>13.36</v>
      </c>
      <c r="L233" s="4">
        <v>82.41</v>
      </c>
      <c r="M233" s="4">
        <v>10961</v>
      </c>
      <c r="N233" s="4">
        <v>0</v>
      </c>
      <c r="O233" s="4">
        <v>0</v>
      </c>
      <c r="P233" s="4" t="s">
        <v>29</v>
      </c>
      <c r="Q233" s="4" t="s">
        <v>30</v>
      </c>
      <c r="R233" s="4" t="s">
        <v>38</v>
      </c>
      <c r="S233" s="4">
        <v>0</v>
      </c>
      <c r="T233" s="4">
        <v>0</v>
      </c>
      <c r="U233" s="4">
        <v>0</v>
      </c>
      <c r="V233" s="4" t="s">
        <v>32</v>
      </c>
      <c r="W233" s="4" t="s">
        <v>32</v>
      </c>
      <c r="X233" s="4" t="s">
        <v>32</v>
      </c>
      <c r="Y233" s="4" t="s">
        <v>32</v>
      </c>
      <c r="Z233" s="4" t="s">
        <v>32</v>
      </c>
      <c r="AA233" s="4" t="s">
        <v>32</v>
      </c>
    </row>
    <row r="234" s="4" customFormat="1" spans="1:27">
      <c r="A234" s="4" t="s">
        <v>105</v>
      </c>
      <c r="B234" s="4" t="s">
        <v>28</v>
      </c>
      <c r="C234" s="4">
        <v>14422351</v>
      </c>
      <c r="D234" s="19">
        <v>254729930399</v>
      </c>
      <c r="E234" s="21">
        <v>45599.3912152778</v>
      </c>
      <c r="F234" s="4">
        <v>3951.33</v>
      </c>
      <c r="G234" s="4">
        <v>0</v>
      </c>
      <c r="H234" s="4">
        <v>3951.33</v>
      </c>
      <c r="I234" s="4">
        <v>29.07</v>
      </c>
      <c r="J234" s="4">
        <v>0</v>
      </c>
      <c r="K234" s="4">
        <v>29.07</v>
      </c>
      <c r="L234" s="4">
        <v>539.11</v>
      </c>
      <c r="M234" s="4">
        <v>71701</v>
      </c>
      <c r="N234" s="4">
        <v>466.08</v>
      </c>
      <c r="O234" s="4">
        <v>61988.45</v>
      </c>
      <c r="P234" s="4" t="s">
        <v>29</v>
      </c>
      <c r="Q234" s="4" t="s">
        <v>30</v>
      </c>
      <c r="R234" s="4" t="s">
        <v>38</v>
      </c>
      <c r="S234" s="4">
        <v>0</v>
      </c>
      <c r="T234" s="4">
        <v>0</v>
      </c>
      <c r="U234" s="4">
        <v>0</v>
      </c>
      <c r="V234" s="4" t="s">
        <v>32</v>
      </c>
      <c r="W234" s="4" t="s">
        <v>32</v>
      </c>
      <c r="X234" s="4" t="s">
        <v>32</v>
      </c>
      <c r="Y234" s="4" t="s">
        <v>32</v>
      </c>
      <c r="Z234" s="4" t="s">
        <v>32</v>
      </c>
      <c r="AA234" s="4" t="s">
        <v>32</v>
      </c>
    </row>
    <row r="235" s="4" customFormat="1" spans="1:27">
      <c r="A235" s="4" t="s">
        <v>105</v>
      </c>
      <c r="B235" s="4" t="s">
        <v>28</v>
      </c>
      <c r="C235" s="4">
        <v>4111310</v>
      </c>
      <c r="D235" s="19">
        <v>254740156781</v>
      </c>
      <c r="E235" s="21">
        <v>44294.4494907407</v>
      </c>
      <c r="F235" s="4">
        <v>1179.01</v>
      </c>
      <c r="G235" s="4">
        <v>0</v>
      </c>
      <c r="H235" s="4">
        <v>1179.01</v>
      </c>
      <c r="I235" s="4">
        <v>55.36</v>
      </c>
      <c r="J235" s="4">
        <v>0</v>
      </c>
      <c r="K235" s="4">
        <v>55.36</v>
      </c>
      <c r="L235" s="4">
        <v>149.59</v>
      </c>
      <c r="M235" s="4">
        <v>19895</v>
      </c>
      <c r="N235" s="4">
        <v>0</v>
      </c>
      <c r="O235" s="4">
        <v>0</v>
      </c>
      <c r="P235" s="4" t="s">
        <v>29</v>
      </c>
      <c r="Q235" s="4" t="s">
        <v>30</v>
      </c>
      <c r="R235" s="4" t="s">
        <v>38</v>
      </c>
      <c r="S235" s="4">
        <v>0</v>
      </c>
      <c r="T235" s="4">
        <v>0</v>
      </c>
      <c r="U235" s="4">
        <v>0</v>
      </c>
      <c r="V235" s="4" t="s">
        <v>32</v>
      </c>
      <c r="W235" s="4" t="s">
        <v>32</v>
      </c>
      <c r="X235" s="4" t="s">
        <v>32</v>
      </c>
      <c r="Y235" s="4" t="s">
        <v>32</v>
      </c>
      <c r="Z235" s="4" t="s">
        <v>32</v>
      </c>
      <c r="AA235" s="4" t="s">
        <v>32</v>
      </c>
    </row>
    <row r="236" s="4" customFormat="1" spans="1:27">
      <c r="A236" s="4" t="s">
        <v>105</v>
      </c>
      <c r="B236" s="4" t="s">
        <v>28</v>
      </c>
      <c r="C236" s="4">
        <v>2159140</v>
      </c>
      <c r="D236" s="19">
        <v>254741672328</v>
      </c>
      <c r="E236" s="21">
        <v>44055.5055555556</v>
      </c>
      <c r="F236" s="4">
        <v>244.62</v>
      </c>
      <c r="G236" s="4">
        <v>0</v>
      </c>
      <c r="H236" s="4">
        <v>244.62</v>
      </c>
      <c r="I236" s="4">
        <v>16.84</v>
      </c>
      <c r="J236" s="4">
        <v>0</v>
      </c>
      <c r="K236" s="4">
        <v>16.84</v>
      </c>
      <c r="L236" s="4">
        <v>90.98</v>
      </c>
      <c r="M236" s="4">
        <v>12100</v>
      </c>
      <c r="N236" s="4">
        <v>31.93</v>
      </c>
      <c r="O236" s="4">
        <v>4246.5</v>
      </c>
      <c r="P236" s="4" t="s">
        <v>34</v>
      </c>
      <c r="Q236" s="4" t="s">
        <v>30</v>
      </c>
      <c r="R236" s="4" t="s">
        <v>38</v>
      </c>
      <c r="S236" s="4">
        <v>0</v>
      </c>
      <c r="T236" s="4">
        <v>0</v>
      </c>
      <c r="U236" s="4">
        <v>0</v>
      </c>
      <c r="V236" s="4" t="s">
        <v>32</v>
      </c>
      <c r="W236" s="4" t="s">
        <v>32</v>
      </c>
      <c r="X236" s="4" t="s">
        <v>32</v>
      </c>
      <c r="Y236" s="4" t="s">
        <v>32</v>
      </c>
      <c r="Z236" s="4" t="s">
        <v>32</v>
      </c>
      <c r="AA236" s="4" t="s">
        <v>32</v>
      </c>
    </row>
    <row r="237" s="4" customFormat="1" spans="1:27">
      <c r="A237" s="4" t="s">
        <v>105</v>
      </c>
      <c r="B237" s="4" t="s">
        <v>28</v>
      </c>
      <c r="C237" s="4">
        <v>1027322</v>
      </c>
      <c r="D237" s="19">
        <v>254741902476</v>
      </c>
      <c r="E237" s="21">
        <v>43994.3357523148</v>
      </c>
      <c r="F237" s="4">
        <v>320.08</v>
      </c>
      <c r="G237" s="4">
        <v>0.92</v>
      </c>
      <c r="H237" s="4">
        <v>319.17</v>
      </c>
      <c r="I237" s="4">
        <v>75.07</v>
      </c>
      <c r="J237" s="4">
        <v>0.92</v>
      </c>
      <c r="K237" s="4">
        <v>74.16</v>
      </c>
      <c r="L237" s="4">
        <v>97.12</v>
      </c>
      <c r="M237" s="4">
        <v>12917</v>
      </c>
      <c r="N237" s="4">
        <v>15</v>
      </c>
      <c r="O237" s="4">
        <v>1995</v>
      </c>
      <c r="P237" s="4" t="s">
        <v>34</v>
      </c>
      <c r="Q237" s="4" t="s">
        <v>30</v>
      </c>
      <c r="R237" s="4" t="s">
        <v>38</v>
      </c>
      <c r="S237" s="4">
        <v>0</v>
      </c>
      <c r="T237" s="4">
        <v>0</v>
      </c>
      <c r="U237" s="4">
        <v>0</v>
      </c>
      <c r="V237" s="4" t="s">
        <v>32</v>
      </c>
      <c r="W237" s="4" t="s">
        <v>32</v>
      </c>
      <c r="X237" s="4" t="s">
        <v>32</v>
      </c>
      <c r="Y237" s="4" t="s">
        <v>32</v>
      </c>
      <c r="Z237" s="4" t="s">
        <v>32</v>
      </c>
      <c r="AA237" s="4" t="s">
        <v>32</v>
      </c>
    </row>
    <row r="238" s="4" customFormat="1" spans="1:27">
      <c r="A238" s="4" t="s">
        <v>105</v>
      </c>
      <c r="B238" s="4" t="s">
        <v>28</v>
      </c>
      <c r="C238" s="4">
        <v>11500721</v>
      </c>
      <c r="D238" s="19">
        <v>254743262728</v>
      </c>
      <c r="E238" s="21">
        <v>45257.6712962963</v>
      </c>
      <c r="F238" s="4">
        <v>224.82</v>
      </c>
      <c r="G238" s="4">
        <v>0</v>
      </c>
      <c r="H238" s="4">
        <v>224.82</v>
      </c>
      <c r="I238" s="4">
        <v>33.65</v>
      </c>
      <c r="J238" s="4">
        <v>0</v>
      </c>
      <c r="K238" s="4">
        <v>33.65</v>
      </c>
      <c r="L238" s="4">
        <v>59.1</v>
      </c>
      <c r="M238" s="4">
        <v>7860</v>
      </c>
      <c r="N238" s="4">
        <v>0</v>
      </c>
      <c r="O238" s="4">
        <v>0</v>
      </c>
      <c r="P238" s="4" t="s">
        <v>29</v>
      </c>
      <c r="Q238" s="4" t="s">
        <v>30</v>
      </c>
      <c r="R238" s="4" t="s">
        <v>38</v>
      </c>
      <c r="S238" s="4">
        <v>0</v>
      </c>
      <c r="T238" s="4">
        <v>0</v>
      </c>
      <c r="U238" s="4">
        <v>0</v>
      </c>
      <c r="V238" s="4" t="s">
        <v>32</v>
      </c>
      <c r="W238" s="4" t="s">
        <v>32</v>
      </c>
      <c r="X238" s="4" t="s">
        <v>32</v>
      </c>
      <c r="Y238" s="4" t="s">
        <v>32</v>
      </c>
      <c r="Z238" s="4" t="s">
        <v>32</v>
      </c>
      <c r="AA238" s="4" t="s">
        <v>32</v>
      </c>
    </row>
    <row r="239" s="4" customFormat="1" spans="1:27">
      <c r="A239" s="4" t="s">
        <v>105</v>
      </c>
      <c r="B239" s="4" t="s">
        <v>28</v>
      </c>
      <c r="C239" s="4">
        <v>20556731</v>
      </c>
      <c r="D239" s="19">
        <v>254743664199</v>
      </c>
      <c r="E239" s="21">
        <v>46027.5474768518</v>
      </c>
      <c r="F239" s="4">
        <v>721.47</v>
      </c>
      <c r="G239" s="4">
        <v>325.13</v>
      </c>
      <c r="H239" s="4">
        <v>396.34</v>
      </c>
      <c r="I239" s="4">
        <v>-55.49</v>
      </c>
      <c r="J239" s="4">
        <v>-29.75</v>
      </c>
      <c r="K239" s="4">
        <v>-25.74</v>
      </c>
      <c r="L239" s="4">
        <v>271.48</v>
      </c>
      <c r="M239" s="4">
        <v>36107</v>
      </c>
      <c r="N239" s="4">
        <v>112.54</v>
      </c>
      <c r="O239" s="4">
        <v>14968.2</v>
      </c>
      <c r="P239" s="4" t="s">
        <v>35</v>
      </c>
      <c r="Q239" s="4" t="s">
        <v>30</v>
      </c>
      <c r="R239" s="4" t="s">
        <v>38</v>
      </c>
      <c r="S239" s="4">
        <v>2000</v>
      </c>
      <c r="T239" s="4">
        <v>0</v>
      </c>
      <c r="U239" s="4">
        <v>0</v>
      </c>
      <c r="V239" s="4" t="s">
        <v>32</v>
      </c>
      <c r="W239" s="4" t="s">
        <v>32</v>
      </c>
      <c r="X239" s="4" t="s">
        <v>32</v>
      </c>
      <c r="Y239" s="4" t="s">
        <v>32</v>
      </c>
      <c r="Z239" s="4" t="s">
        <v>32</v>
      </c>
      <c r="AA239" s="4" t="s">
        <v>32</v>
      </c>
    </row>
    <row r="240" s="4" customFormat="1" spans="1:27">
      <c r="A240" s="4" t="s">
        <v>105</v>
      </c>
      <c r="B240" s="4" t="s">
        <v>28</v>
      </c>
      <c r="C240" s="4">
        <v>15838840</v>
      </c>
      <c r="D240" s="19">
        <v>254748159116</v>
      </c>
      <c r="E240" s="21">
        <v>45700.7010763889</v>
      </c>
      <c r="F240" s="4">
        <v>1163.88</v>
      </c>
      <c r="G240" s="4">
        <v>1.59</v>
      </c>
      <c r="H240" s="4">
        <v>1162.28</v>
      </c>
      <c r="I240" s="4">
        <v>43.2</v>
      </c>
      <c r="J240" s="4">
        <v>-0.07</v>
      </c>
      <c r="K240" s="4">
        <v>43.27</v>
      </c>
      <c r="L240" s="4">
        <v>112.8</v>
      </c>
      <c r="M240" s="4">
        <v>15002</v>
      </c>
      <c r="N240" s="4">
        <v>5.96</v>
      </c>
      <c r="O240" s="4">
        <v>793.25</v>
      </c>
      <c r="P240" s="4" t="s">
        <v>29</v>
      </c>
      <c r="Q240" s="4" t="s">
        <v>30</v>
      </c>
      <c r="R240" s="4" t="s">
        <v>38</v>
      </c>
      <c r="S240" s="4">
        <v>0</v>
      </c>
      <c r="T240" s="4">
        <v>0</v>
      </c>
      <c r="U240" s="4">
        <v>0</v>
      </c>
      <c r="V240" s="4" t="s">
        <v>32</v>
      </c>
      <c r="W240" s="4" t="s">
        <v>32</v>
      </c>
      <c r="X240" s="4" t="s">
        <v>32</v>
      </c>
      <c r="Y240" s="4" t="s">
        <v>32</v>
      </c>
      <c r="Z240" s="4" t="s">
        <v>32</v>
      </c>
      <c r="AA240" s="4" t="s">
        <v>32</v>
      </c>
    </row>
    <row r="241" s="4" customFormat="1" spans="1:27">
      <c r="A241" s="4" t="s">
        <v>105</v>
      </c>
      <c r="B241" s="4" t="s">
        <v>28</v>
      </c>
      <c r="C241" s="4">
        <v>1112422</v>
      </c>
      <c r="D241" s="19">
        <v>254757695841</v>
      </c>
      <c r="E241" s="21">
        <v>43999.3634490741</v>
      </c>
      <c r="F241" s="4">
        <v>242.22</v>
      </c>
      <c r="G241" s="4">
        <v>0.05</v>
      </c>
      <c r="H241" s="4">
        <v>242.17</v>
      </c>
      <c r="I241" s="4">
        <v>31.02</v>
      </c>
      <c r="J241" s="4">
        <v>0.05</v>
      </c>
      <c r="K241" s="4">
        <v>30.97</v>
      </c>
      <c r="L241" s="4">
        <v>62.69</v>
      </c>
      <c r="M241" s="4">
        <v>8338</v>
      </c>
      <c r="N241" s="4">
        <v>59.56</v>
      </c>
      <c r="O241" s="4">
        <v>7921.1</v>
      </c>
      <c r="P241" s="4" t="s">
        <v>29</v>
      </c>
      <c r="Q241" s="4" t="s">
        <v>30</v>
      </c>
      <c r="R241" s="4" t="s">
        <v>38</v>
      </c>
      <c r="S241" s="4">
        <v>0</v>
      </c>
      <c r="T241" s="4">
        <v>0</v>
      </c>
      <c r="U241" s="4">
        <v>0</v>
      </c>
      <c r="V241" s="4" t="s">
        <v>32</v>
      </c>
      <c r="W241" s="4" t="s">
        <v>32</v>
      </c>
      <c r="X241" s="4" t="s">
        <v>32</v>
      </c>
      <c r="Y241" s="4" t="s">
        <v>32</v>
      </c>
      <c r="Z241" s="4" t="s">
        <v>32</v>
      </c>
      <c r="AA241" s="4" t="s">
        <v>32</v>
      </c>
    </row>
    <row r="242" s="4" customFormat="1" spans="1:27">
      <c r="A242" s="4" t="s">
        <v>105</v>
      </c>
      <c r="B242" s="4" t="s">
        <v>28</v>
      </c>
      <c r="C242" s="4">
        <v>11507512</v>
      </c>
      <c r="D242" s="19">
        <v>254768001060</v>
      </c>
      <c r="E242" s="21">
        <v>45258.2315393519</v>
      </c>
      <c r="F242" s="4">
        <v>377.3</v>
      </c>
      <c r="G242" s="4">
        <v>0</v>
      </c>
      <c r="H242" s="4">
        <v>377.3</v>
      </c>
      <c r="I242" s="4">
        <v>13.79</v>
      </c>
      <c r="J242" s="4">
        <v>0</v>
      </c>
      <c r="K242" s="4">
        <v>13.79</v>
      </c>
      <c r="L242" s="4">
        <v>80.78</v>
      </c>
      <c r="M242" s="4">
        <v>10744</v>
      </c>
      <c r="N242" s="4">
        <v>76.74</v>
      </c>
      <c r="O242" s="4">
        <v>10206.8</v>
      </c>
      <c r="P242" s="4" t="s">
        <v>29</v>
      </c>
      <c r="Q242" s="4" t="s">
        <v>30</v>
      </c>
      <c r="R242" s="4" t="s">
        <v>38</v>
      </c>
      <c r="S242" s="4">
        <v>0</v>
      </c>
      <c r="T242" s="4">
        <v>0</v>
      </c>
      <c r="U242" s="4">
        <v>0</v>
      </c>
      <c r="V242" s="4" t="s">
        <v>32</v>
      </c>
      <c r="W242" s="4" t="s">
        <v>32</v>
      </c>
      <c r="X242" s="4" t="s">
        <v>32</v>
      </c>
      <c r="Y242" s="4" t="s">
        <v>32</v>
      </c>
      <c r="Z242" s="4" t="s">
        <v>32</v>
      </c>
      <c r="AA242" s="4" t="s">
        <v>32</v>
      </c>
    </row>
    <row r="243" s="4" customFormat="1" spans="1:27">
      <c r="A243" s="4" t="s">
        <v>105</v>
      </c>
      <c r="B243" s="4" t="s">
        <v>28</v>
      </c>
      <c r="C243" s="4">
        <v>675391</v>
      </c>
      <c r="D243" s="19">
        <v>254768766227</v>
      </c>
      <c r="E243" s="21">
        <v>43938.1482060185</v>
      </c>
      <c r="F243" s="4">
        <v>591.76</v>
      </c>
      <c r="G243" s="4">
        <v>0.58</v>
      </c>
      <c r="H243" s="4">
        <v>591.18</v>
      </c>
      <c r="I243" s="4">
        <v>28.31</v>
      </c>
      <c r="J243" s="4">
        <v>0.4</v>
      </c>
      <c r="K243" s="4">
        <v>28.66</v>
      </c>
      <c r="L243" s="4">
        <v>69.77</v>
      </c>
      <c r="M243" s="4">
        <v>9280</v>
      </c>
      <c r="N243" s="4">
        <v>0</v>
      </c>
      <c r="O243" s="4">
        <v>0</v>
      </c>
      <c r="P243" s="4" t="s">
        <v>34</v>
      </c>
      <c r="Q243" s="4" t="s">
        <v>30</v>
      </c>
      <c r="R243" s="4" t="s">
        <v>38</v>
      </c>
      <c r="S243" s="4">
        <v>0</v>
      </c>
      <c r="T243" s="4">
        <v>0</v>
      </c>
      <c r="U243" s="4">
        <v>0</v>
      </c>
      <c r="V243" s="4" t="s">
        <v>32</v>
      </c>
      <c r="W243" s="4" t="s">
        <v>32</v>
      </c>
      <c r="X243" s="4" t="s">
        <v>32</v>
      </c>
      <c r="Y243" s="4" t="s">
        <v>32</v>
      </c>
      <c r="Z243" s="4" t="s">
        <v>32</v>
      </c>
      <c r="AA243" s="4" t="s">
        <v>32</v>
      </c>
    </row>
    <row r="244" s="4" customFormat="1" spans="1:27">
      <c r="A244" s="4" t="s">
        <v>105</v>
      </c>
      <c r="B244" s="4" t="s">
        <v>28</v>
      </c>
      <c r="C244" s="4">
        <v>22891322</v>
      </c>
      <c r="D244" s="19">
        <v>254768968416</v>
      </c>
      <c r="E244" s="21">
        <v>46157.8612962963</v>
      </c>
      <c r="F244" s="4">
        <v>692.32</v>
      </c>
      <c r="G244" s="4">
        <v>0</v>
      </c>
      <c r="H244" s="4">
        <v>692.32</v>
      </c>
      <c r="I244" s="4">
        <v>9.88</v>
      </c>
      <c r="J244" s="4">
        <v>0</v>
      </c>
      <c r="K244" s="4">
        <v>9.88</v>
      </c>
      <c r="L244" s="4">
        <v>56.13</v>
      </c>
      <c r="M244" s="4">
        <v>7465</v>
      </c>
      <c r="N244" s="4">
        <v>53.32</v>
      </c>
      <c r="O244" s="4">
        <v>7091.75</v>
      </c>
      <c r="P244" s="4" t="s">
        <v>29</v>
      </c>
      <c r="Q244" s="4" t="s">
        <v>30</v>
      </c>
      <c r="R244" s="4" t="s">
        <v>38</v>
      </c>
      <c r="S244" s="4">
        <v>0</v>
      </c>
      <c r="T244" s="4">
        <v>0</v>
      </c>
      <c r="U244" s="4">
        <v>0</v>
      </c>
      <c r="V244" s="4" t="s">
        <v>32</v>
      </c>
      <c r="W244" s="4" t="s">
        <v>32</v>
      </c>
      <c r="X244" s="4" t="s">
        <v>32</v>
      </c>
      <c r="Y244" s="4" t="s">
        <v>32</v>
      </c>
      <c r="Z244" s="4" t="s">
        <v>32</v>
      </c>
      <c r="AA244" s="4" t="s">
        <v>32</v>
      </c>
    </row>
    <row r="245" s="4" customFormat="1" spans="1:27">
      <c r="A245" s="4" t="s">
        <v>105</v>
      </c>
      <c r="B245" s="4" t="s">
        <v>28</v>
      </c>
      <c r="C245" s="4">
        <v>17779512</v>
      </c>
      <c r="D245" s="19">
        <v>254769198597</v>
      </c>
      <c r="E245" s="21">
        <v>45875.7969212963</v>
      </c>
      <c r="F245" s="4">
        <v>1174.78</v>
      </c>
      <c r="G245" s="4">
        <v>0.01</v>
      </c>
      <c r="H245" s="4">
        <v>1174.77</v>
      </c>
      <c r="I245" s="4">
        <v>76.73</v>
      </c>
      <c r="J245" s="4">
        <v>-0.01</v>
      </c>
      <c r="K245" s="4">
        <v>76.74</v>
      </c>
      <c r="L245" s="4">
        <v>107.86</v>
      </c>
      <c r="M245" s="4">
        <v>14345</v>
      </c>
      <c r="N245" s="4">
        <v>0</v>
      </c>
      <c r="O245" s="4">
        <v>0</v>
      </c>
      <c r="P245" s="4" t="s">
        <v>29</v>
      </c>
      <c r="Q245" s="4" t="s">
        <v>30</v>
      </c>
      <c r="R245" s="4" t="s">
        <v>38</v>
      </c>
      <c r="S245" s="4">
        <v>0</v>
      </c>
      <c r="T245" s="4">
        <v>0</v>
      </c>
      <c r="U245" s="4">
        <v>0</v>
      </c>
      <c r="V245" s="4" t="s">
        <v>32</v>
      </c>
      <c r="W245" s="4" t="s">
        <v>32</v>
      </c>
      <c r="X245" s="4" t="s">
        <v>32</v>
      </c>
      <c r="Y245" s="4" t="s">
        <v>32</v>
      </c>
      <c r="Z245" s="4" t="s">
        <v>32</v>
      </c>
      <c r="AA245" s="4" t="s">
        <v>32</v>
      </c>
    </row>
    <row r="246" s="4" customFormat="1" spans="1:27">
      <c r="A246" s="4" t="s">
        <v>105</v>
      </c>
      <c r="B246" s="4" t="s">
        <v>28</v>
      </c>
      <c r="C246" s="4">
        <v>13569290</v>
      </c>
      <c r="D246" s="19">
        <v>254769338060</v>
      </c>
      <c r="E246" s="21">
        <v>45537.564525463</v>
      </c>
      <c r="F246" s="4">
        <v>1653.64</v>
      </c>
      <c r="G246" s="4">
        <v>0.41</v>
      </c>
      <c r="H246" s="4">
        <v>1653.24</v>
      </c>
      <c r="I246" s="4">
        <v>68.91</v>
      </c>
      <c r="J246" s="4">
        <v>0.41</v>
      </c>
      <c r="K246" s="4">
        <v>68.5</v>
      </c>
      <c r="L246" s="4">
        <v>173.85</v>
      </c>
      <c r="M246" s="4">
        <v>23122</v>
      </c>
      <c r="N246" s="4">
        <v>11.94</v>
      </c>
      <c r="O246" s="4">
        <v>1588.4</v>
      </c>
      <c r="P246" s="4" t="s">
        <v>29</v>
      </c>
      <c r="Q246" s="4" t="s">
        <v>30</v>
      </c>
      <c r="R246" s="4" t="s">
        <v>38</v>
      </c>
      <c r="S246" s="4">
        <v>0</v>
      </c>
      <c r="T246" s="4">
        <v>0</v>
      </c>
      <c r="U246" s="4">
        <v>0</v>
      </c>
      <c r="V246" s="4" t="s">
        <v>32</v>
      </c>
      <c r="W246" s="4" t="s">
        <v>32</v>
      </c>
      <c r="X246" s="4" t="s">
        <v>32</v>
      </c>
      <c r="Y246" s="4" t="s">
        <v>32</v>
      </c>
      <c r="Z246" s="4" t="s">
        <v>32</v>
      </c>
      <c r="AA246" s="4" t="s">
        <v>32</v>
      </c>
    </row>
    <row r="247" s="4" customFormat="1" spans="1:27">
      <c r="A247" s="4" t="s">
        <v>105</v>
      </c>
      <c r="B247" s="4" t="s">
        <v>28</v>
      </c>
      <c r="C247" s="4">
        <v>17256152</v>
      </c>
      <c r="D247" s="19">
        <v>254769908165</v>
      </c>
      <c r="E247" s="21">
        <v>45841.8644328704</v>
      </c>
      <c r="F247" s="4">
        <v>6147.16</v>
      </c>
      <c r="G247" s="4">
        <v>0.95</v>
      </c>
      <c r="H247" s="4">
        <v>6146.22</v>
      </c>
      <c r="I247" s="4">
        <v>-56.4</v>
      </c>
      <c r="J247" s="4">
        <v>0.95</v>
      </c>
      <c r="K247" s="4">
        <v>93.02</v>
      </c>
      <c r="L247" s="4">
        <v>534.36</v>
      </c>
      <c r="M247" s="4">
        <v>71070</v>
      </c>
      <c r="N247" s="4">
        <v>45.88</v>
      </c>
      <c r="O247" s="4">
        <v>6102</v>
      </c>
      <c r="P247" s="4" t="s">
        <v>34</v>
      </c>
      <c r="Q247" s="4" t="s">
        <v>30</v>
      </c>
      <c r="R247" s="4" t="s">
        <v>38</v>
      </c>
      <c r="S247" s="4">
        <v>0</v>
      </c>
      <c r="T247" s="4">
        <v>0</v>
      </c>
      <c r="U247" s="4">
        <v>1</v>
      </c>
      <c r="V247" s="4">
        <v>1</v>
      </c>
      <c r="W247" s="4" t="s">
        <v>32</v>
      </c>
      <c r="X247" s="4" t="s">
        <v>32</v>
      </c>
      <c r="Y247" s="4" t="s">
        <v>32</v>
      </c>
      <c r="Z247" s="4" t="s">
        <v>32</v>
      </c>
      <c r="AA247" s="4" t="s">
        <v>32</v>
      </c>
    </row>
    <row r="248" s="4" customFormat="1" spans="1:27">
      <c r="A248" s="4" t="s">
        <v>105</v>
      </c>
      <c r="B248" s="4" t="s">
        <v>28</v>
      </c>
      <c r="C248" s="4">
        <v>16927190</v>
      </c>
      <c r="D248" s="19">
        <v>254790029270</v>
      </c>
      <c r="E248" s="21">
        <v>45816.3684722222</v>
      </c>
      <c r="F248" s="4">
        <v>3148.16</v>
      </c>
      <c r="G248" s="4">
        <v>0.71</v>
      </c>
      <c r="H248" s="4">
        <v>3147.45</v>
      </c>
      <c r="I248" s="4">
        <v>198.88</v>
      </c>
      <c r="J248" s="4">
        <v>0.61</v>
      </c>
      <c r="K248" s="4">
        <v>198.27</v>
      </c>
      <c r="L248" s="4">
        <v>838.03</v>
      </c>
      <c r="M248" s="4">
        <v>111458</v>
      </c>
      <c r="N248" s="4">
        <v>81.95</v>
      </c>
      <c r="O248" s="4">
        <v>10899.35</v>
      </c>
      <c r="P248" s="4" t="s">
        <v>34</v>
      </c>
      <c r="Q248" s="4" t="s">
        <v>30</v>
      </c>
      <c r="R248" s="4" t="s">
        <v>38</v>
      </c>
      <c r="S248" s="4">
        <v>0</v>
      </c>
      <c r="T248" s="4">
        <v>0</v>
      </c>
      <c r="U248" s="4">
        <v>0</v>
      </c>
      <c r="V248" s="4" t="s">
        <v>32</v>
      </c>
      <c r="W248" s="4" t="s">
        <v>32</v>
      </c>
      <c r="X248" s="4" t="s">
        <v>32</v>
      </c>
      <c r="Y248" s="4" t="s">
        <v>32</v>
      </c>
      <c r="Z248" s="4" t="s">
        <v>32</v>
      </c>
      <c r="AA248" s="4" t="s">
        <v>32</v>
      </c>
    </row>
    <row r="249" s="4" customFormat="1" spans="1:27">
      <c r="A249" s="4" t="s">
        <v>105</v>
      </c>
      <c r="B249" s="4" t="s">
        <v>28</v>
      </c>
      <c r="C249" s="4">
        <v>13147420</v>
      </c>
      <c r="D249" s="19">
        <v>254790760108</v>
      </c>
      <c r="E249" s="21">
        <v>45453.7669212963</v>
      </c>
      <c r="F249" s="4">
        <v>8107.32</v>
      </c>
      <c r="G249" s="4">
        <v>0</v>
      </c>
      <c r="H249" s="4">
        <v>8107.32</v>
      </c>
      <c r="I249" s="4">
        <v>-6110.07</v>
      </c>
      <c r="J249" s="4">
        <v>0</v>
      </c>
      <c r="K249" s="4">
        <v>536.41</v>
      </c>
      <c r="L249" s="4">
        <v>864.66</v>
      </c>
      <c r="M249" s="4">
        <v>115000</v>
      </c>
      <c r="N249" s="4">
        <v>150.38</v>
      </c>
      <c r="O249" s="4">
        <v>20000</v>
      </c>
      <c r="P249" s="4" t="s">
        <v>34</v>
      </c>
      <c r="Q249" s="4" t="s">
        <v>30</v>
      </c>
      <c r="R249" s="4" t="s">
        <v>38</v>
      </c>
      <c r="S249" s="4">
        <v>0</v>
      </c>
      <c r="T249" s="4">
        <v>0</v>
      </c>
      <c r="U249" s="4">
        <v>0</v>
      </c>
      <c r="V249" s="4" t="s">
        <v>32</v>
      </c>
      <c r="W249" s="4" t="s">
        <v>32</v>
      </c>
      <c r="X249" s="4" t="s">
        <v>32</v>
      </c>
      <c r="Y249" s="4" t="s">
        <v>32</v>
      </c>
      <c r="Z249" s="4" t="s">
        <v>32</v>
      </c>
      <c r="AA249" s="4" t="s">
        <v>32</v>
      </c>
    </row>
    <row r="250" s="4" customFormat="1" spans="1:27">
      <c r="A250" s="4" t="s">
        <v>105</v>
      </c>
      <c r="B250" s="4" t="s">
        <v>28</v>
      </c>
      <c r="C250" s="4">
        <v>15993772</v>
      </c>
      <c r="D250" s="19">
        <v>254792141332</v>
      </c>
      <c r="E250" s="21">
        <v>45729.6407060185</v>
      </c>
      <c r="F250" s="4">
        <v>307.29</v>
      </c>
      <c r="G250" s="4">
        <v>1.3</v>
      </c>
      <c r="H250" s="4">
        <v>305.99</v>
      </c>
      <c r="I250" s="4">
        <v>34.15</v>
      </c>
      <c r="J250" s="4">
        <v>0.48</v>
      </c>
      <c r="K250" s="4">
        <v>33.67</v>
      </c>
      <c r="L250" s="4">
        <v>112.89</v>
      </c>
      <c r="M250" s="4">
        <v>15014</v>
      </c>
      <c r="N250" s="4">
        <v>107.24</v>
      </c>
      <c r="O250" s="4">
        <v>14263.3</v>
      </c>
      <c r="P250" s="4" t="s">
        <v>29</v>
      </c>
      <c r="Q250" s="4" t="s">
        <v>30</v>
      </c>
      <c r="R250" s="4" t="s">
        <v>38</v>
      </c>
      <c r="S250" s="4">
        <v>0</v>
      </c>
      <c r="T250" s="4">
        <v>0</v>
      </c>
      <c r="U250" s="4">
        <v>0</v>
      </c>
      <c r="V250" s="4" t="s">
        <v>32</v>
      </c>
      <c r="W250" s="4" t="s">
        <v>32</v>
      </c>
      <c r="X250" s="4" t="s">
        <v>32</v>
      </c>
      <c r="Y250" s="4" t="s">
        <v>32</v>
      </c>
      <c r="Z250" s="4" t="s">
        <v>32</v>
      </c>
      <c r="AA250" s="4" t="s">
        <v>32</v>
      </c>
    </row>
    <row r="251" s="4" customFormat="1" spans="1:27">
      <c r="A251" s="4" t="s">
        <v>105</v>
      </c>
      <c r="B251" s="4" t="s">
        <v>28</v>
      </c>
      <c r="C251" s="4">
        <v>19421891</v>
      </c>
      <c r="D251" s="19">
        <v>254792285100</v>
      </c>
      <c r="E251" s="21">
        <v>45974.3533564815</v>
      </c>
      <c r="F251" s="4">
        <v>454.08</v>
      </c>
      <c r="G251" s="4">
        <v>1.18</v>
      </c>
      <c r="H251" s="4">
        <v>452.89</v>
      </c>
      <c r="I251" s="4">
        <v>-26.51</v>
      </c>
      <c r="J251" s="4">
        <v>1.18</v>
      </c>
      <c r="K251" s="4">
        <v>-27.69</v>
      </c>
      <c r="L251" s="4">
        <v>94.29</v>
      </c>
      <c r="M251" s="4">
        <v>12541</v>
      </c>
      <c r="N251" s="4">
        <v>4.29</v>
      </c>
      <c r="O251" s="4">
        <v>570</v>
      </c>
      <c r="P251" s="4" t="s">
        <v>29</v>
      </c>
      <c r="Q251" s="4" t="s">
        <v>30</v>
      </c>
      <c r="R251" s="4" t="s">
        <v>38</v>
      </c>
      <c r="S251" s="4">
        <v>0</v>
      </c>
      <c r="T251" s="4">
        <v>0</v>
      </c>
      <c r="U251" s="4">
        <v>0</v>
      </c>
      <c r="V251" s="4" t="s">
        <v>32</v>
      </c>
      <c r="W251" s="4" t="s">
        <v>32</v>
      </c>
      <c r="X251" s="4" t="s">
        <v>32</v>
      </c>
      <c r="Y251" s="4" t="s">
        <v>32</v>
      </c>
      <c r="Z251" s="4" t="s">
        <v>32</v>
      </c>
      <c r="AA251" s="4" t="s">
        <v>32</v>
      </c>
    </row>
    <row r="252" s="4" customFormat="1" spans="1:27">
      <c r="A252" s="4" t="s">
        <v>105</v>
      </c>
      <c r="B252" s="4" t="s">
        <v>28</v>
      </c>
      <c r="C252" s="4">
        <v>12437940</v>
      </c>
      <c r="D252" s="19">
        <v>254792549544</v>
      </c>
      <c r="E252" s="21">
        <v>45358.9863078704</v>
      </c>
      <c r="F252" s="4">
        <v>463.25</v>
      </c>
      <c r="G252" s="4">
        <v>13.63</v>
      </c>
      <c r="H252" s="4">
        <v>449.62</v>
      </c>
      <c r="I252" s="4">
        <v>31.98</v>
      </c>
      <c r="J252" s="4">
        <v>5.99</v>
      </c>
      <c r="K252" s="4">
        <v>25.99</v>
      </c>
      <c r="L252" s="4">
        <v>157.68</v>
      </c>
      <c r="M252" s="4">
        <v>20971</v>
      </c>
      <c r="N252" s="4">
        <v>61.29</v>
      </c>
      <c r="O252" s="4">
        <v>8151</v>
      </c>
      <c r="P252" s="4" t="s">
        <v>29</v>
      </c>
      <c r="Q252" s="4" t="s">
        <v>30</v>
      </c>
      <c r="R252" s="4" t="s">
        <v>38</v>
      </c>
      <c r="S252" s="4">
        <v>0</v>
      </c>
      <c r="T252" s="4">
        <v>0</v>
      </c>
      <c r="U252" s="4">
        <v>0</v>
      </c>
      <c r="V252" s="4" t="s">
        <v>32</v>
      </c>
      <c r="W252" s="4" t="s">
        <v>32</v>
      </c>
      <c r="X252" s="4" t="s">
        <v>32</v>
      </c>
      <c r="Y252" s="4" t="s">
        <v>32</v>
      </c>
      <c r="Z252" s="4" t="s">
        <v>32</v>
      </c>
      <c r="AA252" s="4" t="s">
        <v>32</v>
      </c>
    </row>
    <row r="253" s="4" customFormat="1" spans="1:27">
      <c r="A253" s="4" t="s">
        <v>105</v>
      </c>
      <c r="B253" s="4" t="s">
        <v>28</v>
      </c>
      <c r="C253" s="4">
        <v>14725401</v>
      </c>
      <c r="D253" s="19">
        <v>254793581863</v>
      </c>
      <c r="E253" s="21">
        <v>45613.4451157407</v>
      </c>
      <c r="F253" s="4">
        <v>1358.77</v>
      </c>
      <c r="G253" s="4">
        <v>0.81</v>
      </c>
      <c r="H253" s="4">
        <v>1357.95</v>
      </c>
      <c r="I253" s="4">
        <v>68.54</v>
      </c>
      <c r="J253" s="4">
        <v>0.81</v>
      </c>
      <c r="K253" s="4">
        <v>67.73</v>
      </c>
      <c r="L253" s="4">
        <v>136.11</v>
      </c>
      <c r="M253" s="4">
        <v>18103</v>
      </c>
      <c r="N253" s="4">
        <v>0</v>
      </c>
      <c r="O253" s="4">
        <v>0</v>
      </c>
      <c r="P253" s="4" t="s">
        <v>29</v>
      </c>
      <c r="Q253" s="4" t="s">
        <v>30</v>
      </c>
      <c r="R253" s="4" t="s">
        <v>38</v>
      </c>
      <c r="S253" s="4">
        <v>0</v>
      </c>
      <c r="T253" s="4">
        <v>0</v>
      </c>
      <c r="U253" s="4">
        <v>0</v>
      </c>
      <c r="V253" s="4" t="s">
        <v>32</v>
      </c>
      <c r="W253" s="4" t="s">
        <v>32</v>
      </c>
      <c r="X253" s="4" t="s">
        <v>32</v>
      </c>
      <c r="Y253" s="4" t="s">
        <v>32</v>
      </c>
      <c r="Z253" s="4" t="s">
        <v>32</v>
      </c>
      <c r="AA253" s="4" t="s">
        <v>32</v>
      </c>
    </row>
    <row r="254" s="4" customFormat="1" spans="1:27">
      <c r="A254" s="4" t="s">
        <v>105</v>
      </c>
      <c r="B254" s="4" t="s">
        <v>28</v>
      </c>
      <c r="C254" s="4">
        <v>15916391</v>
      </c>
      <c r="D254" s="19">
        <v>254794084435</v>
      </c>
      <c r="E254" s="21">
        <v>45713.9727893519</v>
      </c>
      <c r="F254" s="4">
        <v>1242.1</v>
      </c>
      <c r="G254" s="4">
        <v>0.77</v>
      </c>
      <c r="H254" s="4">
        <v>1241.32</v>
      </c>
      <c r="I254" s="4">
        <v>-98.92</v>
      </c>
      <c r="J254" s="4">
        <v>0.48</v>
      </c>
      <c r="K254" s="4">
        <v>-99.4</v>
      </c>
      <c r="L254" s="4">
        <v>447.19</v>
      </c>
      <c r="M254" s="4">
        <v>59476</v>
      </c>
      <c r="N254" s="4">
        <v>40.75</v>
      </c>
      <c r="O254" s="4">
        <v>5419.75</v>
      </c>
      <c r="P254" s="4" t="s">
        <v>29</v>
      </c>
      <c r="Q254" s="4" t="s">
        <v>30</v>
      </c>
      <c r="R254" s="4" t="s">
        <v>38</v>
      </c>
      <c r="S254" s="4">
        <v>0</v>
      </c>
      <c r="T254" s="4">
        <v>0</v>
      </c>
      <c r="U254" s="4">
        <v>0</v>
      </c>
      <c r="V254" s="4" t="s">
        <v>32</v>
      </c>
      <c r="W254" s="4" t="s">
        <v>32</v>
      </c>
      <c r="X254" s="4" t="s">
        <v>32</v>
      </c>
      <c r="Y254" s="4" t="s">
        <v>32</v>
      </c>
      <c r="Z254" s="4" t="s">
        <v>32</v>
      </c>
      <c r="AA254" s="4" t="s">
        <v>32</v>
      </c>
    </row>
    <row r="255" s="4" customFormat="1" spans="1:27">
      <c r="A255" s="4" t="s">
        <v>105</v>
      </c>
      <c r="B255" s="4" t="s">
        <v>28</v>
      </c>
      <c r="C255" s="4">
        <v>12480471</v>
      </c>
      <c r="D255" s="19">
        <v>254794915318</v>
      </c>
      <c r="E255" s="21">
        <v>45365.5557638889</v>
      </c>
      <c r="F255" s="4">
        <v>295.45</v>
      </c>
      <c r="G255" s="4">
        <v>0</v>
      </c>
      <c r="H255" s="4">
        <v>295.45</v>
      </c>
      <c r="I255" s="4">
        <v>7.48</v>
      </c>
      <c r="J255" s="4">
        <v>0</v>
      </c>
      <c r="K255" s="4">
        <v>7.48</v>
      </c>
      <c r="L255" s="4">
        <v>90.32</v>
      </c>
      <c r="M255" s="4">
        <v>12013</v>
      </c>
      <c r="N255" s="4">
        <v>5.66</v>
      </c>
      <c r="O255" s="4">
        <v>752.4</v>
      </c>
      <c r="P255" s="4" t="s">
        <v>29</v>
      </c>
      <c r="Q255" s="4" t="s">
        <v>30</v>
      </c>
      <c r="R255" s="4" t="s">
        <v>38</v>
      </c>
      <c r="S255" s="4">
        <v>0</v>
      </c>
      <c r="T255" s="4">
        <v>0</v>
      </c>
      <c r="U255" s="4">
        <v>0</v>
      </c>
      <c r="V255" s="4" t="s">
        <v>32</v>
      </c>
      <c r="W255" s="4" t="s">
        <v>32</v>
      </c>
      <c r="X255" s="4" t="s">
        <v>32</v>
      </c>
      <c r="Y255" s="4" t="s">
        <v>32</v>
      </c>
      <c r="Z255" s="4" t="s">
        <v>32</v>
      </c>
      <c r="AA255" s="4" t="s">
        <v>32</v>
      </c>
    </row>
    <row r="256" s="4" customFormat="1" spans="1:27">
      <c r="A256" s="4" t="s">
        <v>105</v>
      </c>
      <c r="B256" s="4" t="s">
        <v>28</v>
      </c>
      <c r="C256" s="4">
        <v>9875132</v>
      </c>
      <c r="D256" s="19">
        <v>254795624281</v>
      </c>
      <c r="E256" s="21">
        <v>45047.3877430556</v>
      </c>
      <c r="F256" s="4">
        <v>420.12</v>
      </c>
      <c r="G256" s="4">
        <v>3.29</v>
      </c>
      <c r="H256" s="4">
        <v>416.82</v>
      </c>
      <c r="I256" s="4">
        <v>-18.19</v>
      </c>
      <c r="J256" s="4">
        <v>-1.07</v>
      </c>
      <c r="K256" s="4">
        <v>-17.12</v>
      </c>
      <c r="L256" s="4">
        <v>66.3</v>
      </c>
      <c r="M256" s="4">
        <v>8818</v>
      </c>
      <c r="N256" s="4">
        <v>0</v>
      </c>
      <c r="O256" s="4">
        <v>0</v>
      </c>
      <c r="P256" s="4" t="s">
        <v>29</v>
      </c>
      <c r="Q256" s="4" t="s">
        <v>30</v>
      </c>
      <c r="R256" s="4" t="s">
        <v>38</v>
      </c>
      <c r="S256" s="4">
        <v>0</v>
      </c>
      <c r="T256" s="4">
        <v>0</v>
      </c>
      <c r="U256" s="4">
        <v>0</v>
      </c>
      <c r="V256" s="4" t="s">
        <v>32</v>
      </c>
      <c r="W256" s="4" t="s">
        <v>32</v>
      </c>
      <c r="X256" s="4" t="s">
        <v>32</v>
      </c>
      <c r="Y256" s="4" t="s">
        <v>32</v>
      </c>
      <c r="Z256" s="4" t="s">
        <v>32</v>
      </c>
      <c r="AA256" s="4" t="s">
        <v>32</v>
      </c>
    </row>
    <row r="257" s="4" customFormat="1" spans="1:27">
      <c r="A257" s="4" t="s">
        <v>105</v>
      </c>
      <c r="B257" s="4" t="s">
        <v>28</v>
      </c>
      <c r="C257" s="4">
        <v>10522032</v>
      </c>
      <c r="D257" s="19">
        <v>254797267736</v>
      </c>
      <c r="E257" s="21">
        <v>45164.9984953704</v>
      </c>
      <c r="F257" s="4">
        <v>187.44</v>
      </c>
      <c r="G257" s="4">
        <v>0</v>
      </c>
      <c r="H257" s="4">
        <v>187.44</v>
      </c>
      <c r="I257" s="4">
        <v>26.55</v>
      </c>
      <c r="J257" s="4">
        <v>0</v>
      </c>
      <c r="K257" s="4">
        <v>26.55</v>
      </c>
      <c r="L257" s="4">
        <v>50.71</v>
      </c>
      <c r="M257" s="4">
        <v>6745</v>
      </c>
      <c r="N257" s="4">
        <v>3.57</v>
      </c>
      <c r="O257" s="4">
        <v>475</v>
      </c>
      <c r="P257" s="4" t="s">
        <v>34</v>
      </c>
      <c r="Q257" s="4" t="s">
        <v>30</v>
      </c>
      <c r="R257" s="4" t="s">
        <v>38</v>
      </c>
      <c r="S257" s="4">
        <v>0</v>
      </c>
      <c r="T257" s="4">
        <v>0</v>
      </c>
      <c r="U257" s="4">
        <v>0</v>
      </c>
      <c r="V257" s="4" t="s">
        <v>32</v>
      </c>
      <c r="W257" s="4" t="s">
        <v>32</v>
      </c>
      <c r="X257" s="4" t="s">
        <v>32</v>
      </c>
      <c r="Y257" s="4" t="s">
        <v>32</v>
      </c>
      <c r="Z257" s="4" t="s">
        <v>32</v>
      </c>
      <c r="AA257" s="4" t="s">
        <v>32</v>
      </c>
    </row>
    <row r="258" s="4" customFormat="1" spans="1:27">
      <c r="A258" s="4" t="s">
        <v>105</v>
      </c>
      <c r="B258" s="4" t="s">
        <v>28</v>
      </c>
      <c r="C258" s="4">
        <v>1678822</v>
      </c>
      <c r="D258" s="19">
        <v>254797534461</v>
      </c>
      <c r="E258" s="21">
        <v>44009.4440740741</v>
      </c>
      <c r="F258" s="4">
        <v>193.45</v>
      </c>
      <c r="G258" s="4">
        <v>0.07</v>
      </c>
      <c r="H258" s="4">
        <v>193.39</v>
      </c>
      <c r="I258" s="4">
        <v>24.9</v>
      </c>
      <c r="J258" s="4">
        <v>0.07</v>
      </c>
      <c r="K258" s="4">
        <v>24.83</v>
      </c>
      <c r="L258" s="4">
        <v>52.69</v>
      </c>
      <c r="M258" s="4">
        <v>7008</v>
      </c>
      <c r="N258" s="4">
        <v>0.71</v>
      </c>
      <c r="O258" s="4">
        <v>95</v>
      </c>
      <c r="P258" s="4" t="s">
        <v>34</v>
      </c>
      <c r="Q258" s="4" t="s">
        <v>30</v>
      </c>
      <c r="R258" s="4" t="s">
        <v>38</v>
      </c>
      <c r="S258" s="4">
        <v>0</v>
      </c>
      <c r="T258" s="4">
        <v>0</v>
      </c>
      <c r="U258" s="4">
        <v>0</v>
      </c>
      <c r="V258" s="4" t="s">
        <v>32</v>
      </c>
      <c r="W258" s="4" t="s">
        <v>32</v>
      </c>
      <c r="X258" s="4" t="s">
        <v>32</v>
      </c>
      <c r="Y258" s="4" t="s">
        <v>32</v>
      </c>
      <c r="Z258" s="4" t="s">
        <v>32</v>
      </c>
      <c r="AA258" s="4" t="s">
        <v>32</v>
      </c>
    </row>
    <row r="259" s="4" customFormat="1" spans="1:27">
      <c r="A259" s="4" t="s">
        <v>105</v>
      </c>
      <c r="B259" s="4" t="s">
        <v>28</v>
      </c>
      <c r="C259" s="4">
        <v>8215651</v>
      </c>
      <c r="D259" s="19">
        <v>254797672798</v>
      </c>
      <c r="E259" s="21">
        <v>44744.6234722222</v>
      </c>
      <c r="F259" s="4">
        <v>1286.29</v>
      </c>
      <c r="G259" s="4">
        <v>0</v>
      </c>
      <c r="H259" s="4">
        <v>1286.29</v>
      </c>
      <c r="I259" s="4">
        <v>100.05</v>
      </c>
      <c r="J259" s="4">
        <v>0</v>
      </c>
      <c r="K259" s="4">
        <v>100.05</v>
      </c>
      <c r="L259" s="4">
        <v>166.23</v>
      </c>
      <c r="M259" s="4">
        <v>22109</v>
      </c>
      <c r="N259" s="4">
        <v>9.99</v>
      </c>
      <c r="O259" s="4">
        <v>1329.05</v>
      </c>
      <c r="P259" s="4" t="s">
        <v>34</v>
      </c>
      <c r="Q259" s="4" t="s">
        <v>30</v>
      </c>
      <c r="R259" s="4" t="s">
        <v>38</v>
      </c>
      <c r="S259" s="4">
        <v>0</v>
      </c>
      <c r="T259" s="4">
        <v>0</v>
      </c>
      <c r="U259" s="4">
        <v>0</v>
      </c>
      <c r="V259" s="4" t="s">
        <v>32</v>
      </c>
      <c r="W259" s="4" t="s">
        <v>32</v>
      </c>
      <c r="X259" s="4" t="s">
        <v>32</v>
      </c>
      <c r="Y259" s="4" t="s">
        <v>32</v>
      </c>
      <c r="Z259" s="4" t="s">
        <v>32</v>
      </c>
      <c r="AA259" s="4" t="s">
        <v>32</v>
      </c>
    </row>
    <row r="260" s="4" customFormat="1" spans="1:27">
      <c r="A260" s="4" t="s">
        <v>105</v>
      </c>
      <c r="B260" s="4" t="s">
        <v>28</v>
      </c>
      <c r="C260" s="4">
        <v>21000000</v>
      </c>
      <c r="D260" s="19">
        <v>254798471798</v>
      </c>
      <c r="E260" s="21">
        <v>46049.7941550926</v>
      </c>
      <c r="F260" s="4">
        <v>325.41</v>
      </c>
      <c r="G260" s="4">
        <v>0.01</v>
      </c>
      <c r="H260" s="4">
        <v>325.41</v>
      </c>
      <c r="I260" s="4">
        <v>-14.61</v>
      </c>
      <c r="J260" s="4">
        <v>0.01</v>
      </c>
      <c r="K260" s="4">
        <v>-14.62</v>
      </c>
      <c r="L260" s="4">
        <v>83.08</v>
      </c>
      <c r="M260" s="4">
        <v>11049</v>
      </c>
      <c r="N260" s="4">
        <v>59.89</v>
      </c>
      <c r="O260" s="4">
        <v>7965.75</v>
      </c>
      <c r="P260" s="4" t="s">
        <v>29</v>
      </c>
      <c r="Q260" s="4" t="s">
        <v>30</v>
      </c>
      <c r="R260" s="4" t="s">
        <v>38</v>
      </c>
      <c r="S260" s="4">
        <v>0</v>
      </c>
      <c r="T260" s="4">
        <v>0</v>
      </c>
      <c r="U260" s="4">
        <v>0</v>
      </c>
      <c r="V260" s="4" t="s">
        <v>32</v>
      </c>
      <c r="W260" s="4" t="s">
        <v>32</v>
      </c>
      <c r="X260" s="4" t="s">
        <v>32</v>
      </c>
      <c r="Y260" s="4" t="s">
        <v>32</v>
      </c>
      <c r="Z260" s="4" t="s">
        <v>32</v>
      </c>
      <c r="AA260" s="4" t="s">
        <v>32</v>
      </c>
    </row>
    <row r="261" s="4" customFormat="1" spans="1:27">
      <c r="A261" s="4" t="s">
        <v>105</v>
      </c>
      <c r="B261" s="4" t="s">
        <v>28</v>
      </c>
      <c r="C261" s="4">
        <v>4650791</v>
      </c>
      <c r="D261" s="19">
        <v>254799247838</v>
      </c>
      <c r="E261" s="21">
        <v>44346.768587963</v>
      </c>
      <c r="F261" s="4">
        <v>2237.65</v>
      </c>
      <c r="G261" s="4">
        <v>0.01</v>
      </c>
      <c r="H261" s="4">
        <v>2237.26</v>
      </c>
      <c r="I261" s="4">
        <v>78.97</v>
      </c>
      <c r="J261" s="4">
        <v>0.01</v>
      </c>
      <c r="K261" s="4">
        <v>78.96</v>
      </c>
      <c r="L261" s="4">
        <v>453.01</v>
      </c>
      <c r="M261" s="4">
        <v>60250</v>
      </c>
      <c r="N261" s="4">
        <v>430.36</v>
      </c>
      <c r="O261" s="4">
        <v>57237.5</v>
      </c>
      <c r="P261" s="4" t="s">
        <v>29</v>
      </c>
      <c r="Q261" s="4" t="s">
        <v>30</v>
      </c>
      <c r="R261" s="4" t="s">
        <v>38</v>
      </c>
      <c r="S261" s="4">
        <v>0</v>
      </c>
      <c r="T261" s="4">
        <v>0</v>
      </c>
      <c r="U261" s="4">
        <v>0</v>
      </c>
      <c r="V261" s="4" t="s">
        <v>32</v>
      </c>
      <c r="W261" s="4" t="s">
        <v>32</v>
      </c>
      <c r="X261" s="4" t="s">
        <v>32</v>
      </c>
      <c r="Y261" s="4" t="s">
        <v>32</v>
      </c>
      <c r="Z261" s="4" t="s">
        <v>32</v>
      </c>
      <c r="AA261" s="4" t="s">
        <v>32</v>
      </c>
    </row>
    <row r="262" s="4" customFormat="1" spans="1:27">
      <c r="A262" s="4" t="s">
        <v>106</v>
      </c>
      <c r="B262" s="4" t="s">
        <v>28</v>
      </c>
      <c r="C262" s="4">
        <v>12849632</v>
      </c>
      <c r="D262" s="19">
        <v>254110174274</v>
      </c>
      <c r="E262" s="21">
        <v>45410.9521759259</v>
      </c>
      <c r="F262" s="4">
        <v>13693.18</v>
      </c>
      <c r="G262" s="4">
        <v>0</v>
      </c>
      <c r="H262" s="4">
        <v>13693.18</v>
      </c>
      <c r="I262" s="4">
        <v>186.01</v>
      </c>
      <c r="J262" s="4">
        <v>0</v>
      </c>
      <c r="K262" s="4">
        <v>186.01</v>
      </c>
      <c r="L262" s="4">
        <v>1873.2</v>
      </c>
      <c r="M262" s="4">
        <v>249136</v>
      </c>
      <c r="N262" s="4">
        <v>1779.54</v>
      </c>
      <c r="O262" s="4">
        <v>236679.2</v>
      </c>
      <c r="P262" s="4" t="s">
        <v>29</v>
      </c>
      <c r="Q262" s="4" t="s">
        <v>33</v>
      </c>
      <c r="R262" s="4" t="s">
        <v>38</v>
      </c>
      <c r="S262" s="4">
        <v>0</v>
      </c>
      <c r="T262" s="4">
        <v>0</v>
      </c>
      <c r="U262" s="4">
        <v>0</v>
      </c>
      <c r="V262" s="4" t="s">
        <v>32</v>
      </c>
      <c r="W262" s="4" t="s">
        <v>32</v>
      </c>
      <c r="X262" s="4" t="s">
        <v>32</v>
      </c>
      <c r="Y262" s="4" t="s">
        <v>32</v>
      </c>
      <c r="Z262" s="4" t="s">
        <v>32</v>
      </c>
      <c r="AA262" s="4" t="s">
        <v>32</v>
      </c>
    </row>
    <row r="263" s="4" customFormat="1" spans="1:27">
      <c r="A263" s="4" t="s">
        <v>106</v>
      </c>
      <c r="B263" s="4" t="s">
        <v>28</v>
      </c>
      <c r="C263" s="4">
        <v>20328682</v>
      </c>
      <c r="D263" s="19">
        <v>254112165622</v>
      </c>
      <c r="E263" s="21">
        <v>46016.6398726852</v>
      </c>
      <c r="F263" s="4">
        <v>124.7</v>
      </c>
      <c r="G263" s="4">
        <v>2.07</v>
      </c>
      <c r="H263" s="4">
        <v>122.63</v>
      </c>
      <c r="I263" s="4">
        <v>2.79</v>
      </c>
      <c r="J263" s="4">
        <v>2.07</v>
      </c>
      <c r="K263" s="4">
        <v>0.72</v>
      </c>
      <c r="L263" s="4">
        <v>59.2</v>
      </c>
      <c r="M263" s="4">
        <v>7874</v>
      </c>
      <c r="N263" s="4">
        <v>29.89</v>
      </c>
      <c r="O263" s="4">
        <v>3974.8</v>
      </c>
      <c r="P263" s="4" t="s">
        <v>29</v>
      </c>
      <c r="Q263" s="4" t="s">
        <v>30</v>
      </c>
      <c r="R263" s="4" t="s">
        <v>38</v>
      </c>
      <c r="S263" s="4">
        <v>0</v>
      </c>
      <c r="T263" s="4">
        <v>0</v>
      </c>
      <c r="U263" s="4">
        <v>0</v>
      </c>
      <c r="V263" s="4" t="s">
        <v>32</v>
      </c>
      <c r="W263" s="4" t="s">
        <v>32</v>
      </c>
      <c r="X263" s="4" t="s">
        <v>32</v>
      </c>
      <c r="Y263" s="4" t="s">
        <v>32</v>
      </c>
      <c r="Z263" s="4" t="s">
        <v>32</v>
      </c>
      <c r="AA263" s="4" t="s">
        <v>32</v>
      </c>
    </row>
    <row r="264" s="4" customFormat="1" spans="1:27">
      <c r="A264" s="4" t="s">
        <v>106</v>
      </c>
      <c r="B264" s="4" t="s">
        <v>28</v>
      </c>
      <c r="C264" s="4">
        <v>21390841</v>
      </c>
      <c r="D264" s="19">
        <v>254112929998</v>
      </c>
      <c r="E264" s="21">
        <v>46070.9184953704</v>
      </c>
      <c r="F264" s="4">
        <v>39442.35</v>
      </c>
      <c r="G264" s="4">
        <v>0</v>
      </c>
      <c r="H264" s="4">
        <v>39442.35</v>
      </c>
      <c r="I264" s="4">
        <v>170.97</v>
      </c>
      <c r="J264" s="4">
        <v>0</v>
      </c>
      <c r="K264" s="4">
        <v>170.97</v>
      </c>
      <c r="L264" s="4">
        <v>896.99</v>
      </c>
      <c r="M264" s="4">
        <v>119300</v>
      </c>
      <c r="N264" s="4">
        <v>837.86</v>
      </c>
      <c r="O264" s="4">
        <v>111435</v>
      </c>
      <c r="P264" s="4" t="s">
        <v>29</v>
      </c>
      <c r="Q264" s="4" t="s">
        <v>30</v>
      </c>
      <c r="R264" s="4" t="s">
        <v>38</v>
      </c>
      <c r="S264" s="4">
        <v>0</v>
      </c>
      <c r="T264" s="4">
        <v>0</v>
      </c>
      <c r="U264" s="4">
        <v>0</v>
      </c>
      <c r="V264" s="4" t="s">
        <v>32</v>
      </c>
      <c r="W264" s="4" t="s">
        <v>32</v>
      </c>
      <c r="X264" s="4" t="s">
        <v>32</v>
      </c>
      <c r="Y264" s="4" t="s">
        <v>32</v>
      </c>
      <c r="Z264" s="4" t="s">
        <v>32</v>
      </c>
      <c r="AA264" s="4" t="s">
        <v>32</v>
      </c>
    </row>
    <row r="265" s="4" customFormat="1" spans="1:27">
      <c r="A265" s="4" t="s">
        <v>106</v>
      </c>
      <c r="B265" s="4" t="s">
        <v>28</v>
      </c>
      <c r="C265" s="4">
        <v>22618420</v>
      </c>
      <c r="D265" s="19">
        <v>254117718477</v>
      </c>
      <c r="E265" s="21">
        <v>46138.8401736111</v>
      </c>
      <c r="F265" s="4">
        <v>433.44</v>
      </c>
      <c r="G265" s="4">
        <v>0</v>
      </c>
      <c r="H265" s="4">
        <v>433.44</v>
      </c>
      <c r="I265" s="4">
        <v>-45.77</v>
      </c>
      <c r="J265" s="4">
        <v>0</v>
      </c>
      <c r="K265" s="4">
        <v>-45.77</v>
      </c>
      <c r="L265" s="4">
        <v>64.44</v>
      </c>
      <c r="M265" s="4">
        <v>8571</v>
      </c>
      <c r="N265" s="4">
        <v>61.22</v>
      </c>
      <c r="O265" s="4">
        <v>8142.45</v>
      </c>
      <c r="P265" s="4" t="s">
        <v>29</v>
      </c>
      <c r="Q265" s="4" t="s">
        <v>30</v>
      </c>
      <c r="R265" s="4" t="s">
        <v>38</v>
      </c>
      <c r="S265" s="4">
        <v>0</v>
      </c>
      <c r="T265" s="4">
        <v>0</v>
      </c>
      <c r="U265" s="4">
        <v>0</v>
      </c>
      <c r="V265" s="4" t="s">
        <v>32</v>
      </c>
      <c r="W265" s="4" t="s">
        <v>32</v>
      </c>
      <c r="X265" s="4" t="s">
        <v>32</v>
      </c>
      <c r="Y265" s="4" t="s">
        <v>32</v>
      </c>
      <c r="Z265" s="4" t="s">
        <v>32</v>
      </c>
      <c r="AA265" s="4" t="s">
        <v>32</v>
      </c>
    </row>
    <row r="266" s="4" customFormat="1" spans="1:27">
      <c r="A266" s="4" t="s">
        <v>106</v>
      </c>
      <c r="B266" s="4" t="s">
        <v>28</v>
      </c>
      <c r="C266" s="4">
        <v>21897371</v>
      </c>
      <c r="D266" s="19">
        <v>254119423828</v>
      </c>
      <c r="E266" s="21">
        <v>46095.7935416667</v>
      </c>
      <c r="F266" s="4">
        <v>1638.34</v>
      </c>
      <c r="G266" s="4">
        <v>0.02</v>
      </c>
      <c r="H266" s="4">
        <v>1638.33</v>
      </c>
      <c r="I266" s="4">
        <v>-19.27</v>
      </c>
      <c r="J266" s="4">
        <v>-0.36</v>
      </c>
      <c r="K266" s="4">
        <v>-18.91</v>
      </c>
      <c r="L266" s="4">
        <v>415.37</v>
      </c>
      <c r="M266" s="4">
        <v>55244</v>
      </c>
      <c r="N266" s="4">
        <v>394.6</v>
      </c>
      <c r="O266" s="4">
        <v>52481.8</v>
      </c>
      <c r="P266" s="4" t="s">
        <v>29</v>
      </c>
      <c r="Q266" s="4" t="s">
        <v>30</v>
      </c>
      <c r="R266" s="4" t="s">
        <v>38</v>
      </c>
      <c r="S266" s="4">
        <v>0</v>
      </c>
      <c r="T266" s="4">
        <v>0</v>
      </c>
      <c r="U266" s="4">
        <v>0</v>
      </c>
      <c r="V266" s="4" t="s">
        <v>32</v>
      </c>
      <c r="W266" s="4" t="s">
        <v>32</v>
      </c>
      <c r="X266" s="4" t="s">
        <v>32</v>
      </c>
      <c r="Y266" s="4" t="s">
        <v>32</v>
      </c>
      <c r="Z266" s="4" t="s">
        <v>32</v>
      </c>
      <c r="AA266" s="4" t="s">
        <v>32</v>
      </c>
    </row>
    <row r="267" s="4" customFormat="1" spans="1:27">
      <c r="A267" s="4" t="s">
        <v>106</v>
      </c>
      <c r="B267" s="4" t="s">
        <v>28</v>
      </c>
      <c r="C267" s="4">
        <v>21654461</v>
      </c>
      <c r="D267" s="19">
        <v>254140655227</v>
      </c>
      <c r="E267" s="21">
        <v>46083.3676041667</v>
      </c>
      <c r="F267" s="4">
        <v>2012.37</v>
      </c>
      <c r="G267" s="4">
        <v>0</v>
      </c>
      <c r="H267" s="4">
        <v>2012.37</v>
      </c>
      <c r="I267" s="4">
        <v>162.85</v>
      </c>
      <c r="J267" s="4">
        <v>0</v>
      </c>
      <c r="K267" s="4">
        <v>162.85</v>
      </c>
      <c r="L267" s="4">
        <v>329.97</v>
      </c>
      <c r="M267" s="4">
        <v>43886</v>
      </c>
      <c r="N267" s="4">
        <v>260.73</v>
      </c>
      <c r="O267" s="4">
        <v>34676.9</v>
      </c>
      <c r="P267" s="4" t="s">
        <v>29</v>
      </c>
      <c r="Q267" s="4" t="s">
        <v>30</v>
      </c>
      <c r="R267" s="4" t="s">
        <v>38</v>
      </c>
      <c r="S267" s="4">
        <v>0</v>
      </c>
      <c r="T267" s="4">
        <v>0</v>
      </c>
      <c r="U267" s="4">
        <v>0</v>
      </c>
      <c r="V267" s="4" t="s">
        <v>32</v>
      </c>
      <c r="W267" s="4" t="s">
        <v>32</v>
      </c>
      <c r="X267" s="4" t="s">
        <v>32</v>
      </c>
      <c r="Y267" s="4" t="s">
        <v>32</v>
      </c>
      <c r="Z267" s="4" t="s">
        <v>32</v>
      </c>
      <c r="AA267" s="4" t="s">
        <v>32</v>
      </c>
    </row>
    <row r="268" s="4" customFormat="1" spans="1:27">
      <c r="A268" s="4" t="s">
        <v>106</v>
      </c>
      <c r="B268" s="4" t="s">
        <v>28</v>
      </c>
      <c r="C268" s="4">
        <v>13982590</v>
      </c>
      <c r="D268" s="19">
        <v>254700091090</v>
      </c>
      <c r="E268" s="21">
        <v>45568.1859375</v>
      </c>
      <c r="F268" s="4">
        <v>267</v>
      </c>
      <c r="G268" s="4">
        <v>56.02</v>
      </c>
      <c r="H268" s="4">
        <v>210.99</v>
      </c>
      <c r="I268" s="4">
        <v>41.88</v>
      </c>
      <c r="J268" s="4">
        <v>40.92</v>
      </c>
      <c r="K268" s="4">
        <v>0.97</v>
      </c>
      <c r="L268" s="4">
        <v>86.84</v>
      </c>
      <c r="M268" s="4">
        <v>11550</v>
      </c>
      <c r="N268" s="4">
        <v>12.2</v>
      </c>
      <c r="O268" s="4">
        <v>1622.6</v>
      </c>
      <c r="P268" s="4" t="s">
        <v>35</v>
      </c>
      <c r="Q268" s="4" t="s">
        <v>30</v>
      </c>
      <c r="R268" s="4" t="s">
        <v>38</v>
      </c>
      <c r="S268" s="4">
        <v>2000</v>
      </c>
      <c r="T268" s="4">
        <v>0</v>
      </c>
      <c r="U268" s="4">
        <v>0</v>
      </c>
      <c r="V268" s="4" t="s">
        <v>32</v>
      </c>
      <c r="W268" s="4" t="s">
        <v>32</v>
      </c>
      <c r="X268" s="4" t="s">
        <v>32</v>
      </c>
      <c r="Y268" s="4" t="s">
        <v>32</v>
      </c>
      <c r="Z268" s="4" t="s">
        <v>32</v>
      </c>
      <c r="AA268" s="4" t="s">
        <v>32</v>
      </c>
    </row>
    <row r="269" s="4" customFormat="1" spans="1:27">
      <c r="A269" s="4" t="s">
        <v>106</v>
      </c>
      <c r="B269" s="4" t="s">
        <v>28</v>
      </c>
      <c r="C269" s="4">
        <v>160931</v>
      </c>
      <c r="D269" s="19">
        <v>254701837822</v>
      </c>
      <c r="E269" s="21">
        <v>43911.0943171296</v>
      </c>
      <c r="F269" s="4">
        <v>2855.02</v>
      </c>
      <c r="G269" s="4">
        <v>0.03</v>
      </c>
      <c r="H269" s="4">
        <v>2854.98</v>
      </c>
      <c r="I269" s="4">
        <v>217.59</v>
      </c>
      <c r="J269" s="4">
        <v>0.03</v>
      </c>
      <c r="K269" s="4">
        <v>217.56</v>
      </c>
      <c r="L269" s="4">
        <v>704.75</v>
      </c>
      <c r="M269" s="4">
        <v>93732</v>
      </c>
      <c r="N269" s="4">
        <v>19.79</v>
      </c>
      <c r="O269" s="4">
        <v>2631.5</v>
      </c>
      <c r="P269" s="4" t="s">
        <v>34</v>
      </c>
      <c r="Q269" s="4" t="s">
        <v>30</v>
      </c>
      <c r="R269" s="4" t="s">
        <v>38</v>
      </c>
      <c r="S269" s="4">
        <v>0</v>
      </c>
      <c r="T269" s="4">
        <v>0</v>
      </c>
      <c r="U269" s="4">
        <v>0</v>
      </c>
      <c r="V269" s="4" t="s">
        <v>32</v>
      </c>
      <c r="W269" s="4" t="s">
        <v>32</v>
      </c>
      <c r="X269" s="4" t="s">
        <v>32</v>
      </c>
      <c r="Y269" s="4" t="s">
        <v>32</v>
      </c>
      <c r="Z269" s="4" t="s">
        <v>32</v>
      </c>
      <c r="AA269" s="4" t="s">
        <v>32</v>
      </c>
    </row>
    <row r="270" s="4" customFormat="1" spans="1:27">
      <c r="A270" s="4" t="s">
        <v>106</v>
      </c>
      <c r="B270" s="4" t="s">
        <v>28</v>
      </c>
      <c r="C270" s="4">
        <v>15913671</v>
      </c>
      <c r="D270" s="19">
        <v>254705175527</v>
      </c>
      <c r="E270" s="21">
        <v>45713.5048842593</v>
      </c>
      <c r="F270" s="4">
        <v>893.42</v>
      </c>
      <c r="G270" s="4">
        <v>0</v>
      </c>
      <c r="H270" s="4">
        <v>893.42</v>
      </c>
      <c r="I270" s="4">
        <v>-6.25</v>
      </c>
      <c r="J270" s="4">
        <v>0</v>
      </c>
      <c r="K270" s="4">
        <v>-6.25</v>
      </c>
      <c r="L270" s="4">
        <v>166.02</v>
      </c>
      <c r="M270" s="4">
        <v>22080</v>
      </c>
      <c r="N270" s="4">
        <v>62.86</v>
      </c>
      <c r="O270" s="4">
        <v>8360</v>
      </c>
      <c r="P270" s="4" t="s">
        <v>29</v>
      </c>
      <c r="Q270" s="4" t="s">
        <v>30</v>
      </c>
      <c r="R270" s="4" t="s">
        <v>38</v>
      </c>
      <c r="S270" s="4">
        <v>0</v>
      </c>
      <c r="T270" s="4">
        <v>0</v>
      </c>
      <c r="U270" s="4">
        <v>0</v>
      </c>
      <c r="V270" s="4" t="s">
        <v>32</v>
      </c>
      <c r="W270" s="4" t="s">
        <v>32</v>
      </c>
      <c r="X270" s="4" t="s">
        <v>32</v>
      </c>
      <c r="Y270" s="4" t="s">
        <v>32</v>
      </c>
      <c r="Z270" s="4" t="s">
        <v>32</v>
      </c>
      <c r="AA270" s="4" t="s">
        <v>32</v>
      </c>
    </row>
    <row r="271" s="4" customFormat="1" spans="1:27">
      <c r="A271" s="4" t="s">
        <v>106</v>
      </c>
      <c r="B271" s="4" t="s">
        <v>28</v>
      </c>
      <c r="C271" s="4">
        <v>17783571</v>
      </c>
      <c r="D271" s="19">
        <v>254706096874</v>
      </c>
      <c r="E271" s="21">
        <v>45876.2805555556</v>
      </c>
      <c r="F271" s="4">
        <v>1052.32</v>
      </c>
      <c r="G271" s="4">
        <v>0</v>
      </c>
      <c r="H271" s="4">
        <v>1052.32</v>
      </c>
      <c r="I271" s="4">
        <v>7.24</v>
      </c>
      <c r="J271" s="4">
        <v>0</v>
      </c>
      <c r="K271" s="4">
        <v>7.24</v>
      </c>
      <c r="L271" s="4">
        <v>240.64</v>
      </c>
      <c r="M271" s="4">
        <v>32005</v>
      </c>
      <c r="N271" s="4">
        <v>74.87</v>
      </c>
      <c r="O271" s="4">
        <v>9957.9</v>
      </c>
      <c r="P271" s="4" t="s">
        <v>29</v>
      </c>
      <c r="Q271" s="4" t="s">
        <v>30</v>
      </c>
      <c r="R271" s="4" t="s">
        <v>38</v>
      </c>
      <c r="S271" s="4">
        <v>0</v>
      </c>
      <c r="T271" s="4">
        <v>0</v>
      </c>
      <c r="U271" s="4">
        <v>0</v>
      </c>
      <c r="V271" s="4" t="s">
        <v>32</v>
      </c>
      <c r="W271" s="4" t="s">
        <v>32</v>
      </c>
      <c r="X271" s="4" t="s">
        <v>32</v>
      </c>
      <c r="Y271" s="4" t="s">
        <v>32</v>
      </c>
      <c r="Z271" s="4" t="s">
        <v>32</v>
      </c>
      <c r="AA271" s="4" t="s">
        <v>32</v>
      </c>
    </row>
    <row r="272" s="4" customFormat="1" spans="1:27">
      <c r="A272" s="4" t="s">
        <v>106</v>
      </c>
      <c r="B272" s="4" t="s">
        <v>28</v>
      </c>
      <c r="C272" s="4">
        <v>959901</v>
      </c>
      <c r="D272" s="19">
        <v>254707502701</v>
      </c>
      <c r="E272" s="21">
        <v>43987.9901273148</v>
      </c>
      <c r="F272" s="4">
        <v>555.33</v>
      </c>
      <c r="G272" s="4">
        <v>0</v>
      </c>
      <c r="H272" s="4">
        <v>555.33</v>
      </c>
      <c r="I272" s="4">
        <v>21.48</v>
      </c>
      <c r="J272" s="4">
        <v>0</v>
      </c>
      <c r="K272" s="4">
        <v>21.48</v>
      </c>
      <c r="L272" s="4">
        <v>180.26</v>
      </c>
      <c r="M272" s="4">
        <v>23974</v>
      </c>
      <c r="N272" s="4">
        <v>25.31</v>
      </c>
      <c r="O272" s="4">
        <v>3365.85</v>
      </c>
      <c r="P272" s="4" t="s">
        <v>34</v>
      </c>
      <c r="Q272" s="4" t="s">
        <v>30</v>
      </c>
      <c r="R272" s="4" t="s">
        <v>38</v>
      </c>
      <c r="S272" s="4">
        <v>0</v>
      </c>
      <c r="T272" s="4">
        <v>0</v>
      </c>
      <c r="U272" s="4">
        <v>0</v>
      </c>
      <c r="V272" s="4" t="s">
        <v>32</v>
      </c>
      <c r="W272" s="4" t="s">
        <v>32</v>
      </c>
      <c r="X272" s="4" t="s">
        <v>32</v>
      </c>
      <c r="Y272" s="4" t="s">
        <v>32</v>
      </c>
      <c r="Z272" s="4" t="s">
        <v>32</v>
      </c>
      <c r="AA272" s="4" t="s">
        <v>32</v>
      </c>
    </row>
    <row r="273" s="4" customFormat="1" spans="1:27">
      <c r="A273" s="4" t="s">
        <v>106</v>
      </c>
      <c r="B273" s="4" t="s">
        <v>28</v>
      </c>
      <c r="C273" s="4">
        <v>22264102</v>
      </c>
      <c r="D273" s="19">
        <v>254707871268</v>
      </c>
      <c r="E273" s="21">
        <v>46117.6591550926</v>
      </c>
      <c r="F273" s="4">
        <v>415.16</v>
      </c>
      <c r="G273" s="4">
        <v>0.53</v>
      </c>
      <c r="H273" s="4">
        <v>414.63</v>
      </c>
      <c r="I273" s="4">
        <v>12.42</v>
      </c>
      <c r="J273" s="4">
        <v>0.53</v>
      </c>
      <c r="K273" s="4">
        <v>11.89</v>
      </c>
      <c r="L273" s="4">
        <v>132.41</v>
      </c>
      <c r="M273" s="4">
        <v>17610</v>
      </c>
      <c r="N273" s="4">
        <v>125.79</v>
      </c>
      <c r="O273" s="4">
        <v>16729.5</v>
      </c>
      <c r="P273" s="4" t="s">
        <v>34</v>
      </c>
      <c r="Q273" s="4" t="s">
        <v>30</v>
      </c>
      <c r="R273" s="4" t="s">
        <v>38</v>
      </c>
      <c r="S273" s="4">
        <v>0</v>
      </c>
      <c r="T273" s="4">
        <v>0</v>
      </c>
      <c r="U273" s="4">
        <v>0</v>
      </c>
      <c r="V273" s="4" t="s">
        <v>32</v>
      </c>
      <c r="W273" s="4" t="s">
        <v>32</v>
      </c>
      <c r="X273" s="4" t="s">
        <v>32</v>
      </c>
      <c r="Y273" s="4" t="s">
        <v>32</v>
      </c>
      <c r="Z273" s="4" t="s">
        <v>32</v>
      </c>
      <c r="AA273" s="4" t="s">
        <v>32</v>
      </c>
    </row>
    <row r="274" s="4" customFormat="1" spans="1:27">
      <c r="A274" s="4" t="s">
        <v>106</v>
      </c>
      <c r="B274" s="4" t="s">
        <v>28</v>
      </c>
      <c r="C274" s="4">
        <v>1380850</v>
      </c>
      <c r="D274" s="19">
        <v>254708031767</v>
      </c>
      <c r="E274" s="21">
        <v>44001.8013078704</v>
      </c>
      <c r="F274" s="4">
        <v>143.72</v>
      </c>
      <c r="G274" s="4">
        <v>0.04</v>
      </c>
      <c r="H274" s="4">
        <v>143.68</v>
      </c>
      <c r="I274" s="4">
        <v>23.79</v>
      </c>
      <c r="J274" s="4">
        <v>0.04</v>
      </c>
      <c r="K274" s="4">
        <v>23.76</v>
      </c>
      <c r="L274" s="4">
        <v>56.84</v>
      </c>
      <c r="M274" s="4">
        <v>7560</v>
      </c>
      <c r="N274" s="4">
        <v>54</v>
      </c>
      <c r="O274" s="4">
        <v>7182</v>
      </c>
      <c r="P274" s="4" t="s">
        <v>29</v>
      </c>
      <c r="Q274" s="4" t="s">
        <v>30</v>
      </c>
      <c r="R274" s="4" t="s">
        <v>38</v>
      </c>
      <c r="S274" s="4">
        <v>0</v>
      </c>
      <c r="T274" s="4">
        <v>0</v>
      </c>
      <c r="U274" s="4">
        <v>0</v>
      </c>
      <c r="V274" s="4" t="s">
        <v>32</v>
      </c>
      <c r="W274" s="4" t="s">
        <v>32</v>
      </c>
      <c r="X274" s="4" t="s">
        <v>32</v>
      </c>
      <c r="Y274" s="4" t="s">
        <v>32</v>
      </c>
      <c r="Z274" s="4" t="s">
        <v>32</v>
      </c>
      <c r="AA274" s="4" t="s">
        <v>32</v>
      </c>
    </row>
    <row r="275" s="4" customFormat="1" spans="1:27">
      <c r="A275" s="4" t="s">
        <v>106</v>
      </c>
      <c r="B275" s="4" t="s">
        <v>28</v>
      </c>
      <c r="C275" s="4">
        <v>15331321</v>
      </c>
      <c r="D275" s="19">
        <v>254708493971</v>
      </c>
      <c r="E275" s="21">
        <v>45663.2858796296</v>
      </c>
      <c r="F275" s="4">
        <v>758.15</v>
      </c>
      <c r="G275" s="4">
        <v>0.47</v>
      </c>
      <c r="H275" s="4">
        <v>757.68</v>
      </c>
      <c r="I275" s="4">
        <v>41.98</v>
      </c>
      <c r="J275" s="4">
        <v>0.39</v>
      </c>
      <c r="K275" s="4">
        <v>41.59</v>
      </c>
      <c r="L275" s="4">
        <v>118.16</v>
      </c>
      <c r="M275" s="4">
        <v>15715</v>
      </c>
      <c r="N275" s="4">
        <v>25.93</v>
      </c>
      <c r="O275" s="4">
        <v>3448.5</v>
      </c>
      <c r="P275" s="4" t="s">
        <v>34</v>
      </c>
      <c r="Q275" s="4" t="s">
        <v>30</v>
      </c>
      <c r="R275" s="4" t="s">
        <v>38</v>
      </c>
      <c r="S275" s="4">
        <v>0</v>
      </c>
      <c r="T275" s="4">
        <v>0</v>
      </c>
      <c r="U275" s="4">
        <v>0</v>
      </c>
      <c r="V275" s="4" t="s">
        <v>32</v>
      </c>
      <c r="W275" s="4" t="s">
        <v>32</v>
      </c>
      <c r="X275" s="4" t="s">
        <v>32</v>
      </c>
      <c r="Y275" s="4" t="s">
        <v>32</v>
      </c>
      <c r="Z275" s="4" t="s">
        <v>32</v>
      </c>
      <c r="AA275" s="4" t="s">
        <v>32</v>
      </c>
    </row>
    <row r="276" s="4" customFormat="1" spans="1:27">
      <c r="A276" s="4" t="s">
        <v>106</v>
      </c>
      <c r="B276" s="4" t="s">
        <v>28</v>
      </c>
      <c r="C276" s="4">
        <v>113761</v>
      </c>
      <c r="D276" s="19">
        <v>254710180740</v>
      </c>
      <c r="E276" s="21">
        <v>43890.2645949074</v>
      </c>
      <c r="F276" s="4">
        <v>2256.84</v>
      </c>
      <c r="G276" s="4">
        <v>0</v>
      </c>
      <c r="H276" s="4">
        <v>2256.84</v>
      </c>
      <c r="I276" s="4">
        <v>-75.45</v>
      </c>
      <c r="J276" s="4">
        <v>0</v>
      </c>
      <c r="K276" s="4">
        <v>-75.45</v>
      </c>
      <c r="L276" s="4">
        <v>966.14</v>
      </c>
      <c r="M276" s="4">
        <v>128496</v>
      </c>
      <c r="N276" s="4">
        <v>916.76</v>
      </c>
      <c r="O276" s="4">
        <v>121928.7</v>
      </c>
      <c r="P276" s="4" t="s">
        <v>29</v>
      </c>
      <c r="Q276" s="4" t="s">
        <v>30</v>
      </c>
      <c r="R276" s="4" t="s">
        <v>38</v>
      </c>
      <c r="S276" s="4">
        <v>0</v>
      </c>
      <c r="T276" s="4">
        <v>0</v>
      </c>
      <c r="U276" s="4">
        <v>0</v>
      </c>
      <c r="V276" s="4" t="s">
        <v>32</v>
      </c>
      <c r="W276" s="4" t="s">
        <v>32</v>
      </c>
      <c r="X276" s="4" t="s">
        <v>32</v>
      </c>
      <c r="Y276" s="4" t="s">
        <v>32</v>
      </c>
      <c r="Z276" s="4" t="s">
        <v>32</v>
      </c>
      <c r="AA276" s="4" t="s">
        <v>32</v>
      </c>
    </row>
    <row r="277" s="4" customFormat="1" spans="1:27">
      <c r="A277" s="4" t="s">
        <v>106</v>
      </c>
      <c r="B277" s="4" t="s">
        <v>28</v>
      </c>
      <c r="C277" s="4">
        <v>17271401</v>
      </c>
      <c r="D277" s="19">
        <v>254710211285</v>
      </c>
      <c r="E277" s="21">
        <v>45842.68375</v>
      </c>
      <c r="F277" s="4">
        <v>11076.48</v>
      </c>
      <c r="G277" s="4">
        <v>0.67</v>
      </c>
      <c r="H277" s="4">
        <v>11075.81</v>
      </c>
      <c r="I277" s="4">
        <v>153.08</v>
      </c>
      <c r="J277" s="4">
        <v>0.6</v>
      </c>
      <c r="K277" s="4">
        <v>152.48</v>
      </c>
      <c r="L277" s="4">
        <v>1169.49</v>
      </c>
      <c r="M277" s="4">
        <v>155542</v>
      </c>
      <c r="N277" s="4">
        <v>22.53</v>
      </c>
      <c r="O277" s="4">
        <v>2997.1</v>
      </c>
      <c r="P277" s="4" t="s">
        <v>34</v>
      </c>
      <c r="Q277" s="4" t="s">
        <v>33</v>
      </c>
      <c r="R277" s="4" t="s">
        <v>38</v>
      </c>
      <c r="S277" s="4">
        <v>0</v>
      </c>
      <c r="T277" s="4">
        <v>0</v>
      </c>
      <c r="U277" s="4">
        <v>1</v>
      </c>
      <c r="V277" s="4">
        <v>1</v>
      </c>
      <c r="W277" s="4" t="s">
        <v>32</v>
      </c>
      <c r="X277" s="4" t="s">
        <v>32</v>
      </c>
      <c r="Y277" s="4" t="s">
        <v>32</v>
      </c>
      <c r="Z277" s="4" t="s">
        <v>32</v>
      </c>
      <c r="AA277" s="4" t="s">
        <v>32</v>
      </c>
    </row>
    <row r="278" s="4" customFormat="1" spans="1:27">
      <c r="A278" s="4" t="s">
        <v>106</v>
      </c>
      <c r="B278" s="4" t="s">
        <v>28</v>
      </c>
      <c r="C278" s="4">
        <v>13247522</v>
      </c>
      <c r="D278" s="19">
        <v>254710269121</v>
      </c>
      <c r="E278" s="21">
        <v>45474.3546759259</v>
      </c>
      <c r="F278" s="4">
        <v>211.57</v>
      </c>
      <c r="G278" s="4">
        <v>43.71</v>
      </c>
      <c r="H278" s="4">
        <v>167.86</v>
      </c>
      <c r="I278" s="4">
        <v>52.08</v>
      </c>
      <c r="J278" s="4">
        <v>39.36</v>
      </c>
      <c r="K278" s="4">
        <v>12.73</v>
      </c>
      <c r="L278" s="4">
        <v>87.16</v>
      </c>
      <c r="M278" s="4">
        <v>11592</v>
      </c>
      <c r="N278" s="4">
        <v>78.51</v>
      </c>
      <c r="O278" s="4">
        <v>10442.4</v>
      </c>
      <c r="P278" s="4" t="s">
        <v>35</v>
      </c>
      <c r="Q278" s="4" t="s">
        <v>30</v>
      </c>
      <c r="R278" s="4" t="s">
        <v>38</v>
      </c>
      <c r="S278" s="4">
        <v>2000</v>
      </c>
      <c r="T278" s="4">
        <v>0</v>
      </c>
      <c r="U278" s="4">
        <v>0</v>
      </c>
      <c r="V278" s="4" t="s">
        <v>32</v>
      </c>
      <c r="W278" s="4" t="s">
        <v>32</v>
      </c>
      <c r="X278" s="4" t="s">
        <v>32</v>
      </c>
      <c r="Y278" s="4" t="s">
        <v>32</v>
      </c>
      <c r="Z278" s="4" t="s">
        <v>32</v>
      </c>
      <c r="AA278" s="4" t="s">
        <v>32</v>
      </c>
    </row>
    <row r="279" s="4" customFormat="1" spans="1:27">
      <c r="A279" s="4" t="s">
        <v>106</v>
      </c>
      <c r="B279" s="4" t="s">
        <v>28</v>
      </c>
      <c r="C279" s="4">
        <v>22687641</v>
      </c>
      <c r="D279" s="19">
        <v>254711376243</v>
      </c>
      <c r="E279" s="21">
        <v>46143.5530902778</v>
      </c>
      <c r="F279" s="4">
        <v>922.46</v>
      </c>
      <c r="G279" s="4">
        <v>0</v>
      </c>
      <c r="H279" s="4">
        <v>922.46</v>
      </c>
      <c r="I279" s="4">
        <v>17.88</v>
      </c>
      <c r="J279" s="4">
        <v>0</v>
      </c>
      <c r="K279" s="4">
        <v>17.88</v>
      </c>
      <c r="L279" s="4">
        <v>87.97</v>
      </c>
      <c r="M279" s="4">
        <v>11700</v>
      </c>
      <c r="N279" s="4">
        <v>83.57</v>
      </c>
      <c r="O279" s="4">
        <v>11115</v>
      </c>
      <c r="P279" s="4" t="s">
        <v>29</v>
      </c>
      <c r="Q279" s="4" t="s">
        <v>30</v>
      </c>
      <c r="R279" s="4" t="s">
        <v>38</v>
      </c>
      <c r="S279" s="4">
        <v>0</v>
      </c>
      <c r="T279" s="4">
        <v>0</v>
      </c>
      <c r="U279" s="4">
        <v>0</v>
      </c>
      <c r="V279" s="4" t="s">
        <v>32</v>
      </c>
      <c r="W279" s="4" t="s">
        <v>32</v>
      </c>
      <c r="X279" s="4" t="s">
        <v>32</v>
      </c>
      <c r="Y279" s="4" t="s">
        <v>32</v>
      </c>
      <c r="Z279" s="4" t="s">
        <v>32</v>
      </c>
      <c r="AA279" s="4" t="s">
        <v>32</v>
      </c>
    </row>
    <row r="280" s="4" customFormat="1" spans="1:27">
      <c r="A280" s="4" t="s">
        <v>106</v>
      </c>
      <c r="B280" s="4" t="s">
        <v>28</v>
      </c>
      <c r="C280" s="4">
        <v>19469131</v>
      </c>
      <c r="D280" s="19">
        <v>254711541119</v>
      </c>
      <c r="E280" s="21">
        <v>45975.6874652778</v>
      </c>
      <c r="F280" s="4">
        <v>647.62</v>
      </c>
      <c r="G280" s="4">
        <v>0.39</v>
      </c>
      <c r="H280" s="4">
        <v>647.23</v>
      </c>
      <c r="I280" s="4">
        <v>32.98</v>
      </c>
      <c r="J280" s="4">
        <v>0</v>
      </c>
      <c r="K280" s="4">
        <v>32.98</v>
      </c>
      <c r="L280" s="4">
        <v>64.7</v>
      </c>
      <c r="M280" s="4">
        <v>8605</v>
      </c>
      <c r="N280" s="4">
        <v>5.04</v>
      </c>
      <c r="O280" s="4">
        <v>669.75</v>
      </c>
      <c r="P280" s="4" t="s">
        <v>29</v>
      </c>
      <c r="Q280" s="4" t="s">
        <v>30</v>
      </c>
      <c r="R280" s="4" t="s">
        <v>38</v>
      </c>
      <c r="S280" s="4">
        <v>0</v>
      </c>
      <c r="T280" s="4">
        <v>0</v>
      </c>
      <c r="U280" s="4">
        <v>0</v>
      </c>
      <c r="V280" s="4" t="s">
        <v>32</v>
      </c>
      <c r="W280" s="4" t="s">
        <v>32</v>
      </c>
      <c r="X280" s="4" t="s">
        <v>32</v>
      </c>
      <c r="Y280" s="4" t="s">
        <v>32</v>
      </c>
      <c r="Z280" s="4" t="s">
        <v>32</v>
      </c>
      <c r="AA280" s="4" t="s">
        <v>32</v>
      </c>
    </row>
    <row r="281" s="4" customFormat="1" spans="1:27">
      <c r="A281" s="4" t="s">
        <v>106</v>
      </c>
      <c r="B281" s="4" t="s">
        <v>28</v>
      </c>
      <c r="C281" s="4">
        <v>13983160</v>
      </c>
      <c r="D281" s="19">
        <v>254711614223</v>
      </c>
      <c r="E281" s="21">
        <v>45568.251724537</v>
      </c>
      <c r="F281" s="4">
        <v>214.08</v>
      </c>
      <c r="G281" s="4">
        <v>2.98</v>
      </c>
      <c r="H281" s="4">
        <v>211.1</v>
      </c>
      <c r="I281" s="4">
        <v>1.34</v>
      </c>
      <c r="J281" s="4">
        <v>-7.88</v>
      </c>
      <c r="K281" s="4">
        <v>9.22</v>
      </c>
      <c r="L281" s="4">
        <v>51.55</v>
      </c>
      <c r="M281" s="4">
        <v>6856</v>
      </c>
      <c r="N281" s="4">
        <v>0.67</v>
      </c>
      <c r="O281" s="4">
        <v>89.3</v>
      </c>
      <c r="P281" s="4" t="s">
        <v>34</v>
      </c>
      <c r="Q281" s="4" t="s">
        <v>30</v>
      </c>
      <c r="R281" s="4" t="s">
        <v>38</v>
      </c>
      <c r="S281" s="4">
        <v>0</v>
      </c>
      <c r="T281" s="4">
        <v>0</v>
      </c>
      <c r="U281" s="4">
        <v>0</v>
      </c>
      <c r="V281" s="4" t="s">
        <v>32</v>
      </c>
      <c r="W281" s="4" t="s">
        <v>32</v>
      </c>
      <c r="X281" s="4" t="s">
        <v>32</v>
      </c>
      <c r="Y281" s="4" t="s">
        <v>32</v>
      </c>
      <c r="Z281" s="4" t="s">
        <v>32</v>
      </c>
      <c r="AA281" s="4" t="s">
        <v>32</v>
      </c>
    </row>
    <row r="282" s="4" customFormat="1" spans="1:27">
      <c r="A282" s="4" t="s">
        <v>106</v>
      </c>
      <c r="B282" s="4" t="s">
        <v>28</v>
      </c>
      <c r="C282" s="4">
        <v>16772230</v>
      </c>
      <c r="D282" s="19">
        <v>254711646762</v>
      </c>
      <c r="E282" s="21">
        <v>45801.3371527778</v>
      </c>
      <c r="F282" s="4">
        <v>520.84</v>
      </c>
      <c r="G282" s="4">
        <v>0</v>
      </c>
      <c r="H282" s="4">
        <v>520.84</v>
      </c>
      <c r="I282" s="4">
        <v>-22.2</v>
      </c>
      <c r="J282" s="4">
        <v>0</v>
      </c>
      <c r="K282" s="4">
        <v>-22.2</v>
      </c>
      <c r="L282" s="4">
        <v>90.95</v>
      </c>
      <c r="M282" s="4">
        <v>12096</v>
      </c>
      <c r="N282" s="4">
        <v>4.61</v>
      </c>
      <c r="O282" s="4">
        <v>613.7</v>
      </c>
      <c r="P282" s="4" t="s">
        <v>29</v>
      </c>
      <c r="Q282" s="4" t="s">
        <v>30</v>
      </c>
      <c r="R282" s="4" t="s">
        <v>38</v>
      </c>
      <c r="S282" s="4">
        <v>0</v>
      </c>
      <c r="T282" s="4">
        <v>0</v>
      </c>
      <c r="U282" s="4">
        <v>0</v>
      </c>
      <c r="V282" s="4" t="s">
        <v>32</v>
      </c>
      <c r="W282" s="4" t="s">
        <v>32</v>
      </c>
      <c r="X282" s="4" t="s">
        <v>32</v>
      </c>
      <c r="Y282" s="4" t="s">
        <v>32</v>
      </c>
      <c r="Z282" s="4" t="s">
        <v>32</v>
      </c>
      <c r="AA282" s="4" t="s">
        <v>32</v>
      </c>
    </row>
    <row r="283" s="4" customFormat="1" spans="1:27">
      <c r="A283" s="4" t="s">
        <v>106</v>
      </c>
      <c r="B283" s="4" t="s">
        <v>28</v>
      </c>
      <c r="C283" s="4">
        <v>10880232</v>
      </c>
      <c r="D283" s="19">
        <v>254712453033</v>
      </c>
      <c r="E283" s="21">
        <v>45204.6652546296</v>
      </c>
      <c r="F283" s="4">
        <v>242.12</v>
      </c>
      <c r="G283" s="4">
        <v>0.07</v>
      </c>
      <c r="H283" s="4">
        <v>242.05</v>
      </c>
      <c r="I283" s="4">
        <v>-190.41</v>
      </c>
      <c r="J283" s="4">
        <v>0.07</v>
      </c>
      <c r="K283" s="4">
        <v>-190.47</v>
      </c>
      <c r="L283" s="4">
        <v>110.98</v>
      </c>
      <c r="M283" s="4">
        <v>14761</v>
      </c>
      <c r="N283" s="4">
        <v>39.38</v>
      </c>
      <c r="O283" s="4">
        <v>5237.35</v>
      </c>
      <c r="P283" s="4" t="s">
        <v>34</v>
      </c>
      <c r="Q283" s="4" t="s">
        <v>30</v>
      </c>
      <c r="R283" s="4" t="s">
        <v>38</v>
      </c>
      <c r="S283" s="4">
        <v>0</v>
      </c>
      <c r="T283" s="4">
        <v>0</v>
      </c>
      <c r="U283" s="4">
        <v>0</v>
      </c>
      <c r="V283" s="4" t="s">
        <v>32</v>
      </c>
      <c r="W283" s="4" t="s">
        <v>32</v>
      </c>
      <c r="X283" s="4" t="s">
        <v>32</v>
      </c>
      <c r="Y283" s="4" t="s">
        <v>32</v>
      </c>
      <c r="Z283" s="4" t="s">
        <v>32</v>
      </c>
      <c r="AA283" s="4" t="s">
        <v>32</v>
      </c>
    </row>
    <row r="284" s="4" customFormat="1" spans="1:27">
      <c r="A284" s="4" t="s">
        <v>106</v>
      </c>
      <c r="B284" s="4" t="s">
        <v>28</v>
      </c>
      <c r="C284" s="4">
        <v>3384571</v>
      </c>
      <c r="D284" s="19">
        <v>254713125981</v>
      </c>
      <c r="E284" s="21">
        <v>44199.4493171296</v>
      </c>
      <c r="F284" s="4">
        <v>25012.51</v>
      </c>
      <c r="G284" s="4">
        <v>1.22</v>
      </c>
      <c r="H284" s="4">
        <v>25011.29</v>
      </c>
      <c r="I284" s="4">
        <v>142.74</v>
      </c>
      <c r="J284" s="4">
        <v>1.22</v>
      </c>
      <c r="K284" s="4">
        <v>141.53</v>
      </c>
      <c r="L284" s="4">
        <v>1269.47</v>
      </c>
      <c r="M284" s="4">
        <v>168840</v>
      </c>
      <c r="N284" s="4">
        <v>1.43</v>
      </c>
      <c r="O284" s="4">
        <v>190</v>
      </c>
      <c r="P284" s="4" t="s">
        <v>29</v>
      </c>
      <c r="Q284" s="4" t="s">
        <v>33</v>
      </c>
      <c r="R284" s="4" t="s">
        <v>38</v>
      </c>
      <c r="S284" s="4">
        <v>0</v>
      </c>
      <c r="T284" s="4">
        <v>0</v>
      </c>
      <c r="U284" s="4">
        <v>0</v>
      </c>
      <c r="V284" s="4" t="s">
        <v>32</v>
      </c>
      <c r="W284" s="4" t="s">
        <v>32</v>
      </c>
      <c r="X284" s="4" t="s">
        <v>32</v>
      </c>
      <c r="Y284" s="4" t="s">
        <v>32</v>
      </c>
      <c r="Z284" s="4" t="s">
        <v>32</v>
      </c>
      <c r="AA284" s="4" t="s">
        <v>32</v>
      </c>
    </row>
    <row r="285" s="4" customFormat="1" spans="1:27">
      <c r="A285" s="4" t="s">
        <v>106</v>
      </c>
      <c r="B285" s="4" t="s">
        <v>28</v>
      </c>
      <c r="C285" s="4">
        <v>7809212</v>
      </c>
      <c r="D285" s="19">
        <v>254713555219</v>
      </c>
      <c r="E285" s="21">
        <v>44673.5498032407</v>
      </c>
      <c r="F285" s="4">
        <v>476.39</v>
      </c>
      <c r="G285" s="4">
        <v>0.01</v>
      </c>
      <c r="H285" s="4">
        <v>476.39</v>
      </c>
      <c r="I285" s="4">
        <v>8.13</v>
      </c>
      <c r="J285" s="4">
        <v>0.01</v>
      </c>
      <c r="K285" s="4">
        <v>8.12</v>
      </c>
      <c r="L285" s="4">
        <v>99.1</v>
      </c>
      <c r="M285" s="4">
        <v>13180</v>
      </c>
      <c r="N285" s="4">
        <v>59.36</v>
      </c>
      <c r="O285" s="4">
        <v>7894.5</v>
      </c>
      <c r="P285" s="4" t="s">
        <v>29</v>
      </c>
      <c r="Q285" s="4" t="s">
        <v>30</v>
      </c>
      <c r="R285" s="4" t="s">
        <v>38</v>
      </c>
      <c r="S285" s="4">
        <v>0</v>
      </c>
      <c r="T285" s="4">
        <v>0</v>
      </c>
      <c r="U285" s="4">
        <v>0</v>
      </c>
      <c r="V285" s="4" t="s">
        <v>32</v>
      </c>
      <c r="W285" s="4" t="s">
        <v>32</v>
      </c>
      <c r="X285" s="4" t="s">
        <v>32</v>
      </c>
      <c r="Y285" s="4" t="s">
        <v>32</v>
      </c>
      <c r="Z285" s="4" t="s">
        <v>32</v>
      </c>
      <c r="AA285" s="4" t="s">
        <v>32</v>
      </c>
    </row>
    <row r="286" s="4" customFormat="1" spans="1:27">
      <c r="A286" s="4" t="s">
        <v>106</v>
      </c>
      <c r="B286" s="4" t="s">
        <v>28</v>
      </c>
      <c r="C286" s="4">
        <v>3420571</v>
      </c>
      <c r="D286" s="19">
        <v>254716282794</v>
      </c>
      <c r="E286" s="21">
        <v>44211.5986226852</v>
      </c>
      <c r="F286" s="4">
        <v>1741.84</v>
      </c>
      <c r="G286" s="4">
        <v>9.49</v>
      </c>
      <c r="H286" s="4">
        <v>1732.35</v>
      </c>
      <c r="I286" s="4">
        <v>58.23</v>
      </c>
      <c r="J286" s="4">
        <v>6.64</v>
      </c>
      <c r="K286" s="4">
        <v>51.79</v>
      </c>
      <c r="L286" s="4">
        <v>184.18</v>
      </c>
      <c r="M286" s="4">
        <v>24496</v>
      </c>
      <c r="N286" s="4">
        <v>0</v>
      </c>
      <c r="O286" s="4">
        <v>0</v>
      </c>
      <c r="P286" s="4" t="s">
        <v>34</v>
      </c>
      <c r="Q286" s="4" t="s">
        <v>30</v>
      </c>
      <c r="R286" s="4" t="s">
        <v>38</v>
      </c>
      <c r="S286" s="4">
        <v>0</v>
      </c>
      <c r="T286" s="4">
        <v>0</v>
      </c>
      <c r="U286" s="4">
        <v>0</v>
      </c>
      <c r="V286" s="4" t="s">
        <v>32</v>
      </c>
      <c r="W286" s="4" t="s">
        <v>32</v>
      </c>
      <c r="X286" s="4" t="s">
        <v>32</v>
      </c>
      <c r="Y286" s="4" t="s">
        <v>32</v>
      </c>
      <c r="Z286" s="4" t="s">
        <v>32</v>
      </c>
      <c r="AA286" s="4" t="s">
        <v>32</v>
      </c>
    </row>
    <row r="287" s="4" customFormat="1" spans="1:27">
      <c r="A287" s="4" t="s">
        <v>106</v>
      </c>
      <c r="B287" s="4" t="s">
        <v>28</v>
      </c>
      <c r="C287" s="4">
        <v>63270</v>
      </c>
      <c r="D287" s="19">
        <v>254717327791</v>
      </c>
      <c r="E287" s="21">
        <v>43852.6372453704</v>
      </c>
      <c r="F287" s="4">
        <v>745.46</v>
      </c>
      <c r="G287" s="4">
        <v>28.52</v>
      </c>
      <c r="H287" s="4">
        <v>716.95</v>
      </c>
      <c r="I287" s="4">
        <v>23.48</v>
      </c>
      <c r="J287" s="4">
        <v>19.31</v>
      </c>
      <c r="K287" s="4">
        <v>4.18</v>
      </c>
      <c r="L287" s="4">
        <v>156.28</v>
      </c>
      <c r="M287" s="4">
        <v>20785</v>
      </c>
      <c r="N287" s="4">
        <v>7.93</v>
      </c>
      <c r="O287" s="4">
        <v>1054.5</v>
      </c>
      <c r="P287" s="4" t="s">
        <v>34</v>
      </c>
      <c r="Q287" s="4" t="s">
        <v>30</v>
      </c>
      <c r="R287" s="4" t="s">
        <v>38</v>
      </c>
      <c r="S287" s="4">
        <v>0</v>
      </c>
      <c r="T287" s="4">
        <v>0</v>
      </c>
      <c r="U287" s="4">
        <v>0</v>
      </c>
      <c r="V287" s="4" t="s">
        <v>32</v>
      </c>
      <c r="W287" s="4" t="s">
        <v>32</v>
      </c>
      <c r="X287" s="4" t="s">
        <v>32</v>
      </c>
      <c r="Y287" s="4" t="s">
        <v>32</v>
      </c>
      <c r="Z287" s="4" t="s">
        <v>32</v>
      </c>
      <c r="AA287" s="4" t="s">
        <v>32</v>
      </c>
    </row>
    <row r="288" s="4" customFormat="1" spans="1:27">
      <c r="A288" s="4" t="s">
        <v>106</v>
      </c>
      <c r="B288" s="4" t="s">
        <v>28</v>
      </c>
      <c r="C288" s="4">
        <v>2147321</v>
      </c>
      <c r="D288" s="19">
        <v>254718180196</v>
      </c>
      <c r="E288" s="21">
        <v>44054.3104282407</v>
      </c>
      <c r="F288" s="4">
        <v>272.06</v>
      </c>
      <c r="G288" s="4">
        <v>0</v>
      </c>
      <c r="H288" s="4">
        <v>272.06</v>
      </c>
      <c r="I288" s="4">
        <v>110.85</v>
      </c>
      <c r="J288" s="4">
        <v>0</v>
      </c>
      <c r="K288" s="4">
        <v>110.85</v>
      </c>
      <c r="L288" s="4">
        <v>120.17</v>
      </c>
      <c r="M288" s="4">
        <v>15982</v>
      </c>
      <c r="N288" s="4">
        <v>0</v>
      </c>
      <c r="O288" s="4">
        <v>0</v>
      </c>
      <c r="P288" s="4" t="s">
        <v>29</v>
      </c>
      <c r="Q288" s="4" t="s">
        <v>30</v>
      </c>
      <c r="R288" s="4" t="s">
        <v>38</v>
      </c>
      <c r="S288" s="4">
        <v>0</v>
      </c>
      <c r="T288" s="4">
        <v>0</v>
      </c>
      <c r="U288" s="4">
        <v>0</v>
      </c>
      <c r="V288" s="4" t="s">
        <v>32</v>
      </c>
      <c r="W288" s="4" t="s">
        <v>32</v>
      </c>
      <c r="X288" s="4" t="s">
        <v>32</v>
      </c>
      <c r="Y288" s="4" t="s">
        <v>32</v>
      </c>
      <c r="Z288" s="4" t="s">
        <v>32</v>
      </c>
      <c r="AA288" s="4" t="s">
        <v>32</v>
      </c>
    </row>
    <row r="289" s="4" customFormat="1" spans="1:27">
      <c r="A289" s="4" t="s">
        <v>106</v>
      </c>
      <c r="B289" s="4" t="s">
        <v>28</v>
      </c>
      <c r="C289" s="4">
        <v>15462671</v>
      </c>
      <c r="D289" s="19">
        <v>254718317195</v>
      </c>
      <c r="E289" s="21">
        <v>45672.4430324074</v>
      </c>
      <c r="F289" s="4">
        <v>4579.16</v>
      </c>
      <c r="G289" s="4">
        <v>0</v>
      </c>
      <c r="H289" s="4">
        <v>4579.16</v>
      </c>
      <c r="I289" s="4">
        <v>276.4</v>
      </c>
      <c r="J289" s="4">
        <v>0</v>
      </c>
      <c r="K289" s="4">
        <v>276.4</v>
      </c>
      <c r="L289" s="4">
        <v>587.02</v>
      </c>
      <c r="M289" s="4">
        <v>78073</v>
      </c>
      <c r="N289" s="4">
        <v>16.91</v>
      </c>
      <c r="O289" s="4">
        <v>2248.65</v>
      </c>
      <c r="P289" s="4" t="s">
        <v>29</v>
      </c>
      <c r="Q289" s="4" t="s">
        <v>30</v>
      </c>
      <c r="R289" s="4" t="s">
        <v>38</v>
      </c>
      <c r="S289" s="4">
        <v>0</v>
      </c>
      <c r="T289" s="4">
        <v>0</v>
      </c>
      <c r="U289" s="4">
        <v>0</v>
      </c>
      <c r="V289" s="4" t="s">
        <v>32</v>
      </c>
      <c r="W289" s="4" t="s">
        <v>32</v>
      </c>
      <c r="X289" s="4" t="s">
        <v>32</v>
      </c>
      <c r="Y289" s="4" t="s">
        <v>32</v>
      </c>
      <c r="Z289" s="4" t="s">
        <v>32</v>
      </c>
      <c r="AA289" s="4" t="s">
        <v>32</v>
      </c>
    </row>
    <row r="290" s="4" customFormat="1" spans="1:27">
      <c r="A290" s="4" t="s">
        <v>106</v>
      </c>
      <c r="B290" s="4" t="s">
        <v>28</v>
      </c>
      <c r="C290" s="4">
        <v>15864150</v>
      </c>
      <c r="D290" s="19">
        <v>254720046513</v>
      </c>
      <c r="E290" s="21">
        <v>45705.2752893519</v>
      </c>
      <c r="F290" s="4">
        <v>2624.77</v>
      </c>
      <c r="G290" s="4">
        <v>0</v>
      </c>
      <c r="H290" s="4">
        <v>2624.77</v>
      </c>
      <c r="I290" s="4">
        <v>17.14</v>
      </c>
      <c r="J290" s="4">
        <v>0</v>
      </c>
      <c r="K290" s="4">
        <v>17.14</v>
      </c>
      <c r="L290" s="4">
        <v>410.83</v>
      </c>
      <c r="M290" s="4">
        <v>54641</v>
      </c>
      <c r="N290" s="4">
        <v>4.71</v>
      </c>
      <c r="O290" s="4">
        <v>627</v>
      </c>
      <c r="P290" s="4" t="s">
        <v>29</v>
      </c>
      <c r="Q290" s="4" t="s">
        <v>30</v>
      </c>
      <c r="R290" s="4" t="s">
        <v>38</v>
      </c>
      <c r="S290" s="4">
        <v>0</v>
      </c>
      <c r="T290" s="4">
        <v>0</v>
      </c>
      <c r="U290" s="4">
        <v>0</v>
      </c>
      <c r="V290" s="4" t="s">
        <v>32</v>
      </c>
      <c r="W290" s="4" t="s">
        <v>32</v>
      </c>
      <c r="X290" s="4" t="s">
        <v>32</v>
      </c>
      <c r="Y290" s="4" t="s">
        <v>32</v>
      </c>
      <c r="Z290" s="4" t="s">
        <v>32</v>
      </c>
      <c r="AA290" s="4" t="s">
        <v>32</v>
      </c>
    </row>
    <row r="291" s="4" customFormat="1" spans="1:27">
      <c r="A291" s="4" t="s">
        <v>106</v>
      </c>
      <c r="B291" s="4" t="s">
        <v>28</v>
      </c>
      <c r="C291" s="4">
        <v>2088102</v>
      </c>
      <c r="D291" s="19">
        <v>254722884184</v>
      </c>
      <c r="E291" s="21">
        <v>44047.8293518518</v>
      </c>
      <c r="F291" s="4">
        <v>608.15</v>
      </c>
      <c r="G291" s="4">
        <v>0</v>
      </c>
      <c r="H291" s="4">
        <v>608.15</v>
      </c>
      <c r="I291" s="4">
        <v>17.24</v>
      </c>
      <c r="J291" s="4">
        <v>0</v>
      </c>
      <c r="K291" s="4">
        <v>17.24</v>
      </c>
      <c r="L291" s="4">
        <v>116.17</v>
      </c>
      <c r="M291" s="4">
        <v>15450</v>
      </c>
      <c r="N291" s="4">
        <v>55.16</v>
      </c>
      <c r="O291" s="4">
        <v>7335.9</v>
      </c>
      <c r="P291" s="4" t="s">
        <v>29</v>
      </c>
      <c r="Q291" s="4" t="s">
        <v>30</v>
      </c>
      <c r="R291" s="4" t="s">
        <v>38</v>
      </c>
      <c r="S291" s="4">
        <v>0</v>
      </c>
      <c r="T291" s="4">
        <v>0</v>
      </c>
      <c r="U291" s="4">
        <v>0</v>
      </c>
      <c r="V291" s="4" t="s">
        <v>32</v>
      </c>
      <c r="W291" s="4" t="s">
        <v>32</v>
      </c>
      <c r="X291" s="4" t="s">
        <v>32</v>
      </c>
      <c r="Y291" s="4" t="s">
        <v>32</v>
      </c>
      <c r="Z291" s="4" t="s">
        <v>32</v>
      </c>
      <c r="AA291" s="4" t="s">
        <v>32</v>
      </c>
    </row>
    <row r="292" s="4" customFormat="1" spans="1:27">
      <c r="A292" s="4" t="s">
        <v>106</v>
      </c>
      <c r="B292" s="4" t="s">
        <v>28</v>
      </c>
      <c r="C292" s="4">
        <v>3272020</v>
      </c>
      <c r="D292" s="19">
        <v>254722925809</v>
      </c>
      <c r="E292" s="21">
        <v>44161.4725810185</v>
      </c>
      <c r="F292" s="4">
        <v>735.32</v>
      </c>
      <c r="G292" s="4">
        <v>0</v>
      </c>
      <c r="H292" s="4">
        <v>735.32</v>
      </c>
      <c r="I292" s="4">
        <v>25.18</v>
      </c>
      <c r="J292" s="4">
        <v>0</v>
      </c>
      <c r="K292" s="4">
        <v>25.18</v>
      </c>
      <c r="L292" s="4">
        <v>86.95</v>
      </c>
      <c r="M292" s="4">
        <v>11565</v>
      </c>
      <c r="N292" s="4">
        <v>68.8</v>
      </c>
      <c r="O292" s="4">
        <v>9150.4</v>
      </c>
      <c r="P292" s="4" t="s">
        <v>29</v>
      </c>
      <c r="Q292" s="4" t="s">
        <v>30</v>
      </c>
      <c r="R292" s="4" t="s">
        <v>38</v>
      </c>
      <c r="S292" s="4">
        <v>0</v>
      </c>
      <c r="T292" s="4">
        <v>0</v>
      </c>
      <c r="U292" s="4">
        <v>0</v>
      </c>
      <c r="V292" s="4" t="s">
        <v>32</v>
      </c>
      <c r="W292" s="4" t="s">
        <v>32</v>
      </c>
      <c r="X292" s="4" t="s">
        <v>32</v>
      </c>
      <c r="Y292" s="4" t="s">
        <v>32</v>
      </c>
      <c r="Z292" s="4" t="s">
        <v>32</v>
      </c>
      <c r="AA292" s="4" t="s">
        <v>32</v>
      </c>
    </row>
    <row r="293" s="4" customFormat="1" spans="1:27">
      <c r="A293" s="4" t="s">
        <v>106</v>
      </c>
      <c r="B293" s="4" t="s">
        <v>28</v>
      </c>
      <c r="C293" s="4">
        <v>531341</v>
      </c>
      <c r="D293" s="19">
        <v>254724373010</v>
      </c>
      <c r="E293" s="21">
        <v>43926.0935300926</v>
      </c>
      <c r="F293" s="4">
        <v>858.91</v>
      </c>
      <c r="G293" s="4">
        <v>2.83</v>
      </c>
      <c r="H293" s="4">
        <v>856.08</v>
      </c>
      <c r="I293" s="4">
        <v>40.16</v>
      </c>
      <c r="J293" s="4">
        <v>-1.16</v>
      </c>
      <c r="K293" s="4">
        <v>41.32</v>
      </c>
      <c r="L293" s="4">
        <v>156.84</v>
      </c>
      <c r="M293" s="4">
        <v>20860</v>
      </c>
      <c r="N293" s="4">
        <v>5.68</v>
      </c>
      <c r="O293" s="4">
        <v>755.25</v>
      </c>
      <c r="P293" s="4" t="s">
        <v>34</v>
      </c>
      <c r="Q293" s="4" t="s">
        <v>30</v>
      </c>
      <c r="R293" s="4" t="s">
        <v>38</v>
      </c>
      <c r="S293" s="4">
        <v>0</v>
      </c>
      <c r="T293" s="4">
        <v>0</v>
      </c>
      <c r="U293" s="4">
        <v>0</v>
      </c>
      <c r="V293" s="4" t="s">
        <v>32</v>
      </c>
      <c r="W293" s="4" t="s">
        <v>32</v>
      </c>
      <c r="X293" s="4" t="s">
        <v>32</v>
      </c>
      <c r="Y293" s="4" t="s">
        <v>32</v>
      </c>
      <c r="Z293" s="4" t="s">
        <v>32</v>
      </c>
      <c r="AA293" s="4" t="s">
        <v>32</v>
      </c>
    </row>
    <row r="294" s="4" customFormat="1" spans="1:27">
      <c r="A294" s="4" t="s">
        <v>106</v>
      </c>
      <c r="B294" s="4" t="s">
        <v>28</v>
      </c>
      <c r="C294" s="4">
        <v>16034170</v>
      </c>
      <c r="D294" s="19">
        <v>254725095277</v>
      </c>
      <c r="E294" s="21">
        <v>45737.215</v>
      </c>
      <c r="F294" s="4">
        <v>381.49</v>
      </c>
      <c r="G294" s="4">
        <v>0</v>
      </c>
      <c r="H294" s="4">
        <v>381.49</v>
      </c>
      <c r="I294" s="4">
        <v>4.47</v>
      </c>
      <c r="J294" s="4">
        <v>0</v>
      </c>
      <c r="K294" s="4">
        <v>4.47</v>
      </c>
      <c r="L294" s="4">
        <v>53.77</v>
      </c>
      <c r="M294" s="4">
        <v>7151</v>
      </c>
      <c r="N294" s="4">
        <v>0</v>
      </c>
      <c r="O294" s="4">
        <v>0</v>
      </c>
      <c r="P294" s="4" t="s">
        <v>29</v>
      </c>
      <c r="Q294" s="4" t="s">
        <v>30</v>
      </c>
      <c r="R294" s="4" t="s">
        <v>38</v>
      </c>
      <c r="S294" s="4">
        <v>0</v>
      </c>
      <c r="T294" s="4">
        <v>0</v>
      </c>
      <c r="U294" s="4">
        <v>0</v>
      </c>
      <c r="V294" s="4" t="s">
        <v>32</v>
      </c>
      <c r="W294" s="4" t="s">
        <v>32</v>
      </c>
      <c r="X294" s="4" t="s">
        <v>32</v>
      </c>
      <c r="Y294" s="4" t="s">
        <v>32</v>
      </c>
      <c r="Z294" s="4" t="s">
        <v>32</v>
      </c>
      <c r="AA294" s="4" t="s">
        <v>32</v>
      </c>
    </row>
    <row r="295" s="4" customFormat="1" spans="1:27">
      <c r="A295" s="4" t="s">
        <v>106</v>
      </c>
      <c r="B295" s="4" t="s">
        <v>28</v>
      </c>
      <c r="C295" s="4">
        <v>22199111</v>
      </c>
      <c r="D295" s="19">
        <v>254725575748</v>
      </c>
      <c r="E295" s="21">
        <v>46113.8486111111</v>
      </c>
      <c r="F295" s="4">
        <v>913.95</v>
      </c>
      <c r="G295" s="4">
        <v>0</v>
      </c>
      <c r="H295" s="4">
        <v>913.95</v>
      </c>
      <c r="I295" s="4">
        <v>44</v>
      </c>
      <c r="J295" s="4">
        <v>0</v>
      </c>
      <c r="K295" s="4">
        <v>44</v>
      </c>
      <c r="L295" s="4">
        <v>237.41</v>
      </c>
      <c r="M295" s="4">
        <v>31575</v>
      </c>
      <c r="N295" s="4">
        <v>225.54</v>
      </c>
      <c r="O295" s="4">
        <v>29996.25</v>
      </c>
      <c r="P295" s="4" t="s">
        <v>34</v>
      </c>
      <c r="Q295" s="4" t="s">
        <v>30</v>
      </c>
      <c r="R295" s="4" t="s">
        <v>38</v>
      </c>
      <c r="S295" s="4">
        <v>0</v>
      </c>
      <c r="T295" s="4">
        <v>0</v>
      </c>
      <c r="U295" s="4">
        <v>0</v>
      </c>
      <c r="V295" s="4" t="s">
        <v>32</v>
      </c>
      <c r="W295" s="4" t="s">
        <v>32</v>
      </c>
      <c r="X295" s="4" t="s">
        <v>32</v>
      </c>
      <c r="Y295" s="4" t="s">
        <v>32</v>
      </c>
      <c r="Z295" s="4" t="s">
        <v>32</v>
      </c>
      <c r="AA295" s="4" t="s">
        <v>32</v>
      </c>
    </row>
    <row r="296" s="4" customFormat="1" spans="1:27">
      <c r="A296" s="4" t="s">
        <v>106</v>
      </c>
      <c r="B296" s="4" t="s">
        <v>28</v>
      </c>
      <c r="C296" s="4">
        <v>12799791</v>
      </c>
      <c r="D296" s="19">
        <v>254725806597</v>
      </c>
      <c r="E296" s="21">
        <v>45406.3255324074</v>
      </c>
      <c r="F296" s="4">
        <v>1512.66</v>
      </c>
      <c r="G296" s="4">
        <v>0.44</v>
      </c>
      <c r="H296" s="4">
        <v>1512.22</v>
      </c>
      <c r="I296" s="4">
        <v>39.64</v>
      </c>
      <c r="J296" s="4">
        <v>0.44</v>
      </c>
      <c r="K296" s="4">
        <v>39.95</v>
      </c>
      <c r="L296" s="4">
        <v>95.23</v>
      </c>
      <c r="M296" s="4">
        <v>12665</v>
      </c>
      <c r="N296" s="4">
        <v>84.75</v>
      </c>
      <c r="O296" s="4">
        <v>11271.75</v>
      </c>
      <c r="P296" s="4" t="s">
        <v>29</v>
      </c>
      <c r="Q296" s="4" t="s">
        <v>30</v>
      </c>
      <c r="R296" s="4" t="s">
        <v>38</v>
      </c>
      <c r="S296" s="4">
        <v>0</v>
      </c>
      <c r="T296" s="4">
        <v>0</v>
      </c>
      <c r="U296" s="4">
        <v>0</v>
      </c>
      <c r="V296" s="4" t="s">
        <v>32</v>
      </c>
      <c r="W296" s="4" t="s">
        <v>32</v>
      </c>
      <c r="X296" s="4" t="s">
        <v>32</v>
      </c>
      <c r="Y296" s="4" t="s">
        <v>32</v>
      </c>
      <c r="Z296" s="4" t="s">
        <v>32</v>
      </c>
      <c r="AA296" s="4" t="s">
        <v>32</v>
      </c>
    </row>
    <row r="297" s="4" customFormat="1" spans="1:27">
      <c r="A297" s="4" t="s">
        <v>106</v>
      </c>
      <c r="B297" s="4" t="s">
        <v>28</v>
      </c>
      <c r="C297" s="4">
        <v>16411530</v>
      </c>
      <c r="D297" s="19">
        <v>254727560469</v>
      </c>
      <c r="E297" s="21">
        <v>45773.3412615741</v>
      </c>
      <c r="F297" s="4">
        <v>1577.41</v>
      </c>
      <c r="G297" s="4">
        <v>31.83</v>
      </c>
      <c r="H297" s="4">
        <v>1545.57</v>
      </c>
      <c r="I297" s="4">
        <v>139.85</v>
      </c>
      <c r="J297" s="4">
        <v>28.15</v>
      </c>
      <c r="K297" s="4">
        <v>111.7</v>
      </c>
      <c r="L297" s="4">
        <v>410.75</v>
      </c>
      <c r="M297" s="4">
        <v>54630</v>
      </c>
      <c r="N297" s="4">
        <v>50.71</v>
      </c>
      <c r="O297" s="4">
        <v>6745</v>
      </c>
      <c r="P297" s="4" t="s">
        <v>29</v>
      </c>
      <c r="Q297" s="4" t="s">
        <v>30</v>
      </c>
      <c r="R297" s="4" t="s">
        <v>38</v>
      </c>
      <c r="S297" s="4">
        <v>0</v>
      </c>
      <c r="T297" s="4">
        <v>0</v>
      </c>
      <c r="U297" s="4">
        <v>0</v>
      </c>
      <c r="V297" s="4" t="s">
        <v>32</v>
      </c>
      <c r="W297" s="4" t="s">
        <v>32</v>
      </c>
      <c r="X297" s="4" t="s">
        <v>32</v>
      </c>
      <c r="Y297" s="4" t="s">
        <v>32</v>
      </c>
      <c r="Z297" s="4" t="s">
        <v>32</v>
      </c>
      <c r="AA297" s="4" t="s">
        <v>32</v>
      </c>
    </row>
    <row r="298" s="4" customFormat="1" spans="1:27">
      <c r="A298" s="4" t="s">
        <v>106</v>
      </c>
      <c r="B298" s="4" t="s">
        <v>28</v>
      </c>
      <c r="C298" s="4">
        <v>22836942</v>
      </c>
      <c r="D298" s="19">
        <v>254727638673</v>
      </c>
      <c r="E298" s="21">
        <v>46154.6511921296</v>
      </c>
      <c r="F298" s="4">
        <v>563.09</v>
      </c>
      <c r="G298" s="4">
        <v>0</v>
      </c>
      <c r="H298" s="4">
        <v>563.09</v>
      </c>
      <c r="I298" s="4">
        <v>141.91</v>
      </c>
      <c r="J298" s="4">
        <v>0</v>
      </c>
      <c r="K298" s="4">
        <v>141.91</v>
      </c>
      <c r="L298" s="4">
        <v>190.98</v>
      </c>
      <c r="M298" s="4">
        <v>25400</v>
      </c>
      <c r="N298" s="4">
        <v>181.43</v>
      </c>
      <c r="O298" s="4">
        <v>24130</v>
      </c>
      <c r="P298" s="4" t="s">
        <v>29</v>
      </c>
      <c r="Q298" s="4" t="s">
        <v>30</v>
      </c>
      <c r="R298" s="4" t="s">
        <v>38</v>
      </c>
      <c r="S298" s="4">
        <v>0</v>
      </c>
      <c r="T298" s="4">
        <v>0</v>
      </c>
      <c r="U298" s="4">
        <v>0</v>
      </c>
      <c r="V298" s="4" t="s">
        <v>32</v>
      </c>
      <c r="W298" s="4" t="s">
        <v>32</v>
      </c>
      <c r="X298" s="4" t="s">
        <v>32</v>
      </c>
      <c r="Y298" s="4" t="s">
        <v>32</v>
      </c>
      <c r="Z298" s="4" t="s">
        <v>32</v>
      </c>
      <c r="AA298" s="4" t="s">
        <v>32</v>
      </c>
    </row>
    <row r="299" s="4" customFormat="1" spans="1:27">
      <c r="A299" s="4" t="s">
        <v>106</v>
      </c>
      <c r="B299" s="4" t="s">
        <v>28</v>
      </c>
      <c r="C299" s="4">
        <v>4815521</v>
      </c>
      <c r="D299" s="19">
        <v>254727696129</v>
      </c>
      <c r="E299" s="21">
        <v>44366.7123032407</v>
      </c>
      <c r="F299" s="4">
        <v>2706.74</v>
      </c>
      <c r="G299" s="4">
        <v>0</v>
      </c>
      <c r="H299" s="4">
        <v>2706.74</v>
      </c>
      <c r="I299" s="4">
        <v>181.57</v>
      </c>
      <c r="J299" s="4">
        <v>0</v>
      </c>
      <c r="K299" s="4">
        <v>181.57</v>
      </c>
      <c r="L299" s="4">
        <v>379.8</v>
      </c>
      <c r="M299" s="4">
        <v>50514</v>
      </c>
      <c r="N299" s="4">
        <v>61.18</v>
      </c>
      <c r="O299" s="4">
        <v>8136.75</v>
      </c>
      <c r="P299" s="4" t="s">
        <v>29</v>
      </c>
      <c r="Q299" s="4" t="s">
        <v>30</v>
      </c>
      <c r="R299" s="4" t="s">
        <v>38</v>
      </c>
      <c r="S299" s="4">
        <v>0</v>
      </c>
      <c r="T299" s="4">
        <v>0</v>
      </c>
      <c r="U299" s="4">
        <v>0</v>
      </c>
      <c r="V299" s="4" t="s">
        <v>32</v>
      </c>
      <c r="W299" s="4" t="s">
        <v>32</v>
      </c>
      <c r="X299" s="4" t="s">
        <v>32</v>
      </c>
      <c r="Y299" s="4" t="s">
        <v>32</v>
      </c>
      <c r="Z299" s="4" t="s">
        <v>32</v>
      </c>
      <c r="AA299" s="4" t="s">
        <v>32</v>
      </c>
    </row>
    <row r="300" s="4" customFormat="1" spans="1:27">
      <c r="A300" s="4" t="s">
        <v>106</v>
      </c>
      <c r="B300" s="4" t="s">
        <v>28</v>
      </c>
      <c r="C300" s="4">
        <v>17043271</v>
      </c>
      <c r="D300" s="19">
        <v>254727855867</v>
      </c>
      <c r="E300" s="21">
        <v>45826.2142476852</v>
      </c>
      <c r="F300" s="4">
        <v>815.63</v>
      </c>
      <c r="G300" s="4">
        <v>0.04</v>
      </c>
      <c r="H300" s="4">
        <v>815.6</v>
      </c>
      <c r="I300" s="4">
        <v>-7.08</v>
      </c>
      <c r="J300" s="4">
        <v>0.04</v>
      </c>
      <c r="K300" s="4">
        <v>-7.12</v>
      </c>
      <c r="L300" s="4">
        <v>214.12</v>
      </c>
      <c r="M300" s="4">
        <v>28478</v>
      </c>
      <c r="N300" s="4">
        <v>0</v>
      </c>
      <c r="O300" s="4">
        <v>0</v>
      </c>
      <c r="P300" s="4" t="s">
        <v>29</v>
      </c>
      <c r="Q300" s="4" t="s">
        <v>30</v>
      </c>
      <c r="R300" s="4" t="s">
        <v>38</v>
      </c>
      <c r="S300" s="4">
        <v>0</v>
      </c>
      <c r="T300" s="4">
        <v>0</v>
      </c>
      <c r="U300" s="4">
        <v>0</v>
      </c>
      <c r="V300" s="4" t="s">
        <v>32</v>
      </c>
      <c r="W300" s="4" t="s">
        <v>32</v>
      </c>
      <c r="X300" s="4" t="s">
        <v>32</v>
      </c>
      <c r="Y300" s="4" t="s">
        <v>32</v>
      </c>
      <c r="Z300" s="4" t="s">
        <v>32</v>
      </c>
      <c r="AA300" s="4" t="s">
        <v>32</v>
      </c>
    </row>
    <row r="301" s="4" customFormat="1" spans="1:27">
      <c r="A301" s="4" t="s">
        <v>106</v>
      </c>
      <c r="B301" s="4" t="s">
        <v>28</v>
      </c>
      <c r="C301" s="4">
        <v>18847660</v>
      </c>
      <c r="D301" s="19">
        <v>254728525727</v>
      </c>
      <c r="E301" s="21">
        <v>45938.3134837963</v>
      </c>
      <c r="F301" s="4">
        <v>736.15</v>
      </c>
      <c r="G301" s="4">
        <v>0</v>
      </c>
      <c r="H301" s="4">
        <v>736.15</v>
      </c>
      <c r="I301" s="4">
        <v>81.37</v>
      </c>
      <c r="J301" s="4">
        <v>0</v>
      </c>
      <c r="K301" s="4">
        <v>81.37</v>
      </c>
      <c r="L301" s="4">
        <v>192.8</v>
      </c>
      <c r="M301" s="4">
        <v>25642</v>
      </c>
      <c r="N301" s="4">
        <v>67.51</v>
      </c>
      <c r="O301" s="4">
        <v>8978.45</v>
      </c>
      <c r="P301" s="4" t="s">
        <v>29</v>
      </c>
      <c r="Q301" s="4" t="s">
        <v>30</v>
      </c>
      <c r="R301" s="4" t="s">
        <v>38</v>
      </c>
      <c r="S301" s="4">
        <v>0</v>
      </c>
      <c r="T301" s="4">
        <v>0</v>
      </c>
      <c r="U301" s="4">
        <v>0</v>
      </c>
      <c r="V301" s="4" t="s">
        <v>32</v>
      </c>
      <c r="W301" s="4" t="s">
        <v>32</v>
      </c>
      <c r="X301" s="4" t="s">
        <v>32</v>
      </c>
      <c r="Y301" s="4" t="s">
        <v>32</v>
      </c>
      <c r="Z301" s="4" t="s">
        <v>32</v>
      </c>
      <c r="AA301" s="4" t="s">
        <v>32</v>
      </c>
    </row>
    <row r="302" s="4" customFormat="1" spans="1:27">
      <c r="A302" s="4" t="s">
        <v>106</v>
      </c>
      <c r="B302" s="4" t="s">
        <v>28</v>
      </c>
      <c r="C302" s="4">
        <v>22023130</v>
      </c>
      <c r="D302" s="19">
        <v>254729897749</v>
      </c>
      <c r="E302" s="21">
        <v>46103.2954050926</v>
      </c>
      <c r="F302" s="4">
        <v>4697.64</v>
      </c>
      <c r="G302" s="4">
        <v>0.34</v>
      </c>
      <c r="H302" s="4">
        <v>4697.3</v>
      </c>
      <c r="I302" s="4">
        <v>-45.26</v>
      </c>
      <c r="J302" s="4">
        <v>-0.18</v>
      </c>
      <c r="K302" s="4">
        <v>-45.08</v>
      </c>
      <c r="L302" s="4">
        <v>345.07</v>
      </c>
      <c r="M302" s="4">
        <v>45894</v>
      </c>
      <c r="N302" s="4">
        <v>327.81</v>
      </c>
      <c r="O302" s="4">
        <v>43599.3</v>
      </c>
      <c r="P302" s="4" t="s">
        <v>29</v>
      </c>
      <c r="Q302" s="4" t="s">
        <v>30</v>
      </c>
      <c r="R302" s="4" t="s">
        <v>38</v>
      </c>
      <c r="S302" s="4">
        <v>0</v>
      </c>
      <c r="T302" s="4">
        <v>0</v>
      </c>
      <c r="U302" s="4">
        <v>0</v>
      </c>
      <c r="V302" s="4" t="s">
        <v>32</v>
      </c>
      <c r="W302" s="4" t="s">
        <v>32</v>
      </c>
      <c r="X302" s="4" t="s">
        <v>32</v>
      </c>
      <c r="Y302" s="4" t="s">
        <v>32</v>
      </c>
      <c r="Z302" s="4" t="s">
        <v>32</v>
      </c>
      <c r="AA302" s="4" t="s">
        <v>32</v>
      </c>
    </row>
    <row r="303" s="4" customFormat="1" spans="1:27">
      <c r="A303" s="4" t="s">
        <v>106</v>
      </c>
      <c r="B303" s="4" t="s">
        <v>28</v>
      </c>
      <c r="C303" s="4">
        <v>19799670</v>
      </c>
      <c r="D303" s="19">
        <v>254732287547</v>
      </c>
      <c r="E303" s="21">
        <v>45991.1587384259</v>
      </c>
      <c r="F303" s="4">
        <v>191.85</v>
      </c>
      <c r="G303" s="4">
        <v>0</v>
      </c>
      <c r="H303" s="4">
        <v>191.85</v>
      </c>
      <c r="I303" s="4">
        <v>38.54</v>
      </c>
      <c r="J303" s="4">
        <v>0</v>
      </c>
      <c r="K303" s="4">
        <v>38.54</v>
      </c>
      <c r="L303" s="4">
        <v>62.38</v>
      </c>
      <c r="M303" s="4">
        <v>8296</v>
      </c>
      <c r="N303" s="4">
        <v>23.71</v>
      </c>
      <c r="O303" s="4">
        <v>3154</v>
      </c>
      <c r="P303" s="4" t="s">
        <v>29</v>
      </c>
      <c r="Q303" s="4" t="s">
        <v>30</v>
      </c>
      <c r="R303" s="4" t="s">
        <v>38</v>
      </c>
      <c r="S303" s="4">
        <v>0</v>
      </c>
      <c r="T303" s="4">
        <v>0</v>
      </c>
      <c r="U303" s="4">
        <v>0</v>
      </c>
      <c r="V303" s="4" t="s">
        <v>32</v>
      </c>
      <c r="W303" s="4" t="s">
        <v>32</v>
      </c>
      <c r="X303" s="4" t="s">
        <v>32</v>
      </c>
      <c r="Y303" s="4" t="s">
        <v>32</v>
      </c>
      <c r="Z303" s="4" t="s">
        <v>32</v>
      </c>
      <c r="AA303" s="4" t="s">
        <v>32</v>
      </c>
    </row>
    <row r="304" s="4" customFormat="1" spans="1:27">
      <c r="A304" s="4" t="s">
        <v>106</v>
      </c>
      <c r="B304" s="4" t="s">
        <v>28</v>
      </c>
      <c r="C304" s="4">
        <v>19247892</v>
      </c>
      <c r="D304" s="19">
        <v>254736374345</v>
      </c>
      <c r="E304" s="21">
        <v>45964.5177083333</v>
      </c>
      <c r="F304" s="4">
        <v>2475.29</v>
      </c>
      <c r="G304" s="4">
        <v>0</v>
      </c>
      <c r="H304" s="4">
        <v>2475.29</v>
      </c>
      <c r="I304" s="4">
        <v>200.44</v>
      </c>
      <c r="J304" s="4">
        <v>0</v>
      </c>
      <c r="K304" s="4">
        <v>200.44</v>
      </c>
      <c r="L304" s="4">
        <v>215.79</v>
      </c>
      <c r="M304" s="4">
        <v>28700</v>
      </c>
      <c r="N304" s="4">
        <v>0</v>
      </c>
      <c r="O304" s="4">
        <v>0</v>
      </c>
      <c r="P304" s="4" t="s">
        <v>34</v>
      </c>
      <c r="Q304" s="4" t="s">
        <v>30</v>
      </c>
      <c r="R304" s="4" t="s">
        <v>38</v>
      </c>
      <c r="S304" s="4">
        <v>0</v>
      </c>
      <c r="T304" s="4">
        <v>0</v>
      </c>
      <c r="U304" s="4">
        <v>0</v>
      </c>
      <c r="V304" s="4" t="s">
        <v>32</v>
      </c>
      <c r="W304" s="4" t="s">
        <v>32</v>
      </c>
      <c r="X304" s="4" t="s">
        <v>32</v>
      </c>
      <c r="Y304" s="4" t="s">
        <v>32</v>
      </c>
      <c r="Z304" s="4" t="s">
        <v>32</v>
      </c>
      <c r="AA304" s="4" t="s">
        <v>32</v>
      </c>
    </row>
    <row r="305" s="4" customFormat="1" spans="1:27">
      <c r="A305" s="4" t="s">
        <v>106</v>
      </c>
      <c r="B305" s="4" t="s">
        <v>28</v>
      </c>
      <c r="C305" s="4">
        <v>14923711</v>
      </c>
      <c r="D305" s="19">
        <v>254740238181</v>
      </c>
      <c r="E305" s="21">
        <v>45629.2808912037</v>
      </c>
      <c r="F305" s="4">
        <v>511.7</v>
      </c>
      <c r="G305" s="4">
        <v>1.32</v>
      </c>
      <c r="H305" s="4">
        <v>510.37</v>
      </c>
      <c r="I305" s="4">
        <v>-17.29</v>
      </c>
      <c r="J305" s="4">
        <v>1.27</v>
      </c>
      <c r="K305" s="4">
        <v>-18.56</v>
      </c>
      <c r="L305" s="4">
        <v>99.62</v>
      </c>
      <c r="M305" s="4">
        <v>13250</v>
      </c>
      <c r="N305" s="4">
        <v>90</v>
      </c>
      <c r="O305" s="4">
        <v>11970</v>
      </c>
      <c r="P305" s="4" t="s">
        <v>34</v>
      </c>
      <c r="Q305" s="4" t="s">
        <v>30</v>
      </c>
      <c r="R305" s="4" t="s">
        <v>38</v>
      </c>
      <c r="S305" s="4">
        <v>0</v>
      </c>
      <c r="T305" s="4">
        <v>0</v>
      </c>
      <c r="U305" s="4">
        <v>0</v>
      </c>
      <c r="V305" s="4" t="s">
        <v>32</v>
      </c>
      <c r="W305" s="4" t="s">
        <v>32</v>
      </c>
      <c r="X305" s="4" t="s">
        <v>32</v>
      </c>
      <c r="Y305" s="4" t="s">
        <v>32</v>
      </c>
      <c r="Z305" s="4" t="s">
        <v>32</v>
      </c>
      <c r="AA305" s="4" t="s">
        <v>32</v>
      </c>
    </row>
    <row r="306" s="4" customFormat="1" spans="1:27">
      <c r="A306" s="4" t="s">
        <v>106</v>
      </c>
      <c r="B306" s="4" t="s">
        <v>28</v>
      </c>
      <c r="C306" s="4">
        <v>13042442</v>
      </c>
      <c r="D306" s="19">
        <v>254740709013</v>
      </c>
      <c r="E306" s="21">
        <v>45435.4677777778</v>
      </c>
      <c r="F306" s="4">
        <v>690.47</v>
      </c>
      <c r="G306" s="4">
        <v>0.08</v>
      </c>
      <c r="H306" s="4">
        <v>690.4</v>
      </c>
      <c r="I306" s="4">
        <v>32.81</v>
      </c>
      <c r="J306" s="4">
        <v>0.08</v>
      </c>
      <c r="K306" s="4">
        <v>32.73</v>
      </c>
      <c r="L306" s="4">
        <v>232.59</v>
      </c>
      <c r="M306" s="4">
        <v>30934</v>
      </c>
      <c r="N306" s="4">
        <v>4.95</v>
      </c>
      <c r="O306" s="4">
        <v>658.35</v>
      </c>
      <c r="P306" s="4" t="s">
        <v>29</v>
      </c>
      <c r="Q306" s="4" t="s">
        <v>30</v>
      </c>
      <c r="R306" s="4" t="s">
        <v>38</v>
      </c>
      <c r="S306" s="4">
        <v>0</v>
      </c>
      <c r="T306" s="4">
        <v>0</v>
      </c>
      <c r="U306" s="4">
        <v>0</v>
      </c>
      <c r="V306" s="4" t="s">
        <v>32</v>
      </c>
      <c r="W306" s="4" t="s">
        <v>32</v>
      </c>
      <c r="X306" s="4" t="s">
        <v>32</v>
      </c>
      <c r="Y306" s="4" t="s">
        <v>32</v>
      </c>
      <c r="Z306" s="4" t="s">
        <v>32</v>
      </c>
      <c r="AA306" s="4" t="s">
        <v>32</v>
      </c>
    </row>
    <row r="307" s="4" customFormat="1" spans="1:27">
      <c r="A307" s="4" t="s">
        <v>106</v>
      </c>
      <c r="B307" s="4" t="s">
        <v>28</v>
      </c>
      <c r="C307" s="4">
        <v>13374912</v>
      </c>
      <c r="D307" s="19">
        <v>254741183990</v>
      </c>
      <c r="E307" s="21">
        <v>45498.5715509259</v>
      </c>
      <c r="F307" s="4">
        <v>2448.31</v>
      </c>
      <c r="G307" s="4">
        <v>1.17</v>
      </c>
      <c r="H307" s="4">
        <v>2447.14</v>
      </c>
      <c r="I307" s="4">
        <v>214.94</v>
      </c>
      <c r="J307" s="4">
        <v>1.17</v>
      </c>
      <c r="K307" s="4">
        <v>213.78</v>
      </c>
      <c r="L307" s="4">
        <v>364.66</v>
      </c>
      <c r="M307" s="4">
        <v>48500</v>
      </c>
      <c r="N307" s="4">
        <v>7.14</v>
      </c>
      <c r="O307" s="4">
        <v>950</v>
      </c>
      <c r="P307" s="4" t="s">
        <v>29</v>
      </c>
      <c r="Q307" s="4" t="s">
        <v>30</v>
      </c>
      <c r="R307" s="4" t="s">
        <v>38</v>
      </c>
      <c r="S307" s="4">
        <v>0</v>
      </c>
      <c r="T307" s="4">
        <v>0</v>
      </c>
      <c r="U307" s="4">
        <v>0</v>
      </c>
      <c r="V307" s="4" t="s">
        <v>32</v>
      </c>
      <c r="W307" s="4" t="s">
        <v>32</v>
      </c>
      <c r="X307" s="4" t="s">
        <v>32</v>
      </c>
      <c r="Y307" s="4" t="s">
        <v>32</v>
      </c>
      <c r="Z307" s="4" t="s">
        <v>32</v>
      </c>
      <c r="AA307" s="4" t="s">
        <v>32</v>
      </c>
    </row>
    <row r="308" s="4" customFormat="1" spans="1:27">
      <c r="A308" s="4" t="s">
        <v>106</v>
      </c>
      <c r="B308" s="4" t="s">
        <v>28</v>
      </c>
      <c r="C308" s="4">
        <v>22504431</v>
      </c>
      <c r="D308" s="19">
        <v>254743861151</v>
      </c>
      <c r="E308" s="21">
        <v>46131.4403935185</v>
      </c>
      <c r="F308" s="4">
        <v>350.79</v>
      </c>
      <c r="G308" s="4">
        <v>6.42</v>
      </c>
      <c r="H308" s="4">
        <v>344.37</v>
      </c>
      <c r="I308" s="4">
        <v>15.02</v>
      </c>
      <c r="J308" s="4">
        <v>-1.42</v>
      </c>
      <c r="K308" s="4">
        <v>16.44</v>
      </c>
      <c r="L308" s="4">
        <v>90.27</v>
      </c>
      <c r="M308" s="4">
        <v>12006</v>
      </c>
      <c r="N308" s="4">
        <v>85.76</v>
      </c>
      <c r="O308" s="4">
        <v>11405.7</v>
      </c>
      <c r="P308" s="4" t="s">
        <v>29</v>
      </c>
      <c r="Q308" s="4" t="s">
        <v>30</v>
      </c>
      <c r="R308" s="4" t="s">
        <v>38</v>
      </c>
      <c r="S308" s="4">
        <v>0</v>
      </c>
      <c r="T308" s="4">
        <v>0</v>
      </c>
      <c r="U308" s="4">
        <v>0</v>
      </c>
      <c r="V308" s="4" t="s">
        <v>32</v>
      </c>
      <c r="W308" s="4" t="s">
        <v>32</v>
      </c>
      <c r="X308" s="4" t="s">
        <v>32</v>
      </c>
      <c r="Y308" s="4" t="s">
        <v>32</v>
      </c>
      <c r="Z308" s="4" t="s">
        <v>32</v>
      </c>
      <c r="AA308" s="4" t="s">
        <v>32</v>
      </c>
    </row>
    <row r="309" s="4" customFormat="1" spans="1:27">
      <c r="A309" s="4" t="s">
        <v>106</v>
      </c>
      <c r="B309" s="4" t="s">
        <v>28</v>
      </c>
      <c r="C309" s="4">
        <v>14024781</v>
      </c>
      <c r="D309" s="19">
        <v>254745065176</v>
      </c>
      <c r="E309" s="21">
        <v>45570.5750578704</v>
      </c>
      <c r="F309" s="4">
        <v>497.26</v>
      </c>
      <c r="G309" s="4">
        <v>0</v>
      </c>
      <c r="H309" s="4">
        <v>497.26</v>
      </c>
      <c r="I309" s="4">
        <v>31.21</v>
      </c>
      <c r="J309" s="4">
        <v>0</v>
      </c>
      <c r="K309" s="4">
        <v>31.21</v>
      </c>
      <c r="L309" s="4">
        <v>75.34</v>
      </c>
      <c r="M309" s="4">
        <v>10020</v>
      </c>
      <c r="N309" s="4">
        <v>34.78</v>
      </c>
      <c r="O309" s="4">
        <v>4625.55</v>
      </c>
      <c r="P309" s="4" t="s">
        <v>29</v>
      </c>
      <c r="Q309" s="4" t="s">
        <v>30</v>
      </c>
      <c r="R309" s="4" t="s">
        <v>38</v>
      </c>
      <c r="S309" s="4">
        <v>0</v>
      </c>
      <c r="T309" s="4">
        <v>0</v>
      </c>
      <c r="U309" s="4">
        <v>0</v>
      </c>
      <c r="V309" s="4" t="s">
        <v>32</v>
      </c>
      <c r="W309" s="4" t="s">
        <v>32</v>
      </c>
      <c r="X309" s="4" t="s">
        <v>32</v>
      </c>
      <c r="Y309" s="4" t="s">
        <v>32</v>
      </c>
      <c r="Z309" s="4" t="s">
        <v>32</v>
      </c>
      <c r="AA309" s="4" t="s">
        <v>32</v>
      </c>
    </row>
    <row r="310" s="4" customFormat="1" spans="1:27">
      <c r="A310" s="4" t="s">
        <v>106</v>
      </c>
      <c r="B310" s="4" t="s">
        <v>28</v>
      </c>
      <c r="C310" s="4">
        <v>20531102</v>
      </c>
      <c r="D310" s="19">
        <v>254745165908</v>
      </c>
      <c r="E310" s="21">
        <v>46026.2792708333</v>
      </c>
      <c r="F310" s="4">
        <v>467.31</v>
      </c>
      <c r="G310" s="4">
        <v>0</v>
      </c>
      <c r="H310" s="4">
        <v>467.31</v>
      </c>
      <c r="I310" s="4">
        <v>24.42</v>
      </c>
      <c r="J310" s="4">
        <v>0</v>
      </c>
      <c r="K310" s="4">
        <v>24.42</v>
      </c>
      <c r="L310" s="4">
        <v>154.79</v>
      </c>
      <c r="M310" s="4">
        <v>20587</v>
      </c>
      <c r="N310" s="4">
        <v>103.46</v>
      </c>
      <c r="O310" s="4">
        <v>13759.8</v>
      </c>
      <c r="P310" s="4" t="s">
        <v>29</v>
      </c>
      <c r="Q310" s="4" t="s">
        <v>30</v>
      </c>
      <c r="R310" s="4" t="s">
        <v>38</v>
      </c>
      <c r="S310" s="4">
        <v>0</v>
      </c>
      <c r="T310" s="4">
        <v>0</v>
      </c>
      <c r="U310" s="4">
        <v>0</v>
      </c>
      <c r="V310" s="4" t="s">
        <v>32</v>
      </c>
      <c r="W310" s="4" t="s">
        <v>32</v>
      </c>
      <c r="X310" s="4" t="s">
        <v>32</v>
      </c>
      <c r="Y310" s="4" t="s">
        <v>32</v>
      </c>
      <c r="Z310" s="4" t="s">
        <v>32</v>
      </c>
      <c r="AA310" s="4" t="s">
        <v>32</v>
      </c>
    </row>
    <row r="311" s="4" customFormat="1" spans="1:27">
      <c r="A311" s="4" t="s">
        <v>106</v>
      </c>
      <c r="B311" s="4" t="s">
        <v>28</v>
      </c>
      <c r="C311" s="4">
        <v>12620410</v>
      </c>
      <c r="D311" s="19">
        <v>254745550973</v>
      </c>
      <c r="E311" s="21">
        <v>45384.4275115741</v>
      </c>
      <c r="F311" s="4">
        <v>1960.65</v>
      </c>
      <c r="G311" s="4">
        <v>0.04</v>
      </c>
      <c r="H311" s="4">
        <v>1960.61</v>
      </c>
      <c r="I311" s="4">
        <v>186.26</v>
      </c>
      <c r="J311" s="4">
        <v>0.04</v>
      </c>
      <c r="K311" s="4">
        <v>186.22</v>
      </c>
      <c r="L311" s="4">
        <v>919.62</v>
      </c>
      <c r="M311" s="4">
        <v>122310</v>
      </c>
      <c r="N311" s="4">
        <v>546.16</v>
      </c>
      <c r="O311" s="4">
        <v>72638.9</v>
      </c>
      <c r="P311" s="4" t="s">
        <v>34</v>
      </c>
      <c r="Q311" s="4" t="s">
        <v>30</v>
      </c>
      <c r="R311" s="4" t="s">
        <v>38</v>
      </c>
      <c r="S311" s="4">
        <v>0</v>
      </c>
      <c r="T311" s="4">
        <v>0</v>
      </c>
      <c r="U311" s="4">
        <v>0</v>
      </c>
      <c r="V311" s="4" t="s">
        <v>32</v>
      </c>
      <c r="W311" s="4" t="s">
        <v>32</v>
      </c>
      <c r="X311" s="4" t="s">
        <v>32</v>
      </c>
      <c r="Y311" s="4" t="s">
        <v>32</v>
      </c>
      <c r="Z311" s="4" t="s">
        <v>32</v>
      </c>
      <c r="AA311" s="4" t="s">
        <v>32</v>
      </c>
    </row>
    <row r="312" s="4" customFormat="1" spans="1:27">
      <c r="A312" s="4" t="s">
        <v>106</v>
      </c>
      <c r="B312" s="4" t="s">
        <v>28</v>
      </c>
      <c r="C312" s="4">
        <v>16750252</v>
      </c>
      <c r="D312" s="19">
        <v>254746913337</v>
      </c>
      <c r="E312" s="21">
        <v>45799.2151041667</v>
      </c>
      <c r="F312" s="4">
        <v>235.83</v>
      </c>
      <c r="G312" s="4">
        <v>0</v>
      </c>
      <c r="H312" s="4">
        <v>235.83</v>
      </c>
      <c r="I312" s="4">
        <v>11.44</v>
      </c>
      <c r="J312" s="4">
        <v>0</v>
      </c>
      <c r="K312" s="4">
        <v>11.44</v>
      </c>
      <c r="L312" s="4">
        <v>59.54</v>
      </c>
      <c r="M312" s="4">
        <v>7919</v>
      </c>
      <c r="N312" s="4">
        <v>0.53</v>
      </c>
      <c r="O312" s="4">
        <v>70.3</v>
      </c>
      <c r="P312" s="4" t="s">
        <v>29</v>
      </c>
      <c r="Q312" s="4" t="s">
        <v>30</v>
      </c>
      <c r="R312" s="4" t="s">
        <v>38</v>
      </c>
      <c r="S312" s="4">
        <v>0</v>
      </c>
      <c r="T312" s="4">
        <v>0</v>
      </c>
      <c r="U312" s="4">
        <v>0</v>
      </c>
      <c r="V312" s="4" t="s">
        <v>32</v>
      </c>
      <c r="W312" s="4" t="s">
        <v>32</v>
      </c>
      <c r="X312" s="4" t="s">
        <v>32</v>
      </c>
      <c r="Y312" s="4" t="s">
        <v>32</v>
      </c>
      <c r="Z312" s="4" t="s">
        <v>32</v>
      </c>
      <c r="AA312" s="4" t="s">
        <v>32</v>
      </c>
    </row>
    <row r="313" s="4" customFormat="1" spans="1:27">
      <c r="A313" s="4" t="s">
        <v>106</v>
      </c>
      <c r="B313" s="4" t="s">
        <v>28</v>
      </c>
      <c r="C313" s="4">
        <v>9483871</v>
      </c>
      <c r="D313" s="19">
        <v>254748869140</v>
      </c>
      <c r="E313" s="21">
        <v>44972.6058680556</v>
      </c>
      <c r="F313" s="4">
        <v>248.97</v>
      </c>
      <c r="G313" s="4">
        <v>14.91</v>
      </c>
      <c r="H313" s="4">
        <v>234.06</v>
      </c>
      <c r="I313" s="4">
        <v>10.09</v>
      </c>
      <c r="J313" s="4">
        <v>-22.17</v>
      </c>
      <c r="K313" s="4">
        <v>32.27</v>
      </c>
      <c r="L313" s="4">
        <v>67.2</v>
      </c>
      <c r="M313" s="4">
        <v>8938</v>
      </c>
      <c r="N313" s="4">
        <v>49.09</v>
      </c>
      <c r="O313" s="4">
        <v>6529.35</v>
      </c>
      <c r="P313" s="4" t="s">
        <v>29</v>
      </c>
      <c r="Q313" s="4" t="s">
        <v>30</v>
      </c>
      <c r="R313" s="4" t="s">
        <v>38</v>
      </c>
      <c r="S313" s="4">
        <v>0</v>
      </c>
      <c r="T313" s="4">
        <v>0</v>
      </c>
      <c r="U313" s="4">
        <v>0</v>
      </c>
      <c r="V313" s="4" t="s">
        <v>32</v>
      </c>
      <c r="W313" s="4" t="s">
        <v>32</v>
      </c>
      <c r="X313" s="4" t="s">
        <v>32</v>
      </c>
      <c r="Y313" s="4" t="s">
        <v>32</v>
      </c>
      <c r="Z313" s="4" t="s">
        <v>32</v>
      </c>
      <c r="AA313" s="4" t="s">
        <v>32</v>
      </c>
    </row>
    <row r="314" s="4" customFormat="1" spans="1:27">
      <c r="A314" s="4" t="s">
        <v>106</v>
      </c>
      <c r="B314" s="4" t="s">
        <v>28</v>
      </c>
      <c r="C314" s="4">
        <v>21695322</v>
      </c>
      <c r="D314" s="19">
        <v>254757466575</v>
      </c>
      <c r="E314" s="21">
        <v>46085.462349537</v>
      </c>
      <c r="F314" s="4">
        <v>339.9</v>
      </c>
      <c r="G314" s="4">
        <v>0.44</v>
      </c>
      <c r="H314" s="4">
        <v>339.46</v>
      </c>
      <c r="I314" s="4">
        <v>15.3</v>
      </c>
      <c r="J314" s="4">
        <v>0.44</v>
      </c>
      <c r="K314" s="4">
        <v>14.85</v>
      </c>
      <c r="L314" s="4">
        <v>74.36</v>
      </c>
      <c r="M314" s="4">
        <v>9890</v>
      </c>
      <c r="N314" s="4">
        <v>70.64</v>
      </c>
      <c r="O314" s="4">
        <v>9395.5</v>
      </c>
      <c r="P314" s="4" t="s">
        <v>29</v>
      </c>
      <c r="Q314" s="4" t="s">
        <v>30</v>
      </c>
      <c r="R314" s="4" t="s">
        <v>38</v>
      </c>
      <c r="S314" s="4">
        <v>0</v>
      </c>
      <c r="T314" s="4">
        <v>0</v>
      </c>
      <c r="U314" s="4">
        <v>0</v>
      </c>
      <c r="V314" s="4" t="s">
        <v>32</v>
      </c>
      <c r="W314" s="4" t="s">
        <v>32</v>
      </c>
      <c r="X314" s="4" t="s">
        <v>32</v>
      </c>
      <c r="Y314" s="4" t="s">
        <v>32</v>
      </c>
      <c r="Z314" s="4" t="s">
        <v>32</v>
      </c>
      <c r="AA314" s="4" t="s">
        <v>32</v>
      </c>
    </row>
    <row r="315" s="4" customFormat="1" spans="1:27">
      <c r="A315" s="4" t="s">
        <v>106</v>
      </c>
      <c r="B315" s="4" t="s">
        <v>28</v>
      </c>
      <c r="C315" s="4">
        <v>17720341</v>
      </c>
      <c r="D315" s="19">
        <v>254757947298</v>
      </c>
      <c r="E315" s="21">
        <v>45871.2663078704</v>
      </c>
      <c r="F315" s="4">
        <v>285.93</v>
      </c>
      <c r="G315" s="4">
        <v>1.06</v>
      </c>
      <c r="H315" s="4">
        <v>284.87</v>
      </c>
      <c r="I315" s="4">
        <v>30.15</v>
      </c>
      <c r="J315" s="4">
        <v>1.06</v>
      </c>
      <c r="K315" s="4">
        <v>29.09</v>
      </c>
      <c r="L315" s="4">
        <v>60.28</v>
      </c>
      <c r="M315" s="4">
        <v>8017</v>
      </c>
      <c r="N315" s="4">
        <v>5.74</v>
      </c>
      <c r="O315" s="4">
        <v>763.8</v>
      </c>
      <c r="P315" s="4" t="s">
        <v>29</v>
      </c>
      <c r="Q315" s="4" t="s">
        <v>30</v>
      </c>
      <c r="R315" s="4" t="s">
        <v>38</v>
      </c>
      <c r="S315" s="4">
        <v>0</v>
      </c>
      <c r="T315" s="4">
        <v>0</v>
      </c>
      <c r="U315" s="4">
        <v>0</v>
      </c>
      <c r="V315" s="4" t="s">
        <v>32</v>
      </c>
      <c r="W315" s="4" t="s">
        <v>32</v>
      </c>
      <c r="X315" s="4" t="s">
        <v>32</v>
      </c>
      <c r="Y315" s="4" t="s">
        <v>32</v>
      </c>
      <c r="Z315" s="4" t="s">
        <v>32</v>
      </c>
      <c r="AA315" s="4" t="s">
        <v>32</v>
      </c>
    </row>
    <row r="316" s="4" customFormat="1" spans="1:27">
      <c r="A316" s="4" t="s">
        <v>106</v>
      </c>
      <c r="B316" s="4" t="s">
        <v>28</v>
      </c>
      <c r="C316" s="4">
        <v>18641420</v>
      </c>
      <c r="D316" s="19">
        <v>254768673292</v>
      </c>
      <c r="E316" s="21">
        <v>45924.7781712963</v>
      </c>
      <c r="F316" s="4">
        <v>988.13</v>
      </c>
      <c r="G316" s="4">
        <v>0</v>
      </c>
      <c r="H316" s="4">
        <v>988.13</v>
      </c>
      <c r="I316" s="4">
        <v>27.76</v>
      </c>
      <c r="J316" s="4">
        <v>0</v>
      </c>
      <c r="K316" s="4">
        <v>27.76</v>
      </c>
      <c r="L316" s="4">
        <v>75.57</v>
      </c>
      <c r="M316" s="4">
        <v>10051</v>
      </c>
      <c r="N316" s="4">
        <v>70.41</v>
      </c>
      <c r="O316" s="4">
        <v>9364.15</v>
      </c>
      <c r="P316" s="4" t="s">
        <v>29</v>
      </c>
      <c r="Q316" s="4" t="s">
        <v>30</v>
      </c>
      <c r="R316" s="4" t="s">
        <v>38</v>
      </c>
      <c r="S316" s="4">
        <v>0</v>
      </c>
      <c r="T316" s="4">
        <v>0</v>
      </c>
      <c r="U316" s="4">
        <v>0</v>
      </c>
      <c r="V316" s="4" t="s">
        <v>32</v>
      </c>
      <c r="W316" s="4" t="s">
        <v>32</v>
      </c>
      <c r="X316" s="4" t="s">
        <v>32</v>
      </c>
      <c r="Y316" s="4" t="s">
        <v>32</v>
      </c>
      <c r="Z316" s="4" t="s">
        <v>32</v>
      </c>
      <c r="AA316" s="4" t="s">
        <v>32</v>
      </c>
    </row>
    <row r="317" s="4" customFormat="1" spans="1:27">
      <c r="A317" s="4" t="s">
        <v>106</v>
      </c>
      <c r="B317" s="4" t="s">
        <v>28</v>
      </c>
      <c r="C317" s="4">
        <v>22531160</v>
      </c>
      <c r="D317" s="19">
        <v>254768942786</v>
      </c>
      <c r="E317" s="21">
        <v>46133.4524768519</v>
      </c>
      <c r="F317" s="4">
        <v>526.78</v>
      </c>
      <c r="G317" s="4">
        <v>0</v>
      </c>
      <c r="H317" s="4">
        <v>526.78</v>
      </c>
      <c r="I317" s="4">
        <v>25.51</v>
      </c>
      <c r="J317" s="4">
        <v>0</v>
      </c>
      <c r="K317" s="4">
        <v>25.51</v>
      </c>
      <c r="L317" s="4">
        <v>54.4</v>
      </c>
      <c r="M317" s="4">
        <v>7235</v>
      </c>
      <c r="N317" s="4">
        <v>51.68</v>
      </c>
      <c r="O317" s="4">
        <v>6873.25</v>
      </c>
      <c r="P317" s="4" t="s">
        <v>29</v>
      </c>
      <c r="Q317" s="4" t="s">
        <v>30</v>
      </c>
      <c r="R317" s="4" t="s">
        <v>38</v>
      </c>
      <c r="S317" s="4">
        <v>0</v>
      </c>
      <c r="T317" s="4">
        <v>0</v>
      </c>
      <c r="U317" s="4">
        <v>0</v>
      </c>
      <c r="V317" s="4" t="s">
        <v>32</v>
      </c>
      <c r="W317" s="4" t="s">
        <v>32</v>
      </c>
      <c r="X317" s="4" t="s">
        <v>32</v>
      </c>
      <c r="Y317" s="4" t="s">
        <v>32</v>
      </c>
      <c r="Z317" s="4" t="s">
        <v>32</v>
      </c>
      <c r="AA317" s="4" t="s">
        <v>32</v>
      </c>
    </row>
    <row r="318" s="4" customFormat="1" spans="1:27">
      <c r="A318" s="4" t="s">
        <v>106</v>
      </c>
      <c r="B318" s="4" t="s">
        <v>28</v>
      </c>
      <c r="C318" s="4">
        <v>22064970</v>
      </c>
      <c r="D318" s="19">
        <v>254769214191</v>
      </c>
      <c r="E318" s="21">
        <v>46105.6351157407</v>
      </c>
      <c r="F318" s="4">
        <v>739.13</v>
      </c>
      <c r="G318" s="4">
        <v>0.12</v>
      </c>
      <c r="H318" s="4">
        <v>739.01</v>
      </c>
      <c r="I318" s="4">
        <v>2.28</v>
      </c>
      <c r="J318" s="4">
        <v>-0.18</v>
      </c>
      <c r="K318" s="4">
        <v>2.63</v>
      </c>
      <c r="L318" s="4">
        <v>113.17</v>
      </c>
      <c r="M318" s="4">
        <v>15051</v>
      </c>
      <c r="N318" s="4">
        <v>107.51</v>
      </c>
      <c r="O318" s="4">
        <v>14298.45</v>
      </c>
      <c r="P318" s="4" t="s">
        <v>34</v>
      </c>
      <c r="Q318" s="4" t="s">
        <v>30</v>
      </c>
      <c r="R318" s="4" t="s">
        <v>38</v>
      </c>
      <c r="S318" s="4">
        <v>0</v>
      </c>
      <c r="T318" s="4">
        <v>0</v>
      </c>
      <c r="U318" s="4">
        <v>0</v>
      </c>
      <c r="V318" s="4" t="s">
        <v>32</v>
      </c>
      <c r="W318" s="4" t="s">
        <v>32</v>
      </c>
      <c r="X318" s="4" t="s">
        <v>32</v>
      </c>
      <c r="Y318" s="4" t="s">
        <v>32</v>
      </c>
      <c r="Z318" s="4" t="s">
        <v>32</v>
      </c>
      <c r="AA318" s="4" t="s">
        <v>32</v>
      </c>
    </row>
    <row r="319" s="4" customFormat="1" spans="1:27">
      <c r="A319" s="4" t="s">
        <v>106</v>
      </c>
      <c r="B319" s="4" t="s">
        <v>28</v>
      </c>
      <c r="C319" s="4">
        <v>20622</v>
      </c>
      <c r="D319" s="19">
        <v>254790971241</v>
      </c>
      <c r="E319" s="21">
        <v>43808.4678125</v>
      </c>
      <c r="F319" s="4">
        <v>2155.63</v>
      </c>
      <c r="G319" s="4">
        <v>5.75</v>
      </c>
      <c r="H319" s="4">
        <v>2149.88</v>
      </c>
      <c r="I319" s="4">
        <v>104.74</v>
      </c>
      <c r="J319" s="4">
        <v>5.75</v>
      </c>
      <c r="K319" s="4">
        <v>99.74</v>
      </c>
      <c r="L319" s="4">
        <v>243.86</v>
      </c>
      <c r="M319" s="4">
        <v>32433</v>
      </c>
      <c r="N319" s="4">
        <v>163.34</v>
      </c>
      <c r="O319" s="4">
        <v>21724.6</v>
      </c>
      <c r="P319" s="4" t="s">
        <v>34</v>
      </c>
      <c r="Q319" s="4" t="s">
        <v>30</v>
      </c>
      <c r="R319" s="4" t="s">
        <v>38</v>
      </c>
      <c r="S319" s="4">
        <v>0</v>
      </c>
      <c r="T319" s="4">
        <v>0</v>
      </c>
      <c r="U319" s="4">
        <v>0</v>
      </c>
      <c r="V319" s="4" t="s">
        <v>32</v>
      </c>
      <c r="W319" s="4" t="s">
        <v>32</v>
      </c>
      <c r="X319" s="4" t="s">
        <v>32</v>
      </c>
      <c r="Y319" s="4" t="s">
        <v>32</v>
      </c>
      <c r="Z319" s="4" t="s">
        <v>32</v>
      </c>
      <c r="AA319" s="4" t="s">
        <v>32</v>
      </c>
    </row>
    <row r="320" s="4" customFormat="1" spans="1:27">
      <c r="A320" s="4" t="s">
        <v>106</v>
      </c>
      <c r="B320" s="4" t="s">
        <v>28</v>
      </c>
      <c r="C320" s="4">
        <v>10345400</v>
      </c>
      <c r="D320" s="19">
        <v>254791592530</v>
      </c>
      <c r="E320" s="21">
        <v>45138.8255439815</v>
      </c>
      <c r="F320" s="4">
        <v>200.44</v>
      </c>
      <c r="G320" s="4">
        <v>10.98</v>
      </c>
      <c r="H320" s="4">
        <v>189.46</v>
      </c>
      <c r="I320" s="4">
        <v>0.39</v>
      </c>
      <c r="J320" s="4">
        <v>10.19</v>
      </c>
      <c r="K320" s="4">
        <v>-9.8</v>
      </c>
      <c r="L320" s="4">
        <v>89.89</v>
      </c>
      <c r="M320" s="4">
        <v>11956</v>
      </c>
      <c r="N320" s="4">
        <v>0.36</v>
      </c>
      <c r="O320" s="4">
        <v>47.5</v>
      </c>
      <c r="P320" s="4" t="s">
        <v>29</v>
      </c>
      <c r="Q320" s="4" t="s">
        <v>30</v>
      </c>
      <c r="R320" s="4" t="s">
        <v>38</v>
      </c>
      <c r="S320" s="4">
        <v>0</v>
      </c>
      <c r="T320" s="4">
        <v>0</v>
      </c>
      <c r="U320" s="4">
        <v>0</v>
      </c>
      <c r="V320" s="4" t="s">
        <v>32</v>
      </c>
      <c r="W320" s="4" t="s">
        <v>32</v>
      </c>
      <c r="X320" s="4" t="s">
        <v>32</v>
      </c>
      <c r="Y320" s="4" t="s">
        <v>32</v>
      </c>
      <c r="Z320" s="4" t="s">
        <v>32</v>
      </c>
      <c r="AA320" s="4" t="s">
        <v>32</v>
      </c>
    </row>
    <row r="321" s="4" customFormat="1" spans="1:27">
      <c r="A321" s="4" t="s">
        <v>106</v>
      </c>
      <c r="B321" s="4" t="s">
        <v>28</v>
      </c>
      <c r="C321" s="4">
        <v>17955140</v>
      </c>
      <c r="D321" s="19">
        <v>254794006614</v>
      </c>
      <c r="E321" s="21">
        <v>45884.7415856482</v>
      </c>
      <c r="F321" s="4">
        <v>492.86</v>
      </c>
      <c r="G321" s="4">
        <v>0.08</v>
      </c>
      <c r="H321" s="4">
        <v>492.78</v>
      </c>
      <c r="I321" s="4">
        <v>92.56</v>
      </c>
      <c r="J321" s="4">
        <v>0.08</v>
      </c>
      <c r="K321" s="4">
        <v>92.48</v>
      </c>
      <c r="L321" s="4">
        <v>124.56</v>
      </c>
      <c r="M321" s="4">
        <v>16566</v>
      </c>
      <c r="N321" s="4">
        <v>7.29</v>
      </c>
      <c r="O321" s="4">
        <v>969</v>
      </c>
      <c r="P321" s="4" t="s">
        <v>34</v>
      </c>
      <c r="Q321" s="4" t="s">
        <v>30</v>
      </c>
      <c r="R321" s="4" t="s">
        <v>38</v>
      </c>
      <c r="S321" s="4">
        <v>0</v>
      </c>
      <c r="T321" s="4">
        <v>0</v>
      </c>
      <c r="U321" s="4">
        <v>0</v>
      </c>
      <c r="V321" s="4" t="s">
        <v>32</v>
      </c>
      <c r="W321" s="4" t="s">
        <v>32</v>
      </c>
      <c r="X321" s="4" t="s">
        <v>32</v>
      </c>
      <c r="Y321" s="4" t="s">
        <v>32</v>
      </c>
      <c r="Z321" s="4" t="s">
        <v>32</v>
      </c>
      <c r="AA321" s="4" t="s">
        <v>32</v>
      </c>
    </row>
    <row r="322" s="4" customFormat="1" spans="1:27">
      <c r="A322" s="4" t="s">
        <v>106</v>
      </c>
      <c r="B322" s="4" t="s">
        <v>28</v>
      </c>
      <c r="C322" s="4">
        <v>22250490</v>
      </c>
      <c r="D322" s="19">
        <v>254794662112</v>
      </c>
      <c r="E322" s="21">
        <v>46116.7772569444</v>
      </c>
      <c r="F322" s="4">
        <v>479.58</v>
      </c>
      <c r="G322" s="4">
        <v>0</v>
      </c>
      <c r="H322" s="4">
        <v>479.58</v>
      </c>
      <c r="I322" s="4">
        <v>6.5</v>
      </c>
      <c r="J322" s="4">
        <v>0</v>
      </c>
      <c r="K322" s="4">
        <v>6.5</v>
      </c>
      <c r="L322" s="4">
        <v>130.86</v>
      </c>
      <c r="M322" s="4">
        <v>17404</v>
      </c>
      <c r="N322" s="4">
        <v>124.31</v>
      </c>
      <c r="O322" s="4">
        <v>16533.8</v>
      </c>
      <c r="P322" s="4" t="s">
        <v>29</v>
      </c>
      <c r="Q322" s="4" t="s">
        <v>30</v>
      </c>
      <c r="R322" s="4" t="s">
        <v>38</v>
      </c>
      <c r="S322" s="4">
        <v>0</v>
      </c>
      <c r="T322" s="4">
        <v>0</v>
      </c>
      <c r="U322" s="4">
        <v>0</v>
      </c>
      <c r="V322" s="4" t="s">
        <v>32</v>
      </c>
      <c r="W322" s="4" t="s">
        <v>32</v>
      </c>
      <c r="X322" s="4" t="s">
        <v>32</v>
      </c>
      <c r="Y322" s="4" t="s">
        <v>32</v>
      </c>
      <c r="Z322" s="4" t="s">
        <v>32</v>
      </c>
      <c r="AA322" s="4" t="s">
        <v>32</v>
      </c>
    </row>
    <row r="323" s="4" customFormat="1" spans="1:27">
      <c r="A323" s="4" t="s">
        <v>106</v>
      </c>
      <c r="B323" s="4" t="s">
        <v>28</v>
      </c>
      <c r="C323" s="4">
        <v>20530942</v>
      </c>
      <c r="D323" s="19">
        <v>254794809214</v>
      </c>
      <c r="E323" s="21">
        <v>46026.2706712963</v>
      </c>
      <c r="F323" s="4">
        <v>793.12</v>
      </c>
      <c r="G323" s="4">
        <v>0</v>
      </c>
      <c r="H323" s="4">
        <v>793.12</v>
      </c>
      <c r="I323" s="4">
        <v>21.64</v>
      </c>
      <c r="J323" s="4">
        <v>0</v>
      </c>
      <c r="K323" s="4">
        <v>21.64</v>
      </c>
      <c r="L323" s="4">
        <v>91.77</v>
      </c>
      <c r="M323" s="4">
        <v>12206</v>
      </c>
      <c r="N323" s="4">
        <v>3.58</v>
      </c>
      <c r="O323" s="4">
        <v>475.95</v>
      </c>
      <c r="P323" s="4" t="s">
        <v>34</v>
      </c>
      <c r="Q323" s="4" t="s">
        <v>30</v>
      </c>
      <c r="R323" s="4" t="s">
        <v>38</v>
      </c>
      <c r="S323" s="4">
        <v>0</v>
      </c>
      <c r="T323" s="4">
        <v>0</v>
      </c>
      <c r="U323" s="4">
        <v>0</v>
      </c>
      <c r="V323" s="4" t="s">
        <v>32</v>
      </c>
      <c r="W323" s="4" t="s">
        <v>32</v>
      </c>
      <c r="X323" s="4" t="s">
        <v>32</v>
      </c>
      <c r="Y323" s="4" t="s">
        <v>32</v>
      </c>
      <c r="Z323" s="4" t="s">
        <v>32</v>
      </c>
      <c r="AA323" s="4" t="s">
        <v>32</v>
      </c>
    </row>
    <row r="324" s="4" customFormat="1" spans="1:27">
      <c r="A324" s="4" t="s">
        <v>106</v>
      </c>
      <c r="B324" s="4" t="s">
        <v>28</v>
      </c>
      <c r="C324" s="4">
        <v>16912040</v>
      </c>
      <c r="D324" s="19">
        <v>254799864187</v>
      </c>
      <c r="E324" s="21">
        <v>45814.6905092593</v>
      </c>
      <c r="F324" s="4">
        <v>1812.41</v>
      </c>
      <c r="G324" s="4">
        <v>170.14</v>
      </c>
      <c r="H324" s="4">
        <v>1642.28</v>
      </c>
      <c r="I324" s="4">
        <v>127.15</v>
      </c>
      <c r="J324" s="4">
        <v>54.31</v>
      </c>
      <c r="K324" s="4">
        <v>72.84</v>
      </c>
      <c r="L324" s="4">
        <v>728.38</v>
      </c>
      <c r="M324" s="4">
        <v>96874</v>
      </c>
      <c r="N324" s="4">
        <v>86.68</v>
      </c>
      <c r="O324" s="4">
        <v>11528.25</v>
      </c>
      <c r="P324" s="4" t="s">
        <v>35</v>
      </c>
      <c r="Q324" s="4" t="s">
        <v>30</v>
      </c>
      <c r="R324" s="4" t="s">
        <v>38</v>
      </c>
      <c r="S324" s="4">
        <v>2000</v>
      </c>
      <c r="T324" s="4">
        <v>0</v>
      </c>
      <c r="U324" s="4">
        <v>0</v>
      </c>
      <c r="V324" s="4" t="s">
        <v>32</v>
      </c>
      <c r="W324" s="4" t="s">
        <v>32</v>
      </c>
      <c r="X324" s="4" t="s">
        <v>32</v>
      </c>
      <c r="Y324" s="4" t="s">
        <v>32</v>
      </c>
      <c r="Z324" s="4" t="s">
        <v>32</v>
      </c>
      <c r="AA324" s="4" t="s">
        <v>32</v>
      </c>
    </row>
    <row r="325" s="4" customFormat="1" spans="1:27">
      <c r="A325" s="4" t="s">
        <v>106</v>
      </c>
      <c r="B325" s="4" t="s">
        <v>28</v>
      </c>
      <c r="C325" s="4">
        <v>18786440</v>
      </c>
      <c r="D325" s="19">
        <v>254799976195</v>
      </c>
      <c r="E325" s="21">
        <v>45933.6325578704</v>
      </c>
      <c r="F325" s="4">
        <v>752</v>
      </c>
      <c r="G325" s="4">
        <v>0</v>
      </c>
      <c r="H325" s="4">
        <v>752</v>
      </c>
      <c r="I325" s="4">
        <v>22.15</v>
      </c>
      <c r="J325" s="4">
        <v>0</v>
      </c>
      <c r="K325" s="4">
        <v>22.15</v>
      </c>
      <c r="L325" s="4">
        <v>117.18</v>
      </c>
      <c r="M325" s="4">
        <v>15585</v>
      </c>
      <c r="N325" s="4">
        <v>3.57</v>
      </c>
      <c r="O325" s="4">
        <v>475</v>
      </c>
      <c r="P325" s="4" t="s">
        <v>29</v>
      </c>
      <c r="Q325" s="4" t="s">
        <v>30</v>
      </c>
      <c r="R325" s="4" t="s">
        <v>38</v>
      </c>
      <c r="S325" s="4">
        <v>0</v>
      </c>
      <c r="T325" s="4">
        <v>0</v>
      </c>
      <c r="U325" s="4">
        <v>0</v>
      </c>
      <c r="V325" s="4" t="s">
        <v>32</v>
      </c>
      <c r="W325" s="4" t="s">
        <v>32</v>
      </c>
      <c r="X325" s="4" t="s">
        <v>32</v>
      </c>
      <c r="Y325" s="4" t="s">
        <v>32</v>
      </c>
      <c r="Z325" s="4" t="s">
        <v>32</v>
      </c>
      <c r="AA325" s="4" t="s">
        <v>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12"/>
  <sheetViews>
    <sheetView topLeftCell="D76" workbookViewId="0">
      <selection activeCell="R2" sqref="R2:R107"/>
    </sheetView>
  </sheetViews>
  <sheetFormatPr defaultColWidth="9" defaultRowHeight="13.5"/>
  <cols>
    <col min="1" max="1" width="14.9469026548673" customWidth="1"/>
    <col min="3" max="3" width="9.53097345132743"/>
    <col min="4" max="4" width="18.3893805309735" style="16"/>
    <col min="5" max="5" width="21.787610619469"/>
    <col min="6" max="6" width="9.53097345132743"/>
    <col min="8" max="8" width="9.53097345132743"/>
    <col min="15" max="15" width="10.5309734513274"/>
  </cols>
  <sheetData>
    <row r="1" s="18" customFormat="1" spans="1:27">
      <c r="A1" s="18" t="s">
        <v>0</v>
      </c>
      <c r="B1" s="18" t="s">
        <v>1</v>
      </c>
      <c r="C1" s="18" t="s">
        <v>2</v>
      </c>
      <c r="D1" s="17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</row>
    <row r="2" s="18" customFormat="1" spans="1:27">
      <c r="A2" s="18" t="s">
        <v>27</v>
      </c>
      <c r="B2" s="18" t="s">
        <v>28</v>
      </c>
      <c r="C2" s="18">
        <v>19009964</v>
      </c>
      <c r="D2" s="17">
        <v>254112794842</v>
      </c>
      <c r="E2" s="20">
        <v>45948.6958680555</v>
      </c>
      <c r="F2" s="18">
        <v>523.05</v>
      </c>
      <c r="G2" s="18">
        <v>6.38</v>
      </c>
      <c r="H2" s="18">
        <v>516.67</v>
      </c>
      <c r="I2" s="18">
        <v>33.5</v>
      </c>
      <c r="J2" s="18">
        <v>-5.66</v>
      </c>
      <c r="K2" s="18">
        <v>39.16</v>
      </c>
      <c r="L2" s="18">
        <v>67.86</v>
      </c>
      <c r="M2" s="18">
        <v>9026</v>
      </c>
      <c r="N2" s="18">
        <v>20.89</v>
      </c>
      <c r="O2" s="18">
        <v>2778.37</v>
      </c>
      <c r="P2" s="18" t="s">
        <v>29</v>
      </c>
      <c r="Q2" s="18" t="s">
        <v>30</v>
      </c>
      <c r="R2" s="18" t="s">
        <v>107</v>
      </c>
      <c r="S2" s="18">
        <v>0</v>
      </c>
      <c r="T2" s="18">
        <v>140</v>
      </c>
      <c r="U2" s="18">
        <v>0</v>
      </c>
      <c r="V2" s="18" t="s">
        <v>32</v>
      </c>
      <c r="W2" s="18" t="s">
        <v>32</v>
      </c>
      <c r="X2" s="18" t="s">
        <v>32</v>
      </c>
      <c r="Y2" s="18" t="s">
        <v>32</v>
      </c>
      <c r="Z2" s="18" t="s">
        <v>32</v>
      </c>
      <c r="AA2" s="18" t="s">
        <v>32</v>
      </c>
    </row>
    <row r="3" s="18" customFormat="1" spans="1:27">
      <c r="A3" s="18" t="s">
        <v>27</v>
      </c>
      <c r="B3" s="18" t="s">
        <v>28</v>
      </c>
      <c r="C3" s="18">
        <v>18640454</v>
      </c>
      <c r="D3" s="17">
        <v>254112879367</v>
      </c>
      <c r="E3" s="20">
        <v>45924.7198958333</v>
      </c>
      <c r="F3" s="18">
        <v>2008.94</v>
      </c>
      <c r="G3" s="18">
        <v>0</v>
      </c>
      <c r="H3" s="18">
        <v>2008.94</v>
      </c>
      <c r="I3" s="18">
        <v>69.79</v>
      </c>
      <c r="J3" s="18">
        <v>0</v>
      </c>
      <c r="K3" s="18">
        <v>69.79</v>
      </c>
      <c r="L3" s="18">
        <v>273.68</v>
      </c>
      <c r="M3" s="18">
        <v>36400</v>
      </c>
      <c r="N3" s="18">
        <v>4.29</v>
      </c>
      <c r="O3" s="18">
        <v>570.57</v>
      </c>
      <c r="P3" s="18" t="s">
        <v>34</v>
      </c>
      <c r="Q3" s="18" t="s">
        <v>30</v>
      </c>
      <c r="R3" s="18" t="s">
        <v>107</v>
      </c>
      <c r="S3" s="18">
        <v>0</v>
      </c>
      <c r="T3" s="18">
        <v>30</v>
      </c>
      <c r="U3" s="18">
        <v>0</v>
      </c>
      <c r="V3" s="18" t="s">
        <v>32</v>
      </c>
      <c r="W3" s="18" t="s">
        <v>32</v>
      </c>
      <c r="X3" s="18" t="s">
        <v>32</v>
      </c>
      <c r="Y3" s="18" t="s">
        <v>32</v>
      </c>
      <c r="Z3" s="18" t="s">
        <v>32</v>
      </c>
      <c r="AA3" s="18" t="s">
        <v>32</v>
      </c>
    </row>
    <row r="4" s="18" customFormat="1" spans="1:27">
      <c r="A4" s="18" t="s">
        <v>27</v>
      </c>
      <c r="B4" s="18" t="s">
        <v>28</v>
      </c>
      <c r="C4" s="18">
        <v>20109073</v>
      </c>
      <c r="D4" s="17">
        <v>254116873056</v>
      </c>
      <c r="E4" s="20">
        <v>46005.6205902778</v>
      </c>
      <c r="F4" s="18">
        <v>299.32</v>
      </c>
      <c r="G4" s="18">
        <v>0</v>
      </c>
      <c r="H4" s="18">
        <v>299.32</v>
      </c>
      <c r="I4" s="18">
        <v>36.91</v>
      </c>
      <c r="J4" s="18">
        <v>0</v>
      </c>
      <c r="K4" s="18">
        <v>36.91</v>
      </c>
      <c r="L4" s="18">
        <v>59.09</v>
      </c>
      <c r="M4" s="18">
        <v>7859</v>
      </c>
      <c r="N4" s="18">
        <v>18.93</v>
      </c>
      <c r="O4" s="18">
        <v>2517.69</v>
      </c>
      <c r="P4" s="18" t="s">
        <v>29</v>
      </c>
      <c r="Q4" s="18" t="s">
        <v>30</v>
      </c>
      <c r="R4" s="18" t="s">
        <v>107</v>
      </c>
      <c r="S4" s="18">
        <v>0</v>
      </c>
      <c r="T4" s="18">
        <v>130</v>
      </c>
      <c r="U4" s="18">
        <v>0</v>
      </c>
      <c r="V4" s="18" t="s">
        <v>32</v>
      </c>
      <c r="W4" s="18" t="s">
        <v>32</v>
      </c>
      <c r="X4" s="18" t="s">
        <v>32</v>
      </c>
      <c r="Y4" s="18" t="s">
        <v>32</v>
      </c>
      <c r="Z4" s="18" t="s">
        <v>32</v>
      </c>
      <c r="AA4" s="18" t="s">
        <v>32</v>
      </c>
    </row>
    <row r="5" s="18" customFormat="1" spans="1:27">
      <c r="A5" s="18" t="s">
        <v>27</v>
      </c>
      <c r="B5" s="18" t="s">
        <v>28</v>
      </c>
      <c r="C5" s="18">
        <v>15153514</v>
      </c>
      <c r="D5" s="17">
        <v>254117218951</v>
      </c>
      <c r="E5" s="20">
        <v>45649.7844444444</v>
      </c>
      <c r="F5" s="18">
        <v>1516.06</v>
      </c>
      <c r="G5" s="18">
        <v>0</v>
      </c>
      <c r="H5" s="18">
        <v>1516.06</v>
      </c>
      <c r="I5" s="18">
        <v>106.41</v>
      </c>
      <c r="J5" s="18">
        <v>0</v>
      </c>
      <c r="K5" s="18">
        <v>106.41</v>
      </c>
      <c r="L5" s="18">
        <v>744.7</v>
      </c>
      <c r="M5" s="18">
        <v>99045</v>
      </c>
      <c r="N5" s="18">
        <v>82.15</v>
      </c>
      <c r="O5" s="18">
        <v>10925.95</v>
      </c>
      <c r="P5" s="18" t="s">
        <v>29</v>
      </c>
      <c r="Q5" s="18" t="s">
        <v>30</v>
      </c>
      <c r="R5" s="18" t="s">
        <v>107</v>
      </c>
      <c r="S5" s="18">
        <v>0</v>
      </c>
      <c r="T5" s="18">
        <v>550</v>
      </c>
      <c r="U5" s="18">
        <v>0</v>
      </c>
      <c r="V5" s="18" t="s">
        <v>32</v>
      </c>
      <c r="W5" s="18" t="s">
        <v>32</v>
      </c>
      <c r="X5" s="18" t="s">
        <v>32</v>
      </c>
      <c r="Y5" s="18" t="s">
        <v>32</v>
      </c>
      <c r="Z5" s="18" t="s">
        <v>32</v>
      </c>
      <c r="AA5" s="18" t="s">
        <v>32</v>
      </c>
    </row>
    <row r="6" s="18" customFormat="1" spans="1:27">
      <c r="A6" s="18" t="s">
        <v>27</v>
      </c>
      <c r="B6" s="18" t="s">
        <v>28</v>
      </c>
      <c r="C6" s="18">
        <v>22438443</v>
      </c>
      <c r="D6" s="17">
        <v>254119811061</v>
      </c>
      <c r="E6" s="20">
        <v>46127.5100462963</v>
      </c>
      <c r="F6" s="18">
        <v>209.92</v>
      </c>
      <c r="G6" s="18">
        <v>1.2</v>
      </c>
      <c r="H6" s="18">
        <v>208.71</v>
      </c>
      <c r="I6" s="18">
        <v>20.99</v>
      </c>
      <c r="J6" s="18">
        <v>1.2</v>
      </c>
      <c r="K6" s="18">
        <v>19.78</v>
      </c>
      <c r="L6" s="18">
        <v>52.74</v>
      </c>
      <c r="M6" s="18">
        <v>7015</v>
      </c>
      <c r="N6" s="18">
        <v>50.11</v>
      </c>
      <c r="O6" s="18">
        <v>6664.63</v>
      </c>
      <c r="P6" s="18" t="s">
        <v>29</v>
      </c>
      <c r="Q6" s="18" t="s">
        <v>30</v>
      </c>
      <c r="R6" s="18" t="s">
        <v>107</v>
      </c>
      <c r="S6" s="18">
        <v>0</v>
      </c>
      <c r="T6" s="18">
        <v>330</v>
      </c>
      <c r="U6" s="18">
        <v>0</v>
      </c>
      <c r="V6" s="18" t="s">
        <v>32</v>
      </c>
      <c r="W6" s="18" t="s">
        <v>32</v>
      </c>
      <c r="X6" s="18" t="s">
        <v>32</v>
      </c>
      <c r="Y6" s="18" t="s">
        <v>32</v>
      </c>
      <c r="Z6" s="18" t="s">
        <v>32</v>
      </c>
      <c r="AA6" s="18" t="s">
        <v>32</v>
      </c>
    </row>
    <row r="7" s="18" customFormat="1" spans="1:27">
      <c r="A7" s="18" t="s">
        <v>27</v>
      </c>
      <c r="B7" s="18" t="s">
        <v>28</v>
      </c>
      <c r="C7" s="18">
        <v>21690193</v>
      </c>
      <c r="D7" s="17">
        <v>254140232432</v>
      </c>
      <c r="E7" s="20">
        <v>46085.2472337963</v>
      </c>
      <c r="F7" s="18">
        <v>258.35</v>
      </c>
      <c r="G7" s="18">
        <v>0</v>
      </c>
      <c r="H7" s="18">
        <v>258.35</v>
      </c>
      <c r="I7" s="18">
        <v>20.65</v>
      </c>
      <c r="J7" s="18">
        <v>0</v>
      </c>
      <c r="K7" s="18">
        <v>20.65</v>
      </c>
      <c r="L7" s="18">
        <v>85.2</v>
      </c>
      <c r="M7" s="18">
        <v>11332</v>
      </c>
      <c r="N7" s="18">
        <v>80.94</v>
      </c>
      <c r="O7" s="18">
        <v>10765.02</v>
      </c>
      <c r="P7" s="18" t="s">
        <v>29</v>
      </c>
      <c r="Q7" s="18" t="s">
        <v>30</v>
      </c>
      <c r="R7" s="18" t="s">
        <v>107</v>
      </c>
      <c r="S7" s="18">
        <v>0</v>
      </c>
      <c r="T7" s="18">
        <v>540</v>
      </c>
      <c r="U7" s="18">
        <v>0</v>
      </c>
      <c r="V7" s="18" t="s">
        <v>32</v>
      </c>
      <c r="W7" s="18" t="s">
        <v>32</v>
      </c>
      <c r="X7" s="18" t="s">
        <v>32</v>
      </c>
      <c r="Y7" s="18" t="s">
        <v>32</v>
      </c>
      <c r="Z7" s="18" t="s">
        <v>32</v>
      </c>
      <c r="AA7" s="18" t="s">
        <v>32</v>
      </c>
    </row>
    <row r="8" s="18" customFormat="1" spans="1:27">
      <c r="A8" s="18" t="s">
        <v>27</v>
      </c>
      <c r="B8" s="18" t="s">
        <v>28</v>
      </c>
      <c r="C8" s="18">
        <v>22354975</v>
      </c>
      <c r="D8" s="17">
        <v>254140928434</v>
      </c>
      <c r="E8" s="20">
        <v>46122.3671759259</v>
      </c>
      <c r="F8" s="18">
        <v>1172.23</v>
      </c>
      <c r="G8" s="18">
        <v>0.67</v>
      </c>
      <c r="H8" s="18">
        <v>1171.56</v>
      </c>
      <c r="I8" s="18">
        <v>2.72</v>
      </c>
      <c r="J8" s="18">
        <v>-0.14</v>
      </c>
      <c r="K8" s="18">
        <v>2.86</v>
      </c>
      <c r="L8" s="18">
        <v>104.45</v>
      </c>
      <c r="M8" s="18">
        <v>13892</v>
      </c>
      <c r="N8" s="18">
        <v>198.46</v>
      </c>
      <c r="O8" s="18">
        <v>26395.18</v>
      </c>
      <c r="P8" s="18" t="s">
        <v>29</v>
      </c>
      <c r="Q8" s="18" t="s">
        <v>30</v>
      </c>
      <c r="R8" s="18" t="s">
        <v>107</v>
      </c>
      <c r="S8" s="18">
        <v>0</v>
      </c>
      <c r="T8" s="18">
        <v>1320</v>
      </c>
      <c r="U8" s="18">
        <v>0</v>
      </c>
      <c r="V8" s="18" t="s">
        <v>32</v>
      </c>
      <c r="W8" s="18" t="s">
        <v>32</v>
      </c>
      <c r="X8" s="18" t="s">
        <v>32</v>
      </c>
      <c r="Y8" s="18" t="s">
        <v>32</v>
      </c>
      <c r="Z8" s="18" t="s">
        <v>32</v>
      </c>
      <c r="AA8" s="18" t="s">
        <v>32</v>
      </c>
    </row>
    <row r="9" s="18" customFormat="1" spans="1:27">
      <c r="A9" s="18" t="s">
        <v>27</v>
      </c>
      <c r="B9" s="18" t="s">
        <v>28</v>
      </c>
      <c r="C9" s="18">
        <v>22592073</v>
      </c>
      <c r="D9" s="17">
        <v>254700099870</v>
      </c>
      <c r="E9" s="20">
        <v>46136.8027546296</v>
      </c>
      <c r="F9" s="18">
        <v>180.78</v>
      </c>
      <c r="G9" s="18">
        <v>0</v>
      </c>
      <c r="H9" s="18">
        <v>180.78</v>
      </c>
      <c r="I9" s="18">
        <v>-25.91</v>
      </c>
      <c r="J9" s="18">
        <v>0</v>
      </c>
      <c r="K9" s="18">
        <v>-25.91</v>
      </c>
      <c r="L9" s="18">
        <v>80.68</v>
      </c>
      <c r="M9" s="18">
        <v>10730</v>
      </c>
      <c r="N9" s="18">
        <v>76.64</v>
      </c>
      <c r="O9" s="18">
        <v>10193.12</v>
      </c>
      <c r="P9" s="18" t="s">
        <v>29</v>
      </c>
      <c r="Q9" s="18" t="s">
        <v>30</v>
      </c>
      <c r="R9" s="18" t="s">
        <v>107</v>
      </c>
      <c r="S9" s="18">
        <v>0</v>
      </c>
      <c r="T9" s="18">
        <v>510</v>
      </c>
      <c r="U9" s="18">
        <v>0</v>
      </c>
      <c r="V9" s="18" t="s">
        <v>32</v>
      </c>
      <c r="W9" s="18" t="s">
        <v>32</v>
      </c>
      <c r="X9" s="18" t="s">
        <v>32</v>
      </c>
      <c r="Y9" s="18" t="s">
        <v>32</v>
      </c>
      <c r="Z9" s="18" t="s">
        <v>32</v>
      </c>
      <c r="AA9" s="18" t="s">
        <v>32</v>
      </c>
    </row>
    <row r="10" s="18" customFormat="1" spans="1:27">
      <c r="A10" s="18" t="s">
        <v>27</v>
      </c>
      <c r="B10" s="18" t="s">
        <v>28</v>
      </c>
      <c r="C10" s="18">
        <v>17674564</v>
      </c>
      <c r="D10" s="17">
        <v>254701925448</v>
      </c>
      <c r="E10" s="20">
        <v>45869.615474537</v>
      </c>
      <c r="F10" s="18">
        <v>726.49</v>
      </c>
      <c r="G10" s="18">
        <v>2.89</v>
      </c>
      <c r="H10" s="18">
        <v>723.61</v>
      </c>
      <c r="I10" s="18">
        <v>17.88</v>
      </c>
      <c r="J10" s="18">
        <v>0.3</v>
      </c>
      <c r="K10" s="18">
        <v>17.58</v>
      </c>
      <c r="L10" s="18">
        <v>140.53</v>
      </c>
      <c r="M10" s="18">
        <v>18691</v>
      </c>
      <c r="N10" s="18">
        <v>19.16</v>
      </c>
      <c r="O10" s="18">
        <v>2548.28</v>
      </c>
      <c r="P10" s="18" t="s">
        <v>29</v>
      </c>
      <c r="Q10" s="18" t="s">
        <v>30</v>
      </c>
      <c r="R10" s="18" t="s">
        <v>107</v>
      </c>
      <c r="S10" s="18">
        <v>0</v>
      </c>
      <c r="T10" s="18">
        <v>130</v>
      </c>
      <c r="U10" s="18">
        <v>0</v>
      </c>
      <c r="V10" s="18" t="s">
        <v>32</v>
      </c>
      <c r="W10" s="18" t="s">
        <v>32</v>
      </c>
      <c r="X10" s="18" t="s">
        <v>32</v>
      </c>
      <c r="Y10" s="18" t="s">
        <v>32</v>
      </c>
      <c r="Z10" s="18" t="s">
        <v>32</v>
      </c>
      <c r="AA10" s="18" t="s">
        <v>32</v>
      </c>
    </row>
    <row r="11" s="18" customFormat="1" spans="1:27">
      <c r="A11" s="18" t="s">
        <v>27</v>
      </c>
      <c r="B11" s="18" t="s">
        <v>28</v>
      </c>
      <c r="C11" s="18">
        <v>201673</v>
      </c>
      <c r="D11" s="17">
        <v>254702551241</v>
      </c>
      <c r="E11" s="20">
        <v>43918.3990856481</v>
      </c>
      <c r="F11" s="18">
        <v>770.22</v>
      </c>
      <c r="G11" s="18">
        <v>0</v>
      </c>
      <c r="H11" s="18">
        <v>770.22</v>
      </c>
      <c r="I11" s="18">
        <v>42.95</v>
      </c>
      <c r="J11" s="18">
        <v>0</v>
      </c>
      <c r="K11" s="18">
        <v>42.95</v>
      </c>
      <c r="L11" s="18">
        <v>83.14</v>
      </c>
      <c r="M11" s="18">
        <v>11057</v>
      </c>
      <c r="N11" s="18">
        <v>14.29</v>
      </c>
      <c r="O11" s="18">
        <v>1900.57</v>
      </c>
      <c r="P11" s="18" t="s">
        <v>34</v>
      </c>
      <c r="Q11" s="18" t="s">
        <v>30</v>
      </c>
      <c r="R11" s="18" t="s">
        <v>107</v>
      </c>
      <c r="S11" s="18">
        <v>0</v>
      </c>
      <c r="T11" s="18">
        <v>100</v>
      </c>
      <c r="U11" s="18">
        <v>0</v>
      </c>
      <c r="V11" s="18" t="s">
        <v>32</v>
      </c>
      <c r="W11" s="18" t="s">
        <v>32</v>
      </c>
      <c r="X11" s="18" t="s">
        <v>32</v>
      </c>
      <c r="Y11" s="18" t="s">
        <v>32</v>
      </c>
      <c r="Z11" s="18" t="s">
        <v>32</v>
      </c>
      <c r="AA11" s="18" t="s">
        <v>32</v>
      </c>
    </row>
    <row r="12" s="18" customFormat="1" spans="1:27">
      <c r="A12" s="18" t="s">
        <v>27</v>
      </c>
      <c r="B12" s="18" t="s">
        <v>28</v>
      </c>
      <c r="C12" s="18">
        <v>15895264</v>
      </c>
      <c r="D12" s="17">
        <v>254705881860</v>
      </c>
      <c r="E12" s="20">
        <v>45710.338287037</v>
      </c>
      <c r="F12" s="18">
        <v>1686.21</v>
      </c>
      <c r="G12" s="18">
        <v>0</v>
      </c>
      <c r="H12" s="18">
        <v>1686.21</v>
      </c>
      <c r="I12" s="18">
        <v>101.49</v>
      </c>
      <c r="J12" s="18">
        <v>0</v>
      </c>
      <c r="K12" s="18">
        <v>101.49</v>
      </c>
      <c r="L12" s="18">
        <v>176</v>
      </c>
      <c r="M12" s="18">
        <v>23408</v>
      </c>
      <c r="N12" s="18">
        <v>62.4</v>
      </c>
      <c r="O12" s="18">
        <v>8299.2</v>
      </c>
      <c r="P12" s="18" t="s">
        <v>29</v>
      </c>
      <c r="Q12" s="18" t="s">
        <v>30</v>
      </c>
      <c r="R12" s="18" t="s">
        <v>107</v>
      </c>
      <c r="S12" s="18">
        <v>0</v>
      </c>
      <c r="T12" s="18">
        <v>410</v>
      </c>
      <c r="U12" s="18">
        <v>0</v>
      </c>
      <c r="V12" s="18" t="s">
        <v>32</v>
      </c>
      <c r="W12" s="18" t="s">
        <v>32</v>
      </c>
      <c r="X12" s="18" t="s">
        <v>32</v>
      </c>
      <c r="Y12" s="18" t="s">
        <v>32</v>
      </c>
      <c r="Z12" s="18" t="s">
        <v>32</v>
      </c>
      <c r="AA12" s="18" t="s">
        <v>32</v>
      </c>
    </row>
    <row r="13" s="18" customFormat="1" spans="1:27">
      <c r="A13" s="18" t="s">
        <v>27</v>
      </c>
      <c r="B13" s="18" t="s">
        <v>28</v>
      </c>
      <c r="C13" s="18">
        <v>4084425</v>
      </c>
      <c r="D13" s="17">
        <v>254706721015</v>
      </c>
      <c r="E13" s="20">
        <v>44293.3361689815</v>
      </c>
      <c r="F13" s="18">
        <v>466.54</v>
      </c>
      <c r="G13" s="18">
        <v>0</v>
      </c>
      <c r="H13" s="18">
        <v>466.54</v>
      </c>
      <c r="I13" s="18">
        <v>54.71</v>
      </c>
      <c r="J13" s="18">
        <v>0</v>
      </c>
      <c r="K13" s="18">
        <v>54.71</v>
      </c>
      <c r="L13" s="18">
        <v>57.59</v>
      </c>
      <c r="M13" s="18">
        <v>7660</v>
      </c>
      <c r="N13" s="18">
        <v>54.71</v>
      </c>
      <c r="O13" s="18">
        <v>7276.43</v>
      </c>
      <c r="P13" s="18" t="s">
        <v>29</v>
      </c>
      <c r="Q13" s="18" t="s">
        <v>30</v>
      </c>
      <c r="R13" s="18" t="s">
        <v>107</v>
      </c>
      <c r="S13" s="18">
        <v>0</v>
      </c>
      <c r="T13" s="18">
        <v>360</v>
      </c>
      <c r="U13" s="18">
        <v>0</v>
      </c>
      <c r="V13" s="18" t="s">
        <v>32</v>
      </c>
      <c r="W13" s="18" t="s">
        <v>32</v>
      </c>
      <c r="X13" s="18" t="s">
        <v>32</v>
      </c>
      <c r="Y13" s="18" t="s">
        <v>32</v>
      </c>
      <c r="Z13" s="18" t="s">
        <v>32</v>
      </c>
      <c r="AA13" s="18" t="s">
        <v>32</v>
      </c>
    </row>
    <row r="14" s="18" customFormat="1" spans="1:27">
      <c r="A14" s="18" t="s">
        <v>27</v>
      </c>
      <c r="B14" s="18" t="s">
        <v>28</v>
      </c>
      <c r="C14" s="18">
        <v>22069814</v>
      </c>
      <c r="D14" s="17">
        <v>254707756975</v>
      </c>
      <c r="E14" s="20">
        <v>46105.8644791667</v>
      </c>
      <c r="F14" s="18">
        <v>446.96</v>
      </c>
      <c r="G14" s="18">
        <v>0</v>
      </c>
      <c r="H14" s="18">
        <v>446.96</v>
      </c>
      <c r="I14" s="18">
        <v>23.36</v>
      </c>
      <c r="J14" s="18">
        <v>0</v>
      </c>
      <c r="K14" s="18">
        <v>23.36</v>
      </c>
      <c r="L14" s="18">
        <v>88.37</v>
      </c>
      <c r="M14" s="18">
        <v>11753</v>
      </c>
      <c r="N14" s="18">
        <v>83.95</v>
      </c>
      <c r="O14" s="18">
        <v>11165.35</v>
      </c>
      <c r="P14" s="18" t="s">
        <v>29</v>
      </c>
      <c r="Q14" s="18" t="s">
        <v>30</v>
      </c>
      <c r="R14" s="18" t="s">
        <v>107</v>
      </c>
      <c r="S14" s="18">
        <v>0</v>
      </c>
      <c r="T14" s="18">
        <v>560</v>
      </c>
      <c r="U14" s="18">
        <v>0</v>
      </c>
      <c r="V14" s="18" t="s">
        <v>32</v>
      </c>
      <c r="W14" s="18" t="s">
        <v>32</v>
      </c>
      <c r="X14" s="18" t="s">
        <v>32</v>
      </c>
      <c r="Y14" s="18" t="s">
        <v>32</v>
      </c>
      <c r="Z14" s="18" t="s">
        <v>32</v>
      </c>
      <c r="AA14" s="18" t="s">
        <v>32</v>
      </c>
    </row>
    <row r="15" s="18" customFormat="1" spans="1:27">
      <c r="A15" s="18" t="s">
        <v>27</v>
      </c>
      <c r="B15" s="18" t="s">
        <v>28</v>
      </c>
      <c r="C15" s="18">
        <v>12823043</v>
      </c>
      <c r="D15" s="17">
        <v>254707788557</v>
      </c>
      <c r="E15" s="20">
        <v>45408.3495138889</v>
      </c>
      <c r="F15" s="18">
        <v>3592.81</v>
      </c>
      <c r="G15" s="18">
        <v>10.32</v>
      </c>
      <c r="H15" s="18">
        <v>3582.49</v>
      </c>
      <c r="I15" s="18">
        <v>-385.4</v>
      </c>
      <c r="J15" s="18">
        <v>6.35</v>
      </c>
      <c r="K15" s="18">
        <v>-391.75</v>
      </c>
      <c r="L15" s="18">
        <v>1250.38</v>
      </c>
      <c r="M15" s="18">
        <v>166300</v>
      </c>
      <c r="N15" s="18">
        <v>1187.86</v>
      </c>
      <c r="O15" s="18">
        <v>157985.38</v>
      </c>
      <c r="P15" s="18" t="s">
        <v>29</v>
      </c>
      <c r="Q15" s="18" t="s">
        <v>33</v>
      </c>
      <c r="R15" s="18" t="s">
        <v>107</v>
      </c>
      <c r="S15" s="18">
        <v>0</v>
      </c>
      <c r="T15" s="18">
        <v>7900</v>
      </c>
      <c r="U15" s="18">
        <v>0</v>
      </c>
      <c r="V15" s="18" t="s">
        <v>32</v>
      </c>
      <c r="W15" s="18" t="s">
        <v>32</v>
      </c>
      <c r="X15" s="18" t="s">
        <v>32</v>
      </c>
      <c r="Y15" s="18" t="s">
        <v>32</v>
      </c>
      <c r="Z15" s="18" t="s">
        <v>32</v>
      </c>
      <c r="AA15" s="18" t="s">
        <v>32</v>
      </c>
    </row>
    <row r="16" s="18" customFormat="1" spans="1:27">
      <c r="A16" s="18" t="s">
        <v>27</v>
      </c>
      <c r="B16" s="18" t="s">
        <v>28</v>
      </c>
      <c r="C16" s="18">
        <v>21585273</v>
      </c>
      <c r="D16" s="17">
        <v>254708431311</v>
      </c>
      <c r="E16" s="20">
        <v>46080.2127777778</v>
      </c>
      <c r="F16" s="18">
        <v>236.14</v>
      </c>
      <c r="G16" s="18">
        <v>0</v>
      </c>
      <c r="H16" s="18">
        <v>236.14</v>
      </c>
      <c r="I16" s="18">
        <v>0.17</v>
      </c>
      <c r="J16" s="18">
        <v>0</v>
      </c>
      <c r="K16" s="18">
        <v>0.17</v>
      </c>
      <c r="L16" s="18">
        <v>111.32</v>
      </c>
      <c r="M16" s="18">
        <v>14806</v>
      </c>
      <c r="N16" s="18">
        <v>80.97</v>
      </c>
      <c r="O16" s="18">
        <v>10769.01</v>
      </c>
      <c r="P16" s="18" t="s">
        <v>29</v>
      </c>
      <c r="Q16" s="18" t="s">
        <v>30</v>
      </c>
      <c r="R16" s="18" t="s">
        <v>107</v>
      </c>
      <c r="S16" s="18">
        <v>0</v>
      </c>
      <c r="T16" s="18">
        <v>540</v>
      </c>
      <c r="U16" s="18">
        <v>0</v>
      </c>
      <c r="V16" s="18" t="s">
        <v>32</v>
      </c>
      <c r="W16" s="18" t="s">
        <v>32</v>
      </c>
      <c r="X16" s="18" t="s">
        <v>32</v>
      </c>
      <c r="Y16" s="18" t="s">
        <v>32</v>
      </c>
      <c r="Z16" s="18" t="s">
        <v>32</v>
      </c>
      <c r="AA16" s="18" t="s">
        <v>32</v>
      </c>
    </row>
    <row r="17" s="18" customFormat="1" spans="1:27">
      <c r="A17" s="18" t="s">
        <v>27</v>
      </c>
      <c r="B17" s="18" t="s">
        <v>28</v>
      </c>
      <c r="C17" s="18">
        <v>4836805</v>
      </c>
      <c r="D17" s="17">
        <v>254713767179</v>
      </c>
      <c r="E17" s="20">
        <v>44368.392650463</v>
      </c>
      <c r="F17" s="18">
        <v>768.18</v>
      </c>
      <c r="G17" s="18">
        <v>0</v>
      </c>
      <c r="H17" s="18">
        <v>768.18</v>
      </c>
      <c r="I17" s="18">
        <v>60.63</v>
      </c>
      <c r="J17" s="18">
        <v>0</v>
      </c>
      <c r="K17" s="18">
        <v>60.63</v>
      </c>
      <c r="L17" s="18">
        <v>88.75</v>
      </c>
      <c r="M17" s="18">
        <v>11804</v>
      </c>
      <c r="N17" s="18">
        <v>84.31</v>
      </c>
      <c r="O17" s="18">
        <v>11213.23</v>
      </c>
      <c r="P17" s="18" t="s">
        <v>29</v>
      </c>
      <c r="Q17" s="18" t="s">
        <v>30</v>
      </c>
      <c r="R17" s="18" t="s">
        <v>107</v>
      </c>
      <c r="S17" s="18">
        <v>0</v>
      </c>
      <c r="T17" s="18">
        <v>560</v>
      </c>
      <c r="U17" s="18">
        <v>0</v>
      </c>
      <c r="V17" s="18" t="s">
        <v>32</v>
      </c>
      <c r="W17" s="18" t="s">
        <v>32</v>
      </c>
      <c r="X17" s="18" t="s">
        <v>32</v>
      </c>
      <c r="Y17" s="18" t="s">
        <v>32</v>
      </c>
      <c r="Z17" s="18" t="s">
        <v>32</v>
      </c>
      <c r="AA17" s="18" t="s">
        <v>32</v>
      </c>
    </row>
    <row r="18" s="18" customFormat="1" spans="1:27">
      <c r="A18" s="18" t="s">
        <v>27</v>
      </c>
      <c r="B18" s="18" t="s">
        <v>28</v>
      </c>
      <c r="C18" s="18">
        <v>14888065</v>
      </c>
      <c r="D18" s="17">
        <v>254713962447</v>
      </c>
      <c r="E18" s="20">
        <v>45626.3223148148</v>
      </c>
      <c r="F18" s="18">
        <v>6371.54</v>
      </c>
      <c r="G18" s="18">
        <v>0</v>
      </c>
      <c r="H18" s="18">
        <v>6371.54</v>
      </c>
      <c r="I18" s="18">
        <v>249.23</v>
      </c>
      <c r="J18" s="18">
        <v>0</v>
      </c>
      <c r="K18" s="18">
        <v>249.23</v>
      </c>
      <c r="L18" s="18">
        <v>950.78</v>
      </c>
      <c r="M18" s="18">
        <v>126454</v>
      </c>
      <c r="N18" s="18">
        <v>105.79</v>
      </c>
      <c r="O18" s="18">
        <v>14070.07</v>
      </c>
      <c r="P18" s="18" t="s">
        <v>29</v>
      </c>
      <c r="Q18" s="18" t="s">
        <v>30</v>
      </c>
      <c r="R18" s="18" t="s">
        <v>107</v>
      </c>
      <c r="S18" s="18">
        <v>0</v>
      </c>
      <c r="T18" s="18">
        <v>700</v>
      </c>
      <c r="U18" s="18">
        <v>0</v>
      </c>
      <c r="V18" s="18" t="s">
        <v>32</v>
      </c>
      <c r="W18" s="18" t="s">
        <v>32</v>
      </c>
      <c r="X18" s="18" t="s">
        <v>32</v>
      </c>
      <c r="Y18" s="18" t="s">
        <v>32</v>
      </c>
      <c r="Z18" s="18" t="s">
        <v>32</v>
      </c>
      <c r="AA18" s="18" t="s">
        <v>32</v>
      </c>
    </row>
    <row r="19" s="18" customFormat="1" spans="1:27">
      <c r="A19" s="18" t="s">
        <v>27</v>
      </c>
      <c r="B19" s="18" t="s">
        <v>28</v>
      </c>
      <c r="C19" s="18">
        <v>18401254</v>
      </c>
      <c r="D19" s="17">
        <v>254715956093</v>
      </c>
      <c r="E19" s="20">
        <v>45909.4173611111</v>
      </c>
      <c r="F19" s="18">
        <v>1421.32</v>
      </c>
      <c r="G19" s="18">
        <v>0</v>
      </c>
      <c r="H19" s="18">
        <v>1421.32</v>
      </c>
      <c r="I19" s="18">
        <v>89.86</v>
      </c>
      <c r="J19" s="18">
        <v>0</v>
      </c>
      <c r="K19" s="18">
        <v>89.86</v>
      </c>
      <c r="L19" s="18">
        <v>142.11</v>
      </c>
      <c r="M19" s="18">
        <v>18900</v>
      </c>
      <c r="N19" s="18">
        <v>28.57</v>
      </c>
      <c r="O19" s="18">
        <v>3799.81</v>
      </c>
      <c r="P19" s="18" t="s">
        <v>29</v>
      </c>
      <c r="Q19" s="18" t="s">
        <v>30</v>
      </c>
      <c r="R19" s="18" t="s">
        <v>107</v>
      </c>
      <c r="S19" s="18">
        <v>0</v>
      </c>
      <c r="T19" s="18">
        <v>190</v>
      </c>
      <c r="U19" s="18">
        <v>0</v>
      </c>
      <c r="V19" s="18" t="s">
        <v>32</v>
      </c>
      <c r="W19" s="18" t="s">
        <v>32</v>
      </c>
      <c r="X19" s="18" t="s">
        <v>32</v>
      </c>
      <c r="Y19" s="18" t="s">
        <v>32</v>
      </c>
      <c r="Z19" s="18" t="s">
        <v>32</v>
      </c>
      <c r="AA19" s="18" t="s">
        <v>32</v>
      </c>
    </row>
    <row r="20" s="18" customFormat="1" spans="1:27">
      <c r="A20" s="18" t="s">
        <v>27</v>
      </c>
      <c r="B20" s="18" t="s">
        <v>28</v>
      </c>
      <c r="C20" s="18">
        <v>14891973</v>
      </c>
      <c r="D20" s="17">
        <v>254716545706</v>
      </c>
      <c r="E20" s="20">
        <v>45626.5314583333</v>
      </c>
      <c r="F20" s="18">
        <v>327.71</v>
      </c>
      <c r="G20" s="18">
        <v>0</v>
      </c>
      <c r="H20" s="18">
        <v>327.71</v>
      </c>
      <c r="I20" s="18">
        <v>41.29</v>
      </c>
      <c r="J20" s="18">
        <v>0</v>
      </c>
      <c r="K20" s="18">
        <v>41.29</v>
      </c>
      <c r="L20" s="18">
        <v>104.24</v>
      </c>
      <c r="M20" s="18">
        <v>13864</v>
      </c>
      <c r="N20" s="18">
        <v>16.64</v>
      </c>
      <c r="O20" s="18">
        <v>2213.12</v>
      </c>
      <c r="P20" s="18" t="s">
        <v>29</v>
      </c>
      <c r="Q20" s="18" t="s">
        <v>30</v>
      </c>
      <c r="R20" s="18" t="s">
        <v>107</v>
      </c>
      <c r="S20" s="18">
        <v>0</v>
      </c>
      <c r="T20" s="18">
        <v>110</v>
      </c>
      <c r="U20" s="18">
        <v>0</v>
      </c>
      <c r="V20" s="18" t="s">
        <v>32</v>
      </c>
      <c r="W20" s="18" t="s">
        <v>32</v>
      </c>
      <c r="X20" s="18" t="s">
        <v>32</v>
      </c>
      <c r="Y20" s="18" t="s">
        <v>32</v>
      </c>
      <c r="Z20" s="18" t="s">
        <v>32</v>
      </c>
      <c r="AA20" s="18" t="s">
        <v>32</v>
      </c>
    </row>
    <row r="21" s="18" customFormat="1" spans="1:27">
      <c r="A21" s="18" t="s">
        <v>27</v>
      </c>
      <c r="B21" s="18" t="s">
        <v>28</v>
      </c>
      <c r="C21" s="18">
        <v>136643</v>
      </c>
      <c r="D21" s="17">
        <v>254716949656</v>
      </c>
      <c r="E21" s="20">
        <v>43901.4146412037</v>
      </c>
      <c r="F21" s="18">
        <v>1068.02</v>
      </c>
      <c r="G21" s="18">
        <v>0</v>
      </c>
      <c r="H21" s="18">
        <v>1068.02</v>
      </c>
      <c r="I21" s="18">
        <v>-7.11</v>
      </c>
      <c r="J21" s="18">
        <v>0</v>
      </c>
      <c r="K21" s="18">
        <v>-7.11</v>
      </c>
      <c r="L21" s="18">
        <v>148.46</v>
      </c>
      <c r="M21" s="18">
        <v>19745</v>
      </c>
      <c r="N21" s="18">
        <v>216.43</v>
      </c>
      <c r="O21" s="18">
        <v>28785.19</v>
      </c>
      <c r="P21" s="18" t="s">
        <v>34</v>
      </c>
      <c r="Q21" s="18" t="s">
        <v>30</v>
      </c>
      <c r="R21" s="18" t="s">
        <v>107</v>
      </c>
      <c r="S21" s="18">
        <v>0</v>
      </c>
      <c r="T21" s="18">
        <v>1440</v>
      </c>
      <c r="U21" s="18">
        <v>0</v>
      </c>
      <c r="V21" s="18" t="s">
        <v>32</v>
      </c>
      <c r="W21" s="18" t="s">
        <v>32</v>
      </c>
      <c r="X21" s="18" t="s">
        <v>32</v>
      </c>
      <c r="Y21" s="18" t="s">
        <v>32</v>
      </c>
      <c r="Z21" s="18" t="s">
        <v>32</v>
      </c>
      <c r="AA21" s="18" t="s">
        <v>32</v>
      </c>
    </row>
    <row r="22" s="18" customFormat="1" spans="1:27">
      <c r="A22" s="18" t="s">
        <v>27</v>
      </c>
      <c r="B22" s="18" t="s">
        <v>28</v>
      </c>
      <c r="C22" s="18">
        <v>15618775</v>
      </c>
      <c r="D22" s="17">
        <v>254717643024</v>
      </c>
      <c r="E22" s="20">
        <v>45684.6799074074</v>
      </c>
      <c r="F22" s="18">
        <v>707.09</v>
      </c>
      <c r="G22" s="18">
        <v>0.3</v>
      </c>
      <c r="H22" s="18">
        <v>706.79</v>
      </c>
      <c r="I22" s="18">
        <v>12.68</v>
      </c>
      <c r="J22" s="18">
        <v>0.04</v>
      </c>
      <c r="K22" s="18">
        <v>12.65</v>
      </c>
      <c r="L22" s="18">
        <v>74.57</v>
      </c>
      <c r="M22" s="18">
        <v>9918</v>
      </c>
      <c r="N22" s="18">
        <v>65.64</v>
      </c>
      <c r="O22" s="18">
        <v>8730.12</v>
      </c>
      <c r="P22" s="18" t="s">
        <v>29</v>
      </c>
      <c r="Q22" s="18" t="s">
        <v>30</v>
      </c>
      <c r="R22" s="18" t="s">
        <v>107</v>
      </c>
      <c r="S22" s="18">
        <v>0</v>
      </c>
      <c r="T22" s="18">
        <v>440</v>
      </c>
      <c r="U22" s="18">
        <v>0</v>
      </c>
      <c r="V22" s="18" t="s">
        <v>32</v>
      </c>
      <c r="W22" s="18" t="s">
        <v>32</v>
      </c>
      <c r="X22" s="18" t="s">
        <v>32</v>
      </c>
      <c r="Y22" s="18" t="s">
        <v>32</v>
      </c>
      <c r="Z22" s="18" t="s">
        <v>32</v>
      </c>
      <c r="AA22" s="18" t="s">
        <v>32</v>
      </c>
    </row>
    <row r="23" s="18" customFormat="1" spans="1:27">
      <c r="A23" s="18" t="s">
        <v>27</v>
      </c>
      <c r="B23" s="18" t="s">
        <v>28</v>
      </c>
      <c r="C23" s="18">
        <v>10685853</v>
      </c>
      <c r="D23" s="17">
        <v>254718961931</v>
      </c>
      <c r="E23" s="20">
        <v>45184.6631828704</v>
      </c>
      <c r="F23" s="18">
        <v>117.16</v>
      </c>
      <c r="G23" s="18">
        <v>42.54</v>
      </c>
      <c r="H23" s="18">
        <v>74.62</v>
      </c>
      <c r="I23" s="18">
        <v>30.92</v>
      </c>
      <c r="J23" s="18">
        <v>21.44</v>
      </c>
      <c r="K23" s="18">
        <v>9.48</v>
      </c>
      <c r="L23" s="18">
        <v>54.49</v>
      </c>
      <c r="M23" s="18">
        <v>7247</v>
      </c>
      <c r="N23" s="18">
        <v>3.35</v>
      </c>
      <c r="O23" s="18">
        <v>445.55</v>
      </c>
      <c r="P23" s="18" t="s">
        <v>35</v>
      </c>
      <c r="Q23" s="18" t="s">
        <v>30</v>
      </c>
      <c r="R23" s="18" t="s">
        <v>107</v>
      </c>
      <c r="S23" s="18">
        <v>2000</v>
      </c>
      <c r="T23" s="18">
        <v>10</v>
      </c>
      <c r="U23" s="18">
        <v>0</v>
      </c>
      <c r="V23" s="18" t="s">
        <v>32</v>
      </c>
      <c r="W23" s="18" t="s">
        <v>32</v>
      </c>
      <c r="X23" s="18" t="s">
        <v>32</v>
      </c>
      <c r="Y23" s="18" t="s">
        <v>32</v>
      </c>
      <c r="Z23" s="18" t="s">
        <v>32</v>
      </c>
      <c r="AA23" s="18" t="s">
        <v>32</v>
      </c>
    </row>
    <row r="24" s="18" customFormat="1" spans="1:27">
      <c r="A24" s="18" t="s">
        <v>27</v>
      </c>
      <c r="B24" s="18" t="s">
        <v>28</v>
      </c>
      <c r="C24" s="18">
        <v>19681594</v>
      </c>
      <c r="D24" s="17">
        <v>254719120123</v>
      </c>
      <c r="E24" s="20">
        <v>45985.5665277778</v>
      </c>
      <c r="F24" s="18">
        <v>939.32</v>
      </c>
      <c r="G24" s="18">
        <v>0</v>
      </c>
      <c r="H24" s="18">
        <v>939.32</v>
      </c>
      <c r="I24" s="18">
        <v>28.22</v>
      </c>
      <c r="J24" s="18">
        <v>0</v>
      </c>
      <c r="K24" s="18">
        <v>28.22</v>
      </c>
      <c r="L24" s="18">
        <v>51.73</v>
      </c>
      <c r="M24" s="18">
        <v>6880</v>
      </c>
      <c r="N24" s="18">
        <v>18.27</v>
      </c>
      <c r="O24" s="18">
        <v>2429.91</v>
      </c>
      <c r="P24" s="18" t="s">
        <v>34</v>
      </c>
      <c r="Q24" s="18" t="s">
        <v>30</v>
      </c>
      <c r="R24" s="18" t="s">
        <v>107</v>
      </c>
      <c r="S24" s="18">
        <v>0</v>
      </c>
      <c r="T24" s="18">
        <v>120</v>
      </c>
      <c r="U24" s="18">
        <v>0</v>
      </c>
      <c r="V24" s="18" t="s">
        <v>32</v>
      </c>
      <c r="W24" s="18" t="s">
        <v>32</v>
      </c>
      <c r="X24" s="18" t="s">
        <v>32</v>
      </c>
      <c r="Y24" s="18" t="s">
        <v>32</v>
      </c>
      <c r="Z24" s="18" t="s">
        <v>32</v>
      </c>
      <c r="AA24" s="18" t="s">
        <v>32</v>
      </c>
    </row>
    <row r="25" s="18" customFormat="1" spans="1:27">
      <c r="A25" s="18" t="s">
        <v>27</v>
      </c>
      <c r="B25" s="18" t="s">
        <v>28</v>
      </c>
      <c r="C25" s="18">
        <v>16728953</v>
      </c>
      <c r="D25" s="17">
        <v>254719510946</v>
      </c>
      <c r="E25" s="20">
        <v>45796.8704166667</v>
      </c>
      <c r="F25" s="18">
        <v>3115.38</v>
      </c>
      <c r="G25" s="18">
        <v>0.51</v>
      </c>
      <c r="H25" s="18">
        <v>3114.87</v>
      </c>
      <c r="I25" s="18">
        <v>95.89</v>
      </c>
      <c r="J25" s="18">
        <v>0.51</v>
      </c>
      <c r="K25" s="18">
        <v>95.38</v>
      </c>
      <c r="L25" s="18">
        <v>364.8</v>
      </c>
      <c r="M25" s="18">
        <v>48519</v>
      </c>
      <c r="N25" s="18">
        <v>71.41</v>
      </c>
      <c r="O25" s="18">
        <v>9497.53</v>
      </c>
      <c r="P25" s="18" t="s">
        <v>29</v>
      </c>
      <c r="Q25" s="18" t="s">
        <v>30</v>
      </c>
      <c r="R25" s="18" t="s">
        <v>107</v>
      </c>
      <c r="S25" s="18">
        <v>0</v>
      </c>
      <c r="T25" s="18">
        <v>470</v>
      </c>
      <c r="U25" s="18">
        <v>0</v>
      </c>
      <c r="V25" s="18" t="s">
        <v>32</v>
      </c>
      <c r="W25" s="18" t="s">
        <v>32</v>
      </c>
      <c r="X25" s="18" t="s">
        <v>32</v>
      </c>
      <c r="Y25" s="18" t="s">
        <v>32</v>
      </c>
      <c r="Z25" s="18" t="s">
        <v>32</v>
      </c>
      <c r="AA25" s="18" t="s">
        <v>32</v>
      </c>
    </row>
    <row r="26" s="18" customFormat="1" spans="1:27">
      <c r="A26" s="18" t="s">
        <v>27</v>
      </c>
      <c r="B26" s="18" t="s">
        <v>28</v>
      </c>
      <c r="C26" s="18">
        <v>18155184</v>
      </c>
      <c r="D26" s="17">
        <v>254719871117</v>
      </c>
      <c r="E26" s="20">
        <v>45895.7180555556</v>
      </c>
      <c r="F26" s="18">
        <v>296.46</v>
      </c>
      <c r="G26" s="18">
        <v>0.05</v>
      </c>
      <c r="H26" s="18">
        <v>296.42</v>
      </c>
      <c r="I26" s="18">
        <v>41.14</v>
      </c>
      <c r="J26" s="18">
        <v>-0.02</v>
      </c>
      <c r="K26" s="18">
        <v>41.17</v>
      </c>
      <c r="L26" s="18">
        <v>74.59</v>
      </c>
      <c r="M26" s="18">
        <v>9921</v>
      </c>
      <c r="N26" s="18">
        <v>2.09</v>
      </c>
      <c r="O26" s="18">
        <v>277.97</v>
      </c>
      <c r="P26" s="18" t="s">
        <v>34</v>
      </c>
      <c r="Q26" s="18" t="s">
        <v>30</v>
      </c>
      <c r="R26" s="18" t="s">
        <v>107</v>
      </c>
      <c r="S26" s="18">
        <v>0</v>
      </c>
      <c r="T26" s="18">
        <v>10</v>
      </c>
      <c r="U26" s="18">
        <v>0</v>
      </c>
      <c r="V26" s="18" t="s">
        <v>32</v>
      </c>
      <c r="W26" s="18" t="s">
        <v>32</v>
      </c>
      <c r="X26" s="18" t="s">
        <v>32</v>
      </c>
      <c r="Y26" s="18" t="s">
        <v>32</v>
      </c>
      <c r="Z26" s="18" t="s">
        <v>32</v>
      </c>
      <c r="AA26" s="18" t="s">
        <v>32</v>
      </c>
    </row>
    <row r="27" s="18" customFormat="1" spans="1:27">
      <c r="A27" s="18" t="s">
        <v>27</v>
      </c>
      <c r="B27" s="18" t="s">
        <v>28</v>
      </c>
      <c r="C27" s="18">
        <v>16944543</v>
      </c>
      <c r="D27" s="17">
        <v>254720986570</v>
      </c>
      <c r="E27" s="20">
        <v>45817.8895949074</v>
      </c>
      <c r="F27" s="18">
        <v>96.96</v>
      </c>
      <c r="G27" s="18">
        <v>63.26</v>
      </c>
      <c r="H27" s="18">
        <v>33.7</v>
      </c>
      <c r="I27" s="18">
        <v>54.14</v>
      </c>
      <c r="J27" s="18">
        <v>48.05</v>
      </c>
      <c r="K27" s="18">
        <v>6.09</v>
      </c>
      <c r="L27" s="18">
        <v>61.4</v>
      </c>
      <c r="M27" s="18">
        <v>8166</v>
      </c>
      <c r="N27" s="18">
        <v>5.94</v>
      </c>
      <c r="O27" s="18">
        <v>790.02</v>
      </c>
      <c r="P27" s="18" t="s">
        <v>35</v>
      </c>
      <c r="Q27" s="18" t="s">
        <v>30</v>
      </c>
      <c r="R27" s="18" t="s">
        <v>107</v>
      </c>
      <c r="S27" s="18">
        <v>2000</v>
      </c>
      <c r="T27" s="18">
        <v>20</v>
      </c>
      <c r="U27" s="18">
        <v>0</v>
      </c>
      <c r="V27" s="18" t="s">
        <v>32</v>
      </c>
      <c r="W27" s="18" t="s">
        <v>32</v>
      </c>
      <c r="X27" s="18" t="s">
        <v>32</v>
      </c>
      <c r="Y27" s="18" t="s">
        <v>32</v>
      </c>
      <c r="Z27" s="18" t="s">
        <v>32</v>
      </c>
      <c r="AA27" s="18" t="s">
        <v>32</v>
      </c>
    </row>
    <row r="28" s="18" customFormat="1" spans="1:27">
      <c r="A28" s="18" t="s">
        <v>27</v>
      </c>
      <c r="B28" s="18" t="s">
        <v>28</v>
      </c>
      <c r="C28" s="18">
        <v>13348445</v>
      </c>
      <c r="D28" s="17">
        <v>254721973796</v>
      </c>
      <c r="E28" s="20">
        <v>45493.7862152778</v>
      </c>
      <c r="F28" s="18">
        <v>34555.36</v>
      </c>
      <c r="G28" s="18">
        <v>0</v>
      </c>
      <c r="H28" s="18">
        <v>34555.36</v>
      </c>
      <c r="I28" s="18">
        <v>1377.58</v>
      </c>
      <c r="J28" s="18">
        <v>0</v>
      </c>
      <c r="K28" s="18">
        <v>1377.58</v>
      </c>
      <c r="L28" s="18">
        <v>5317.68</v>
      </c>
      <c r="M28" s="18">
        <v>707252</v>
      </c>
      <c r="N28" s="18">
        <v>695.49</v>
      </c>
      <c r="O28" s="18">
        <v>92500.17</v>
      </c>
      <c r="P28" s="18" t="s">
        <v>29</v>
      </c>
      <c r="Q28" s="18" t="s">
        <v>33</v>
      </c>
      <c r="R28" s="18" t="s">
        <v>107</v>
      </c>
      <c r="S28" s="18">
        <v>0</v>
      </c>
      <c r="T28" s="18">
        <v>4630</v>
      </c>
      <c r="U28" s="18">
        <v>1</v>
      </c>
      <c r="V28" s="18">
        <v>1</v>
      </c>
      <c r="W28" s="18" t="s">
        <v>32</v>
      </c>
      <c r="X28" s="18" t="s">
        <v>32</v>
      </c>
      <c r="Y28" s="18" t="s">
        <v>32</v>
      </c>
      <c r="Z28" s="18" t="s">
        <v>32</v>
      </c>
      <c r="AA28" s="18" t="s">
        <v>32</v>
      </c>
    </row>
    <row r="29" s="18" customFormat="1" spans="1:27">
      <c r="A29" s="18" t="s">
        <v>27</v>
      </c>
      <c r="B29" s="18" t="s">
        <v>28</v>
      </c>
      <c r="C29" s="18">
        <v>1905083</v>
      </c>
      <c r="D29" s="17">
        <v>254722570452</v>
      </c>
      <c r="E29" s="20">
        <v>44030.4591550926</v>
      </c>
      <c r="F29" s="18">
        <v>190.04</v>
      </c>
      <c r="G29" s="18">
        <v>10.6</v>
      </c>
      <c r="H29" s="18">
        <v>179.44</v>
      </c>
      <c r="I29" s="18">
        <v>11.55</v>
      </c>
      <c r="J29" s="18">
        <v>8.35</v>
      </c>
      <c r="K29" s="18">
        <v>3.21</v>
      </c>
      <c r="L29" s="18">
        <v>75.04</v>
      </c>
      <c r="M29" s="18">
        <v>9980</v>
      </c>
      <c r="N29" s="18">
        <v>30.29</v>
      </c>
      <c r="O29" s="18">
        <v>4028.57</v>
      </c>
      <c r="P29" s="18" t="s">
        <v>29</v>
      </c>
      <c r="Q29" s="18" t="s">
        <v>30</v>
      </c>
      <c r="R29" s="18" t="s">
        <v>107</v>
      </c>
      <c r="S29" s="18">
        <v>0</v>
      </c>
      <c r="T29" s="18">
        <v>200</v>
      </c>
      <c r="U29" s="18">
        <v>0</v>
      </c>
      <c r="V29" s="18" t="s">
        <v>32</v>
      </c>
      <c r="W29" s="18" t="s">
        <v>32</v>
      </c>
      <c r="X29" s="18" t="s">
        <v>32</v>
      </c>
      <c r="Y29" s="18" t="s">
        <v>32</v>
      </c>
      <c r="Z29" s="18" t="s">
        <v>32</v>
      </c>
      <c r="AA29" s="18" t="s">
        <v>32</v>
      </c>
    </row>
    <row r="30" s="18" customFormat="1" spans="1:27">
      <c r="A30" s="18" t="s">
        <v>27</v>
      </c>
      <c r="B30" s="18" t="s">
        <v>28</v>
      </c>
      <c r="C30" s="18">
        <v>12050133</v>
      </c>
      <c r="D30" s="17">
        <v>254722811615</v>
      </c>
      <c r="E30" s="20">
        <v>45307.7367592593</v>
      </c>
      <c r="F30" s="18">
        <v>2094.23</v>
      </c>
      <c r="G30" s="18">
        <v>0.08</v>
      </c>
      <c r="H30" s="18">
        <v>2094.15</v>
      </c>
      <c r="I30" s="18">
        <v>100.75</v>
      </c>
      <c r="J30" s="18">
        <v>0.08</v>
      </c>
      <c r="K30" s="18">
        <v>100.66</v>
      </c>
      <c r="L30" s="18">
        <v>321.06</v>
      </c>
      <c r="M30" s="18">
        <v>42701</v>
      </c>
      <c r="N30" s="18">
        <v>220.39</v>
      </c>
      <c r="O30" s="18">
        <v>29311.87</v>
      </c>
      <c r="P30" s="18" t="s">
        <v>29</v>
      </c>
      <c r="Q30" s="18" t="s">
        <v>30</v>
      </c>
      <c r="R30" s="18" t="s">
        <v>107</v>
      </c>
      <c r="S30" s="18">
        <v>0</v>
      </c>
      <c r="T30" s="18">
        <v>1470</v>
      </c>
      <c r="U30" s="18">
        <v>0</v>
      </c>
      <c r="V30" s="18" t="s">
        <v>32</v>
      </c>
      <c r="W30" s="18" t="s">
        <v>32</v>
      </c>
      <c r="X30" s="18" t="s">
        <v>32</v>
      </c>
      <c r="Y30" s="18" t="s">
        <v>32</v>
      </c>
      <c r="Z30" s="18" t="s">
        <v>32</v>
      </c>
      <c r="AA30" s="18" t="s">
        <v>32</v>
      </c>
    </row>
    <row r="31" s="18" customFormat="1" spans="1:27">
      <c r="A31" s="18" t="s">
        <v>27</v>
      </c>
      <c r="B31" s="18" t="s">
        <v>28</v>
      </c>
      <c r="C31" s="18">
        <v>6267145</v>
      </c>
      <c r="D31" s="17">
        <v>254723768567</v>
      </c>
      <c r="E31" s="20">
        <v>44552.2909490741</v>
      </c>
      <c r="F31" s="18">
        <v>357.71</v>
      </c>
      <c r="G31" s="18">
        <v>0.09</v>
      </c>
      <c r="H31" s="18">
        <v>357.62</v>
      </c>
      <c r="I31" s="18">
        <v>58.76</v>
      </c>
      <c r="J31" s="18">
        <v>0.09</v>
      </c>
      <c r="K31" s="18">
        <v>59.42</v>
      </c>
      <c r="L31" s="18">
        <v>67.56</v>
      </c>
      <c r="M31" s="18">
        <v>8986</v>
      </c>
      <c r="N31" s="18">
        <v>31.86</v>
      </c>
      <c r="O31" s="18">
        <v>4237.38</v>
      </c>
      <c r="P31" s="18" t="s">
        <v>34</v>
      </c>
      <c r="Q31" s="18" t="s">
        <v>30</v>
      </c>
      <c r="R31" s="18" t="s">
        <v>107</v>
      </c>
      <c r="S31" s="18">
        <v>0</v>
      </c>
      <c r="T31" s="18">
        <v>210</v>
      </c>
      <c r="U31" s="18">
        <v>0</v>
      </c>
      <c r="V31" s="18" t="s">
        <v>32</v>
      </c>
      <c r="W31" s="18" t="s">
        <v>32</v>
      </c>
      <c r="X31" s="18" t="s">
        <v>32</v>
      </c>
      <c r="Y31" s="18" t="s">
        <v>32</v>
      </c>
      <c r="Z31" s="18" t="s">
        <v>32</v>
      </c>
      <c r="AA31" s="18" t="s">
        <v>32</v>
      </c>
    </row>
    <row r="32" s="18" customFormat="1" spans="1:27">
      <c r="A32" s="18" t="s">
        <v>27</v>
      </c>
      <c r="B32" s="18" t="s">
        <v>28</v>
      </c>
      <c r="C32" s="18">
        <v>12289694</v>
      </c>
      <c r="D32" s="17">
        <v>254723978682</v>
      </c>
      <c r="E32" s="20">
        <v>45333.7366319444</v>
      </c>
      <c r="F32" s="18">
        <v>189.88</v>
      </c>
      <c r="G32" s="18">
        <v>0</v>
      </c>
      <c r="H32" s="18">
        <v>189.88</v>
      </c>
      <c r="I32" s="18">
        <v>2.61</v>
      </c>
      <c r="J32" s="18">
        <v>0</v>
      </c>
      <c r="K32" s="18">
        <v>2.61</v>
      </c>
      <c r="L32" s="18">
        <v>76.66</v>
      </c>
      <c r="M32" s="18">
        <v>10196</v>
      </c>
      <c r="N32" s="18">
        <v>0</v>
      </c>
      <c r="O32" s="18">
        <v>0</v>
      </c>
      <c r="P32" s="18" t="s">
        <v>29</v>
      </c>
      <c r="Q32" s="18" t="s">
        <v>30</v>
      </c>
      <c r="R32" s="18" t="s">
        <v>107</v>
      </c>
      <c r="S32" s="18">
        <v>0</v>
      </c>
      <c r="T32" s="18">
        <v>0</v>
      </c>
      <c r="U32" s="18">
        <v>0</v>
      </c>
      <c r="V32" s="18" t="s">
        <v>32</v>
      </c>
      <c r="W32" s="18" t="s">
        <v>32</v>
      </c>
      <c r="X32" s="18" t="s">
        <v>32</v>
      </c>
      <c r="Y32" s="18" t="s">
        <v>32</v>
      </c>
      <c r="Z32" s="18" t="s">
        <v>32</v>
      </c>
      <c r="AA32" s="18" t="s">
        <v>32</v>
      </c>
    </row>
    <row r="33" s="18" customFormat="1" spans="1:27">
      <c r="A33" s="18" t="s">
        <v>27</v>
      </c>
      <c r="B33" s="18" t="s">
        <v>28</v>
      </c>
      <c r="C33" s="18">
        <v>19462453</v>
      </c>
      <c r="D33" s="17">
        <v>254724121209</v>
      </c>
      <c r="E33" s="20">
        <v>45975.6415277778</v>
      </c>
      <c r="F33" s="18">
        <v>281.17</v>
      </c>
      <c r="G33" s="18">
        <v>3.02</v>
      </c>
      <c r="H33" s="18">
        <v>278.15</v>
      </c>
      <c r="I33" s="18">
        <v>4.36</v>
      </c>
      <c r="J33" s="18">
        <v>2.55</v>
      </c>
      <c r="K33" s="18">
        <v>1.82</v>
      </c>
      <c r="L33" s="18">
        <v>60.32</v>
      </c>
      <c r="M33" s="18">
        <v>8023</v>
      </c>
      <c r="N33" s="18">
        <v>35.45</v>
      </c>
      <c r="O33" s="18">
        <v>4714.85</v>
      </c>
      <c r="P33" s="18" t="s">
        <v>34</v>
      </c>
      <c r="Q33" s="18" t="s">
        <v>30</v>
      </c>
      <c r="R33" s="18" t="s">
        <v>107</v>
      </c>
      <c r="S33" s="18">
        <v>0</v>
      </c>
      <c r="T33" s="18">
        <v>240</v>
      </c>
      <c r="U33" s="18">
        <v>0</v>
      </c>
      <c r="V33" s="18" t="s">
        <v>32</v>
      </c>
      <c r="W33" s="18" t="s">
        <v>32</v>
      </c>
      <c r="X33" s="18" t="s">
        <v>32</v>
      </c>
      <c r="Y33" s="18" t="s">
        <v>32</v>
      </c>
      <c r="Z33" s="18" t="s">
        <v>32</v>
      </c>
      <c r="AA33" s="18" t="s">
        <v>32</v>
      </c>
    </row>
    <row r="34" s="18" customFormat="1" spans="1:27">
      <c r="A34" s="18" t="s">
        <v>27</v>
      </c>
      <c r="B34" s="18" t="s">
        <v>28</v>
      </c>
      <c r="C34" s="18">
        <v>16840454</v>
      </c>
      <c r="D34" s="17">
        <v>254724864149</v>
      </c>
      <c r="E34" s="20">
        <v>45808.5811805556</v>
      </c>
      <c r="F34" s="18">
        <v>1955.49</v>
      </c>
      <c r="G34" s="18">
        <v>0</v>
      </c>
      <c r="H34" s="18">
        <v>1955.49</v>
      </c>
      <c r="I34" s="18">
        <v>92.9</v>
      </c>
      <c r="J34" s="18">
        <v>0</v>
      </c>
      <c r="K34" s="18">
        <v>92.9</v>
      </c>
      <c r="L34" s="18">
        <v>167.51</v>
      </c>
      <c r="M34" s="18">
        <v>22279</v>
      </c>
      <c r="N34" s="18">
        <v>147.07</v>
      </c>
      <c r="O34" s="18">
        <v>19560.31</v>
      </c>
      <c r="P34" s="18" t="s">
        <v>29</v>
      </c>
      <c r="Q34" s="18" t="s">
        <v>30</v>
      </c>
      <c r="R34" s="18" t="s">
        <v>107</v>
      </c>
      <c r="S34" s="18">
        <v>0</v>
      </c>
      <c r="T34" s="18">
        <v>980</v>
      </c>
      <c r="U34" s="18">
        <v>0</v>
      </c>
      <c r="V34" s="18" t="s">
        <v>32</v>
      </c>
      <c r="W34" s="18" t="s">
        <v>32</v>
      </c>
      <c r="X34" s="18" t="s">
        <v>32</v>
      </c>
      <c r="Y34" s="18" t="s">
        <v>32</v>
      </c>
      <c r="Z34" s="18" t="s">
        <v>32</v>
      </c>
      <c r="AA34" s="18" t="s">
        <v>32</v>
      </c>
    </row>
    <row r="35" s="18" customFormat="1" spans="1:27">
      <c r="A35" s="18" t="s">
        <v>27</v>
      </c>
      <c r="B35" s="18" t="s">
        <v>28</v>
      </c>
      <c r="C35" s="18">
        <v>21178694</v>
      </c>
      <c r="D35" s="17">
        <v>254728784586</v>
      </c>
      <c r="E35" s="20">
        <v>46059.5625462963</v>
      </c>
      <c r="F35" s="18">
        <v>342.26</v>
      </c>
      <c r="G35" s="18">
        <v>0</v>
      </c>
      <c r="H35" s="18">
        <v>342.26</v>
      </c>
      <c r="I35" s="18">
        <v>62.5</v>
      </c>
      <c r="J35" s="18">
        <v>0</v>
      </c>
      <c r="K35" s="18">
        <v>62.5</v>
      </c>
      <c r="L35" s="18">
        <v>65.83</v>
      </c>
      <c r="M35" s="18">
        <v>8755</v>
      </c>
      <c r="N35" s="18">
        <v>110.79</v>
      </c>
      <c r="O35" s="18">
        <v>14735.07</v>
      </c>
      <c r="P35" s="18" t="s">
        <v>34</v>
      </c>
      <c r="Q35" s="18" t="s">
        <v>30</v>
      </c>
      <c r="R35" s="18" t="s">
        <v>107</v>
      </c>
      <c r="S35" s="18">
        <v>0</v>
      </c>
      <c r="T35" s="18">
        <v>740</v>
      </c>
      <c r="U35" s="18">
        <v>0</v>
      </c>
      <c r="V35" s="18" t="s">
        <v>32</v>
      </c>
      <c r="W35" s="18" t="s">
        <v>32</v>
      </c>
      <c r="X35" s="18" t="s">
        <v>32</v>
      </c>
      <c r="Y35" s="18" t="s">
        <v>32</v>
      </c>
      <c r="Z35" s="18" t="s">
        <v>32</v>
      </c>
      <c r="AA35" s="18" t="s">
        <v>32</v>
      </c>
    </row>
    <row r="36" s="18" customFormat="1" spans="1:27">
      <c r="A36" s="18" t="s">
        <v>27</v>
      </c>
      <c r="B36" s="18" t="s">
        <v>28</v>
      </c>
      <c r="C36" s="18">
        <v>11507753</v>
      </c>
      <c r="D36" s="17">
        <v>254729703345</v>
      </c>
      <c r="E36" s="20">
        <v>45258.2515277778</v>
      </c>
      <c r="F36" s="18">
        <v>3603.28</v>
      </c>
      <c r="G36" s="18">
        <v>2.58</v>
      </c>
      <c r="H36" s="18">
        <v>3600.7</v>
      </c>
      <c r="I36" s="18">
        <v>5.16</v>
      </c>
      <c r="J36" s="18">
        <v>2.58</v>
      </c>
      <c r="K36" s="18">
        <v>2.58</v>
      </c>
      <c r="L36" s="18">
        <v>317.89</v>
      </c>
      <c r="M36" s="18">
        <v>42280</v>
      </c>
      <c r="N36" s="18">
        <v>117</v>
      </c>
      <c r="O36" s="18">
        <v>15561</v>
      </c>
      <c r="P36" s="18" t="s">
        <v>29</v>
      </c>
      <c r="Q36" s="18" t="s">
        <v>30</v>
      </c>
      <c r="R36" s="18" t="s">
        <v>107</v>
      </c>
      <c r="S36" s="18">
        <v>0</v>
      </c>
      <c r="T36" s="18">
        <v>780</v>
      </c>
      <c r="U36" s="18">
        <v>0</v>
      </c>
      <c r="V36" s="18" t="s">
        <v>32</v>
      </c>
      <c r="W36" s="18" t="s">
        <v>32</v>
      </c>
      <c r="X36" s="18" t="s">
        <v>32</v>
      </c>
      <c r="Y36" s="18" t="s">
        <v>32</v>
      </c>
      <c r="Z36" s="18" t="s">
        <v>32</v>
      </c>
      <c r="AA36" s="18" t="s">
        <v>32</v>
      </c>
    </row>
    <row r="37" s="18" customFormat="1" spans="1:27">
      <c r="A37" s="18" t="s">
        <v>27</v>
      </c>
      <c r="B37" s="18" t="s">
        <v>28</v>
      </c>
      <c r="C37" s="18">
        <v>3519405</v>
      </c>
      <c r="D37" s="17">
        <v>254729879984</v>
      </c>
      <c r="E37" s="20">
        <v>44239.8198032407</v>
      </c>
      <c r="F37" s="18">
        <v>5177.25</v>
      </c>
      <c r="G37" s="18">
        <v>0.23</v>
      </c>
      <c r="H37" s="18">
        <v>5177.02</v>
      </c>
      <c r="I37" s="18">
        <v>390.5</v>
      </c>
      <c r="J37" s="18">
        <v>-7.39</v>
      </c>
      <c r="K37" s="18">
        <v>397.88</v>
      </c>
      <c r="L37" s="18">
        <v>398.12</v>
      </c>
      <c r="M37" s="18">
        <v>52950</v>
      </c>
      <c r="N37" s="18">
        <v>0</v>
      </c>
      <c r="O37" s="18">
        <v>0</v>
      </c>
      <c r="P37" s="18" t="s">
        <v>34</v>
      </c>
      <c r="Q37" s="18" t="s">
        <v>30</v>
      </c>
      <c r="R37" s="18" t="s">
        <v>107</v>
      </c>
      <c r="S37" s="18">
        <v>0</v>
      </c>
      <c r="T37" s="18">
        <v>0</v>
      </c>
      <c r="U37" s="18">
        <v>0</v>
      </c>
      <c r="V37" s="18" t="s">
        <v>32</v>
      </c>
      <c r="W37" s="18" t="s">
        <v>32</v>
      </c>
      <c r="X37" s="18" t="s">
        <v>32</v>
      </c>
      <c r="Y37" s="18" t="s">
        <v>32</v>
      </c>
      <c r="Z37" s="18" t="s">
        <v>32</v>
      </c>
      <c r="AA37" s="18" t="s">
        <v>32</v>
      </c>
    </row>
    <row r="38" s="18" customFormat="1" spans="1:27">
      <c r="A38" s="18" t="s">
        <v>27</v>
      </c>
      <c r="B38" s="18" t="s">
        <v>28</v>
      </c>
      <c r="C38" s="18">
        <v>2056974</v>
      </c>
      <c r="D38" s="17">
        <v>254740655805</v>
      </c>
      <c r="E38" s="20">
        <v>44044.7876967593</v>
      </c>
      <c r="F38" s="18">
        <v>6097.41</v>
      </c>
      <c r="G38" s="18">
        <v>0.14</v>
      </c>
      <c r="H38" s="18">
        <v>6097.27</v>
      </c>
      <c r="I38" s="18">
        <v>149.81</v>
      </c>
      <c r="J38" s="18">
        <v>0.14</v>
      </c>
      <c r="K38" s="18">
        <v>149.67</v>
      </c>
      <c r="L38" s="18">
        <v>501.65</v>
      </c>
      <c r="M38" s="18">
        <v>66719</v>
      </c>
      <c r="N38" s="18">
        <v>1.04</v>
      </c>
      <c r="O38" s="18">
        <v>138.32</v>
      </c>
      <c r="P38" s="18" t="s">
        <v>34</v>
      </c>
      <c r="Q38" s="18" t="s">
        <v>30</v>
      </c>
      <c r="R38" s="18" t="s">
        <v>107</v>
      </c>
      <c r="S38" s="18">
        <v>0</v>
      </c>
      <c r="T38" s="18">
        <v>10</v>
      </c>
      <c r="U38" s="18">
        <v>0</v>
      </c>
      <c r="V38" s="18" t="s">
        <v>32</v>
      </c>
      <c r="W38" s="18" t="s">
        <v>32</v>
      </c>
      <c r="X38" s="18" t="s">
        <v>32</v>
      </c>
      <c r="Y38" s="18" t="s">
        <v>32</v>
      </c>
      <c r="Z38" s="18" t="s">
        <v>32</v>
      </c>
      <c r="AA38" s="18" t="s">
        <v>32</v>
      </c>
    </row>
    <row r="39" s="18" customFormat="1" spans="1:27">
      <c r="A39" s="18" t="s">
        <v>27</v>
      </c>
      <c r="B39" s="18" t="s">
        <v>28</v>
      </c>
      <c r="C39" s="18">
        <v>18248033</v>
      </c>
      <c r="D39" s="17">
        <v>254740725859</v>
      </c>
      <c r="E39" s="20">
        <v>45899.9756828704</v>
      </c>
      <c r="F39" s="18">
        <v>852</v>
      </c>
      <c r="G39" s="18">
        <v>0</v>
      </c>
      <c r="H39" s="18">
        <v>852</v>
      </c>
      <c r="I39" s="18">
        <v>81.61</v>
      </c>
      <c r="J39" s="18">
        <v>0</v>
      </c>
      <c r="K39" s="18">
        <v>81.61</v>
      </c>
      <c r="L39" s="18">
        <v>178.23</v>
      </c>
      <c r="M39" s="18">
        <v>23705</v>
      </c>
      <c r="N39" s="18">
        <v>169.32</v>
      </c>
      <c r="O39" s="18">
        <v>22519.56</v>
      </c>
      <c r="P39" s="18" t="s">
        <v>29</v>
      </c>
      <c r="Q39" s="18" t="s">
        <v>30</v>
      </c>
      <c r="R39" s="18" t="s">
        <v>107</v>
      </c>
      <c r="S39" s="18">
        <v>0</v>
      </c>
      <c r="T39" s="18">
        <v>1130</v>
      </c>
      <c r="U39" s="18">
        <v>0</v>
      </c>
      <c r="V39" s="18" t="s">
        <v>32</v>
      </c>
      <c r="W39" s="18" t="s">
        <v>32</v>
      </c>
      <c r="X39" s="18" t="s">
        <v>32</v>
      </c>
      <c r="Y39" s="18" t="s">
        <v>32</v>
      </c>
      <c r="Z39" s="18" t="s">
        <v>32</v>
      </c>
      <c r="AA39" s="18" t="s">
        <v>32</v>
      </c>
    </row>
    <row r="40" s="18" customFormat="1" spans="1:27">
      <c r="A40" s="18" t="s">
        <v>27</v>
      </c>
      <c r="B40" s="18" t="s">
        <v>28</v>
      </c>
      <c r="C40" s="18">
        <v>22147505</v>
      </c>
      <c r="D40" s="17">
        <v>254741082494</v>
      </c>
      <c r="E40" s="20">
        <v>46110.5583680556</v>
      </c>
      <c r="F40" s="18">
        <v>218.5</v>
      </c>
      <c r="G40" s="18">
        <v>0</v>
      </c>
      <c r="H40" s="18">
        <v>218.5</v>
      </c>
      <c r="I40" s="18">
        <v>-5.94</v>
      </c>
      <c r="J40" s="18">
        <v>0</v>
      </c>
      <c r="K40" s="18">
        <v>-5.94</v>
      </c>
      <c r="L40" s="18">
        <v>50.44</v>
      </c>
      <c r="M40" s="18">
        <v>6708</v>
      </c>
      <c r="N40" s="18">
        <v>47.91</v>
      </c>
      <c r="O40" s="18">
        <v>6372.03</v>
      </c>
      <c r="P40" s="18" t="s">
        <v>29</v>
      </c>
      <c r="Q40" s="18" t="s">
        <v>30</v>
      </c>
      <c r="R40" s="18" t="s">
        <v>107</v>
      </c>
      <c r="S40" s="18">
        <v>0</v>
      </c>
      <c r="T40" s="18">
        <v>320</v>
      </c>
      <c r="U40" s="18">
        <v>0</v>
      </c>
      <c r="V40" s="18" t="s">
        <v>32</v>
      </c>
      <c r="W40" s="18" t="s">
        <v>32</v>
      </c>
      <c r="X40" s="18" t="s">
        <v>32</v>
      </c>
      <c r="Y40" s="18" t="s">
        <v>32</v>
      </c>
      <c r="Z40" s="18" t="s">
        <v>32</v>
      </c>
      <c r="AA40" s="18" t="s">
        <v>32</v>
      </c>
    </row>
    <row r="41" s="18" customFormat="1" spans="1:27">
      <c r="A41" s="18" t="s">
        <v>27</v>
      </c>
      <c r="B41" s="18" t="s">
        <v>28</v>
      </c>
      <c r="C41" s="18">
        <v>11698003</v>
      </c>
      <c r="D41" s="17">
        <v>254745099697</v>
      </c>
      <c r="E41" s="20">
        <v>45275.687650463</v>
      </c>
      <c r="F41" s="18">
        <v>1322.49</v>
      </c>
      <c r="G41" s="18">
        <v>0.02</v>
      </c>
      <c r="H41" s="18">
        <v>1322.48</v>
      </c>
      <c r="I41" s="18">
        <v>44.13</v>
      </c>
      <c r="J41" s="18">
        <v>0.02</v>
      </c>
      <c r="K41" s="18">
        <v>44.11</v>
      </c>
      <c r="L41" s="18">
        <v>202.26</v>
      </c>
      <c r="M41" s="18">
        <v>26901</v>
      </c>
      <c r="N41" s="18">
        <v>24.82</v>
      </c>
      <c r="O41" s="18">
        <v>3301.06</v>
      </c>
      <c r="P41" s="18" t="s">
        <v>29</v>
      </c>
      <c r="Q41" s="18" t="s">
        <v>30</v>
      </c>
      <c r="R41" s="18" t="s">
        <v>107</v>
      </c>
      <c r="S41" s="18">
        <v>0</v>
      </c>
      <c r="T41" s="18">
        <v>170</v>
      </c>
      <c r="U41" s="18">
        <v>0</v>
      </c>
      <c r="V41" s="18" t="s">
        <v>32</v>
      </c>
      <c r="W41" s="18" t="s">
        <v>32</v>
      </c>
      <c r="X41" s="18" t="s">
        <v>32</v>
      </c>
      <c r="Y41" s="18" t="s">
        <v>32</v>
      </c>
      <c r="Z41" s="18" t="s">
        <v>32</v>
      </c>
      <c r="AA41" s="18" t="s">
        <v>32</v>
      </c>
    </row>
    <row r="42" s="18" customFormat="1" spans="1:27">
      <c r="A42" s="18" t="s">
        <v>27</v>
      </c>
      <c r="B42" s="18" t="s">
        <v>28</v>
      </c>
      <c r="C42" s="18">
        <v>17184743</v>
      </c>
      <c r="D42" s="17">
        <v>254748713590</v>
      </c>
      <c r="E42" s="20">
        <v>45837.229837963</v>
      </c>
      <c r="F42" s="18">
        <v>1679.05</v>
      </c>
      <c r="G42" s="18">
        <v>0.68</v>
      </c>
      <c r="H42" s="18">
        <v>1678.38</v>
      </c>
      <c r="I42" s="18">
        <v>68.93</v>
      </c>
      <c r="J42" s="18">
        <v>0.68</v>
      </c>
      <c r="K42" s="18">
        <v>68.26</v>
      </c>
      <c r="L42" s="18">
        <v>240.42</v>
      </c>
      <c r="M42" s="18">
        <v>31976</v>
      </c>
      <c r="N42" s="18">
        <v>69.67</v>
      </c>
      <c r="O42" s="18">
        <v>9266.11</v>
      </c>
      <c r="P42" s="18" t="s">
        <v>29</v>
      </c>
      <c r="Q42" s="18" t="s">
        <v>30</v>
      </c>
      <c r="R42" s="18" t="s">
        <v>107</v>
      </c>
      <c r="S42" s="18">
        <v>0</v>
      </c>
      <c r="T42" s="18">
        <v>460</v>
      </c>
      <c r="U42" s="18">
        <v>0</v>
      </c>
      <c r="V42" s="18" t="s">
        <v>32</v>
      </c>
      <c r="W42" s="18" t="s">
        <v>32</v>
      </c>
      <c r="X42" s="18" t="s">
        <v>32</v>
      </c>
      <c r="Y42" s="18" t="s">
        <v>32</v>
      </c>
      <c r="Z42" s="18" t="s">
        <v>32</v>
      </c>
      <c r="AA42" s="18" t="s">
        <v>32</v>
      </c>
    </row>
    <row r="43" s="18" customFormat="1" spans="1:27">
      <c r="A43" s="18" t="s">
        <v>27</v>
      </c>
      <c r="B43" s="18" t="s">
        <v>28</v>
      </c>
      <c r="C43" s="18">
        <v>15607024</v>
      </c>
      <c r="D43" s="17">
        <v>254748713803</v>
      </c>
      <c r="E43" s="20">
        <v>45683.7295833333</v>
      </c>
      <c r="F43" s="18">
        <v>200.34</v>
      </c>
      <c r="G43" s="18">
        <v>0</v>
      </c>
      <c r="H43" s="18">
        <v>200.34</v>
      </c>
      <c r="I43" s="18">
        <v>61.96</v>
      </c>
      <c r="J43" s="18">
        <v>0</v>
      </c>
      <c r="K43" s="18">
        <v>61.96</v>
      </c>
      <c r="L43" s="18">
        <v>93.2</v>
      </c>
      <c r="M43" s="18">
        <v>12395</v>
      </c>
      <c r="N43" s="18">
        <v>0</v>
      </c>
      <c r="O43" s="18">
        <v>0</v>
      </c>
      <c r="P43" s="18" t="s">
        <v>29</v>
      </c>
      <c r="Q43" s="18" t="s">
        <v>30</v>
      </c>
      <c r="R43" s="18" t="s">
        <v>107</v>
      </c>
      <c r="S43" s="18">
        <v>0</v>
      </c>
      <c r="T43" s="18">
        <v>0</v>
      </c>
      <c r="U43" s="18">
        <v>0</v>
      </c>
      <c r="V43" s="18" t="s">
        <v>32</v>
      </c>
      <c r="W43" s="18" t="s">
        <v>32</v>
      </c>
      <c r="X43" s="18" t="s">
        <v>32</v>
      </c>
      <c r="Y43" s="18" t="s">
        <v>32</v>
      </c>
      <c r="Z43" s="18" t="s">
        <v>32</v>
      </c>
      <c r="AA43" s="18" t="s">
        <v>32</v>
      </c>
    </row>
    <row r="44" s="18" customFormat="1" spans="1:27">
      <c r="A44" s="18" t="s">
        <v>27</v>
      </c>
      <c r="B44" s="18" t="s">
        <v>28</v>
      </c>
      <c r="C44" s="18">
        <v>15191613</v>
      </c>
      <c r="D44" s="17">
        <v>254748781832</v>
      </c>
      <c r="E44" s="20">
        <v>45652.7865740741</v>
      </c>
      <c r="F44" s="18">
        <v>407.52</v>
      </c>
      <c r="G44" s="18">
        <v>0.08</v>
      </c>
      <c r="H44" s="18">
        <v>407.43</v>
      </c>
      <c r="I44" s="18">
        <v>28.34</v>
      </c>
      <c r="J44" s="18">
        <v>-0.4</v>
      </c>
      <c r="K44" s="18">
        <v>28.74</v>
      </c>
      <c r="L44" s="18">
        <v>50.59</v>
      </c>
      <c r="M44" s="18">
        <v>6729</v>
      </c>
      <c r="N44" s="18">
        <v>3.57</v>
      </c>
      <c r="O44" s="18">
        <v>474.81</v>
      </c>
      <c r="P44" s="18" t="s">
        <v>29</v>
      </c>
      <c r="Q44" s="18" t="s">
        <v>30</v>
      </c>
      <c r="R44" s="18" t="s">
        <v>107</v>
      </c>
      <c r="S44" s="18">
        <v>0</v>
      </c>
      <c r="T44" s="18">
        <v>20</v>
      </c>
      <c r="U44" s="18">
        <v>0</v>
      </c>
      <c r="V44" s="18" t="s">
        <v>32</v>
      </c>
      <c r="W44" s="18" t="s">
        <v>32</v>
      </c>
      <c r="X44" s="18" t="s">
        <v>32</v>
      </c>
      <c r="Y44" s="18" t="s">
        <v>32</v>
      </c>
      <c r="Z44" s="18" t="s">
        <v>32</v>
      </c>
      <c r="AA44" s="18" t="s">
        <v>32</v>
      </c>
    </row>
    <row r="45" s="18" customFormat="1" spans="1:27">
      <c r="A45" s="18" t="s">
        <v>27</v>
      </c>
      <c r="B45" s="18" t="s">
        <v>28</v>
      </c>
      <c r="C45" s="18">
        <v>4596634</v>
      </c>
      <c r="D45" s="17">
        <v>254768556223</v>
      </c>
      <c r="E45" s="20">
        <v>44336.4085069444</v>
      </c>
      <c r="F45" s="18">
        <v>436.87</v>
      </c>
      <c r="G45" s="18">
        <v>0.12</v>
      </c>
      <c r="H45" s="18">
        <v>436.75</v>
      </c>
      <c r="I45" s="18">
        <v>33.71</v>
      </c>
      <c r="J45" s="18">
        <v>0.12</v>
      </c>
      <c r="K45" s="18">
        <v>33.59</v>
      </c>
      <c r="L45" s="18">
        <v>72.92</v>
      </c>
      <c r="M45" s="18">
        <v>9698</v>
      </c>
      <c r="N45" s="18">
        <v>0</v>
      </c>
      <c r="O45" s="18">
        <v>0</v>
      </c>
      <c r="P45" s="18" t="s">
        <v>29</v>
      </c>
      <c r="Q45" s="18" t="s">
        <v>30</v>
      </c>
      <c r="R45" s="18" t="s">
        <v>107</v>
      </c>
      <c r="S45" s="18">
        <v>0</v>
      </c>
      <c r="T45" s="18">
        <v>0</v>
      </c>
      <c r="U45" s="18">
        <v>0</v>
      </c>
      <c r="V45" s="18" t="s">
        <v>32</v>
      </c>
      <c r="W45" s="18" t="s">
        <v>32</v>
      </c>
      <c r="X45" s="18" t="s">
        <v>32</v>
      </c>
      <c r="Y45" s="18" t="s">
        <v>32</v>
      </c>
      <c r="Z45" s="18" t="s">
        <v>32</v>
      </c>
      <c r="AA45" s="18" t="s">
        <v>32</v>
      </c>
    </row>
    <row r="46" s="18" customFormat="1" spans="1:27">
      <c r="A46" s="18" t="s">
        <v>27</v>
      </c>
      <c r="B46" s="18" t="s">
        <v>28</v>
      </c>
      <c r="C46" s="18">
        <v>477014</v>
      </c>
      <c r="D46" s="17">
        <v>254769733116</v>
      </c>
      <c r="E46" s="20">
        <v>43921.9019907407</v>
      </c>
      <c r="F46" s="18">
        <v>1250.4</v>
      </c>
      <c r="G46" s="18">
        <v>0</v>
      </c>
      <c r="H46" s="18">
        <v>1250.4</v>
      </c>
      <c r="I46" s="18">
        <v>16.77</v>
      </c>
      <c r="J46" s="18">
        <v>0</v>
      </c>
      <c r="K46" s="18">
        <v>16.77</v>
      </c>
      <c r="L46" s="18">
        <v>163.97</v>
      </c>
      <c r="M46" s="18">
        <v>21808</v>
      </c>
      <c r="N46" s="18">
        <v>59.63</v>
      </c>
      <c r="O46" s="18">
        <v>7930.79</v>
      </c>
      <c r="P46" s="18" t="s">
        <v>29</v>
      </c>
      <c r="Q46" s="18" t="s">
        <v>30</v>
      </c>
      <c r="R46" s="18" t="s">
        <v>107</v>
      </c>
      <c r="S46" s="18">
        <v>0</v>
      </c>
      <c r="T46" s="18">
        <v>400</v>
      </c>
      <c r="U46" s="18">
        <v>0</v>
      </c>
      <c r="V46" s="18" t="s">
        <v>32</v>
      </c>
      <c r="W46" s="18" t="s">
        <v>32</v>
      </c>
      <c r="X46" s="18" t="s">
        <v>32</v>
      </c>
      <c r="Y46" s="18" t="s">
        <v>32</v>
      </c>
      <c r="Z46" s="18" t="s">
        <v>32</v>
      </c>
      <c r="AA46" s="18" t="s">
        <v>32</v>
      </c>
    </row>
    <row r="47" s="18" customFormat="1" spans="1:27">
      <c r="A47" s="18" t="s">
        <v>27</v>
      </c>
      <c r="B47" s="18" t="s">
        <v>28</v>
      </c>
      <c r="C47" s="18">
        <v>17538915</v>
      </c>
      <c r="D47" s="17">
        <v>254790955065</v>
      </c>
      <c r="E47" s="20">
        <v>45862.26</v>
      </c>
      <c r="F47" s="18">
        <v>1440.44</v>
      </c>
      <c r="G47" s="18">
        <v>0</v>
      </c>
      <c r="H47" s="18">
        <v>1440.44</v>
      </c>
      <c r="I47" s="18">
        <v>44.57</v>
      </c>
      <c r="J47" s="18">
        <v>0</v>
      </c>
      <c r="K47" s="18">
        <v>44.57</v>
      </c>
      <c r="L47" s="18">
        <v>176.11</v>
      </c>
      <c r="M47" s="18">
        <v>23423</v>
      </c>
      <c r="N47" s="18">
        <v>0</v>
      </c>
      <c r="O47" s="18">
        <v>0</v>
      </c>
      <c r="P47" s="18" t="s">
        <v>29</v>
      </c>
      <c r="Q47" s="18" t="s">
        <v>30</v>
      </c>
      <c r="R47" s="18" t="s">
        <v>107</v>
      </c>
      <c r="S47" s="18">
        <v>0</v>
      </c>
      <c r="T47" s="18">
        <v>0</v>
      </c>
      <c r="U47" s="18">
        <v>0</v>
      </c>
      <c r="V47" s="18" t="s">
        <v>32</v>
      </c>
      <c r="W47" s="18" t="s">
        <v>32</v>
      </c>
      <c r="X47" s="18" t="s">
        <v>32</v>
      </c>
      <c r="Y47" s="18" t="s">
        <v>32</v>
      </c>
      <c r="Z47" s="18" t="s">
        <v>32</v>
      </c>
      <c r="AA47" s="18" t="s">
        <v>32</v>
      </c>
    </row>
    <row r="48" s="18" customFormat="1" spans="1:27">
      <c r="A48" s="18" t="s">
        <v>27</v>
      </c>
      <c r="B48" s="18" t="s">
        <v>28</v>
      </c>
      <c r="C48" s="18">
        <v>12631773</v>
      </c>
      <c r="D48" s="17">
        <v>254791831059</v>
      </c>
      <c r="E48" s="20">
        <v>45385.7121527778</v>
      </c>
      <c r="F48" s="18">
        <v>947</v>
      </c>
      <c r="G48" s="18">
        <v>45.16</v>
      </c>
      <c r="H48" s="18">
        <v>901.84</v>
      </c>
      <c r="I48" s="18">
        <v>49.22</v>
      </c>
      <c r="J48" s="18">
        <v>33.31</v>
      </c>
      <c r="K48" s="18">
        <v>15.91</v>
      </c>
      <c r="L48" s="18">
        <v>177.98</v>
      </c>
      <c r="M48" s="18">
        <v>23671</v>
      </c>
      <c r="N48" s="18">
        <v>19.79</v>
      </c>
      <c r="O48" s="18">
        <v>2632.07</v>
      </c>
      <c r="P48" s="18" t="s">
        <v>34</v>
      </c>
      <c r="Q48" s="18" t="s">
        <v>30</v>
      </c>
      <c r="R48" s="18" t="s">
        <v>107</v>
      </c>
      <c r="S48" s="18">
        <v>0</v>
      </c>
      <c r="T48" s="18">
        <v>130</v>
      </c>
      <c r="U48" s="18">
        <v>0</v>
      </c>
      <c r="V48" s="18" t="s">
        <v>32</v>
      </c>
      <c r="W48" s="18" t="s">
        <v>32</v>
      </c>
      <c r="X48" s="18" t="s">
        <v>32</v>
      </c>
      <c r="Y48" s="18" t="s">
        <v>32</v>
      </c>
      <c r="Z48" s="18" t="s">
        <v>32</v>
      </c>
      <c r="AA48" s="18" t="s">
        <v>32</v>
      </c>
    </row>
    <row r="49" s="18" customFormat="1" spans="1:27">
      <c r="A49" s="18" t="s">
        <v>27</v>
      </c>
      <c r="B49" s="18" t="s">
        <v>28</v>
      </c>
      <c r="C49" s="18">
        <v>22041984</v>
      </c>
      <c r="D49" s="17">
        <v>254792971523</v>
      </c>
      <c r="E49" s="20">
        <v>46104.4045717593</v>
      </c>
      <c r="F49" s="18">
        <v>2549.07</v>
      </c>
      <c r="G49" s="18">
        <v>0</v>
      </c>
      <c r="H49" s="18">
        <v>2549.07</v>
      </c>
      <c r="I49" s="18">
        <v>38.3</v>
      </c>
      <c r="J49" s="18">
        <v>0</v>
      </c>
      <c r="K49" s="18">
        <v>38.3</v>
      </c>
      <c r="L49" s="18">
        <v>246.22</v>
      </c>
      <c r="M49" s="18">
        <v>32747</v>
      </c>
      <c r="N49" s="18">
        <v>233.91</v>
      </c>
      <c r="O49" s="18">
        <v>31110.03</v>
      </c>
      <c r="P49" s="18" t="s">
        <v>29</v>
      </c>
      <c r="Q49" s="18" t="s">
        <v>30</v>
      </c>
      <c r="R49" s="18" t="s">
        <v>107</v>
      </c>
      <c r="S49" s="18">
        <v>0</v>
      </c>
      <c r="T49" s="18">
        <v>1560</v>
      </c>
      <c r="U49" s="18">
        <v>0</v>
      </c>
      <c r="V49" s="18" t="s">
        <v>32</v>
      </c>
      <c r="W49" s="18" t="s">
        <v>32</v>
      </c>
      <c r="X49" s="18" t="s">
        <v>32</v>
      </c>
      <c r="Y49" s="18" t="s">
        <v>32</v>
      </c>
      <c r="Z49" s="18" t="s">
        <v>32</v>
      </c>
      <c r="AA49" s="18" t="s">
        <v>32</v>
      </c>
    </row>
    <row r="50" s="18" customFormat="1" spans="1:27">
      <c r="A50" s="18" t="s">
        <v>27</v>
      </c>
      <c r="B50" s="18" t="s">
        <v>28</v>
      </c>
      <c r="C50" s="18">
        <v>10895675</v>
      </c>
      <c r="D50" s="17">
        <v>254794321132</v>
      </c>
      <c r="E50" s="20">
        <v>45206.4904282407</v>
      </c>
      <c r="F50" s="18">
        <v>1179.18</v>
      </c>
      <c r="G50" s="18">
        <v>630.53</v>
      </c>
      <c r="H50" s="18">
        <v>548.65</v>
      </c>
      <c r="I50" s="18">
        <v>144.43</v>
      </c>
      <c r="J50" s="18">
        <v>127.68</v>
      </c>
      <c r="K50" s="18">
        <v>16.75</v>
      </c>
      <c r="L50" s="18">
        <v>482.55</v>
      </c>
      <c r="M50" s="18">
        <v>64179</v>
      </c>
      <c r="N50" s="18">
        <v>213.07</v>
      </c>
      <c r="O50" s="18">
        <v>28338.31</v>
      </c>
      <c r="P50" s="18" t="s">
        <v>35</v>
      </c>
      <c r="Q50" s="18" t="s">
        <v>30</v>
      </c>
      <c r="R50" s="18" t="s">
        <v>107</v>
      </c>
      <c r="S50" s="18">
        <v>2000</v>
      </c>
      <c r="T50" s="18">
        <v>710</v>
      </c>
      <c r="U50" s="18">
        <v>0</v>
      </c>
      <c r="V50" s="18" t="s">
        <v>32</v>
      </c>
      <c r="W50" s="18" t="s">
        <v>32</v>
      </c>
      <c r="X50" s="18" t="s">
        <v>32</v>
      </c>
      <c r="Y50" s="18" t="s">
        <v>32</v>
      </c>
      <c r="Z50" s="18" t="s">
        <v>32</v>
      </c>
      <c r="AA50" s="18" t="s">
        <v>32</v>
      </c>
    </row>
    <row r="51" s="18" customFormat="1" spans="1:27">
      <c r="A51" s="18" t="s">
        <v>27</v>
      </c>
      <c r="B51" s="18" t="s">
        <v>28</v>
      </c>
      <c r="C51" s="18">
        <v>14110853</v>
      </c>
      <c r="D51" s="17">
        <v>254795631438</v>
      </c>
      <c r="E51" s="20">
        <v>45577.5957523148</v>
      </c>
      <c r="F51" s="18">
        <v>284.8</v>
      </c>
      <c r="G51" s="18">
        <v>3</v>
      </c>
      <c r="H51" s="18">
        <v>281.8</v>
      </c>
      <c r="I51" s="18">
        <v>19.47</v>
      </c>
      <c r="J51" s="18">
        <v>-1.5</v>
      </c>
      <c r="K51" s="18">
        <v>20.97</v>
      </c>
      <c r="L51" s="18">
        <v>91.8</v>
      </c>
      <c r="M51" s="18">
        <v>12209</v>
      </c>
      <c r="N51" s="18">
        <v>0.16</v>
      </c>
      <c r="O51" s="18">
        <v>21.28</v>
      </c>
      <c r="P51" s="18" t="s">
        <v>34</v>
      </c>
      <c r="Q51" s="18" t="s">
        <v>30</v>
      </c>
      <c r="R51" s="18" t="s">
        <v>107</v>
      </c>
      <c r="S51" s="18">
        <v>0</v>
      </c>
      <c r="T51" s="18">
        <v>0</v>
      </c>
      <c r="U51" s="18">
        <v>0</v>
      </c>
      <c r="V51" s="18" t="s">
        <v>32</v>
      </c>
      <c r="W51" s="18" t="s">
        <v>32</v>
      </c>
      <c r="X51" s="18" t="s">
        <v>32</v>
      </c>
      <c r="Y51" s="18" t="s">
        <v>32</v>
      </c>
      <c r="Z51" s="18" t="s">
        <v>32</v>
      </c>
      <c r="AA51" s="18" t="s">
        <v>32</v>
      </c>
    </row>
    <row r="52" s="18" customFormat="1" spans="1:27">
      <c r="A52" s="18" t="s">
        <v>27</v>
      </c>
      <c r="B52" s="18" t="s">
        <v>28</v>
      </c>
      <c r="C52" s="18">
        <v>22746505</v>
      </c>
      <c r="D52" s="17">
        <v>254795993707</v>
      </c>
      <c r="E52" s="20">
        <v>46148.4754861111</v>
      </c>
      <c r="F52" s="18">
        <v>100.74</v>
      </c>
      <c r="G52" s="18">
        <v>0</v>
      </c>
      <c r="H52" s="18">
        <v>100.74</v>
      </c>
      <c r="I52" s="18">
        <v>0.69</v>
      </c>
      <c r="J52" s="18">
        <v>0</v>
      </c>
      <c r="K52" s="18">
        <v>0.69</v>
      </c>
      <c r="L52" s="18">
        <v>54.08</v>
      </c>
      <c r="M52" s="18">
        <v>7192</v>
      </c>
      <c r="N52" s="18">
        <v>51.37</v>
      </c>
      <c r="O52" s="18">
        <v>6832.21</v>
      </c>
      <c r="P52" s="18" t="s">
        <v>29</v>
      </c>
      <c r="Q52" s="18" t="s">
        <v>30</v>
      </c>
      <c r="R52" s="18" t="s">
        <v>107</v>
      </c>
      <c r="S52" s="18">
        <v>0</v>
      </c>
      <c r="T52" s="18">
        <v>340</v>
      </c>
      <c r="U52" s="18">
        <v>0</v>
      </c>
      <c r="V52" s="18" t="s">
        <v>32</v>
      </c>
      <c r="W52" s="18" t="s">
        <v>32</v>
      </c>
      <c r="X52" s="18" t="s">
        <v>32</v>
      </c>
      <c r="Y52" s="18" t="s">
        <v>32</v>
      </c>
      <c r="Z52" s="18" t="s">
        <v>32</v>
      </c>
      <c r="AA52" s="18" t="s">
        <v>32</v>
      </c>
    </row>
    <row r="53" s="18" customFormat="1" spans="1:27">
      <c r="A53" s="18" t="s">
        <v>27</v>
      </c>
      <c r="B53" s="18" t="s">
        <v>28</v>
      </c>
      <c r="C53" s="18">
        <v>702503</v>
      </c>
      <c r="D53" s="17">
        <v>254797812671</v>
      </c>
      <c r="E53" s="20">
        <v>43940.4435648148</v>
      </c>
      <c r="F53" s="18">
        <v>222.77</v>
      </c>
      <c r="G53" s="18">
        <v>0</v>
      </c>
      <c r="H53" s="18">
        <v>222.77</v>
      </c>
      <c r="I53" s="18">
        <v>-21.03</v>
      </c>
      <c r="J53" s="18">
        <v>0</v>
      </c>
      <c r="K53" s="18">
        <v>-21.03</v>
      </c>
      <c r="L53" s="18">
        <v>67.02</v>
      </c>
      <c r="M53" s="18">
        <v>8914</v>
      </c>
      <c r="N53" s="18">
        <v>48.04</v>
      </c>
      <c r="O53" s="18">
        <v>6389.32</v>
      </c>
      <c r="P53" s="18" t="s">
        <v>29</v>
      </c>
      <c r="Q53" s="18" t="s">
        <v>30</v>
      </c>
      <c r="R53" s="18" t="s">
        <v>107</v>
      </c>
      <c r="S53" s="18">
        <v>0</v>
      </c>
      <c r="T53" s="18">
        <v>320</v>
      </c>
      <c r="U53" s="18">
        <v>0</v>
      </c>
      <c r="V53" s="18" t="s">
        <v>32</v>
      </c>
      <c r="W53" s="18" t="s">
        <v>32</v>
      </c>
      <c r="X53" s="18" t="s">
        <v>32</v>
      </c>
      <c r="Y53" s="18" t="s">
        <v>32</v>
      </c>
      <c r="Z53" s="18" t="s">
        <v>32</v>
      </c>
      <c r="AA53" s="18" t="s">
        <v>32</v>
      </c>
    </row>
    <row r="54" s="18" customFormat="1" spans="1:27">
      <c r="A54" s="18" t="s">
        <v>27</v>
      </c>
      <c r="B54" s="18" t="s">
        <v>28</v>
      </c>
      <c r="C54" s="18">
        <v>2395945</v>
      </c>
      <c r="D54" s="17">
        <v>254798956567</v>
      </c>
      <c r="E54" s="20">
        <v>44077.3665277778</v>
      </c>
      <c r="F54" s="18">
        <v>9835.69</v>
      </c>
      <c r="G54" s="18">
        <v>0</v>
      </c>
      <c r="H54" s="18">
        <v>9835.69</v>
      </c>
      <c r="I54" s="18">
        <v>-77.61</v>
      </c>
      <c r="J54" s="18">
        <v>0</v>
      </c>
      <c r="K54" s="18">
        <v>-76.86</v>
      </c>
      <c r="L54" s="18">
        <v>1203.88</v>
      </c>
      <c r="M54" s="18">
        <v>160116</v>
      </c>
      <c r="N54" s="18">
        <v>1122.78</v>
      </c>
      <c r="O54" s="18">
        <v>149329.74</v>
      </c>
      <c r="P54" s="18" t="s">
        <v>29</v>
      </c>
      <c r="Q54" s="18" t="s">
        <v>33</v>
      </c>
      <c r="R54" s="18" t="s">
        <v>107</v>
      </c>
      <c r="S54" s="18">
        <v>0</v>
      </c>
      <c r="T54" s="18">
        <v>7470</v>
      </c>
      <c r="U54" s="18">
        <v>0</v>
      </c>
      <c r="V54" s="18" t="s">
        <v>32</v>
      </c>
      <c r="W54" s="18" t="s">
        <v>32</v>
      </c>
      <c r="X54" s="18" t="s">
        <v>32</v>
      </c>
      <c r="Y54" s="18" t="s">
        <v>32</v>
      </c>
      <c r="Z54" s="18" t="s">
        <v>32</v>
      </c>
      <c r="AA54" s="18" t="s">
        <v>32</v>
      </c>
    </row>
    <row r="55" s="4" customFormat="1" spans="1:27">
      <c r="A55" s="4" t="s">
        <v>36</v>
      </c>
      <c r="B55" s="4" t="s">
        <v>28</v>
      </c>
      <c r="C55" s="4">
        <v>13103844</v>
      </c>
      <c r="D55" s="19" t="s">
        <v>108</v>
      </c>
      <c r="E55" s="21">
        <v>45445.1712384259</v>
      </c>
      <c r="F55" s="4">
        <v>207.31</v>
      </c>
      <c r="G55" s="4">
        <v>0</v>
      </c>
      <c r="H55" s="4">
        <v>207.31</v>
      </c>
      <c r="I55" s="4">
        <v>-13.2</v>
      </c>
      <c r="J55" s="4">
        <v>0</v>
      </c>
      <c r="K55" s="4">
        <v>-13.2</v>
      </c>
      <c r="L55" s="4">
        <v>71.8</v>
      </c>
      <c r="M55" s="4">
        <v>9550</v>
      </c>
      <c r="N55" s="4">
        <v>68.21</v>
      </c>
      <c r="O55" s="4">
        <v>9071.93</v>
      </c>
      <c r="P55" s="4" t="s">
        <v>29</v>
      </c>
      <c r="Q55" s="4" t="s">
        <v>30</v>
      </c>
      <c r="R55" s="4" t="s">
        <v>109</v>
      </c>
      <c r="S55" s="4">
        <v>0</v>
      </c>
      <c r="T55" s="4">
        <v>450</v>
      </c>
      <c r="U55" s="4">
        <v>0</v>
      </c>
      <c r="V55" s="4" t="s">
        <v>32</v>
      </c>
      <c r="W55" s="4" t="s">
        <v>32</v>
      </c>
      <c r="X55" s="4" t="s">
        <v>32</v>
      </c>
      <c r="Y55" s="4" t="s">
        <v>32</v>
      </c>
      <c r="Z55" s="4" t="s">
        <v>32</v>
      </c>
      <c r="AA55" s="4" t="s">
        <v>32</v>
      </c>
    </row>
    <row r="56" s="4" customFormat="1" spans="1:27">
      <c r="A56" s="4" t="s">
        <v>36</v>
      </c>
      <c r="B56" s="4" t="s">
        <v>28</v>
      </c>
      <c r="C56" s="4">
        <v>17904064</v>
      </c>
      <c r="D56" s="19" t="s">
        <v>110</v>
      </c>
      <c r="E56" s="21">
        <v>45883.4994097222</v>
      </c>
      <c r="F56" s="4">
        <v>27461.67</v>
      </c>
      <c r="G56" s="4">
        <v>0.03</v>
      </c>
      <c r="H56" s="4">
        <v>27461.63</v>
      </c>
      <c r="I56" s="4">
        <v>1210.67</v>
      </c>
      <c r="J56" s="4">
        <v>0.01</v>
      </c>
      <c r="K56" s="4">
        <v>1210.66</v>
      </c>
      <c r="L56" s="4">
        <v>3040.13</v>
      </c>
      <c r="M56" s="4">
        <v>404337</v>
      </c>
      <c r="N56" s="4">
        <v>1092.9</v>
      </c>
      <c r="O56" s="4">
        <v>145355.7</v>
      </c>
      <c r="P56" s="4" t="s">
        <v>29</v>
      </c>
      <c r="Q56" s="4" t="s">
        <v>33</v>
      </c>
      <c r="R56" s="4" t="s">
        <v>109</v>
      </c>
      <c r="S56" s="4">
        <v>0</v>
      </c>
      <c r="T56" s="4">
        <v>7270</v>
      </c>
      <c r="U56" s="4">
        <v>0</v>
      </c>
      <c r="V56" s="4" t="s">
        <v>32</v>
      </c>
      <c r="W56" s="4" t="s">
        <v>32</v>
      </c>
      <c r="X56" s="4" t="s">
        <v>32</v>
      </c>
      <c r="Y56" s="4" t="s">
        <v>32</v>
      </c>
      <c r="Z56" s="4" t="s">
        <v>32</v>
      </c>
      <c r="AA56" s="4" t="s">
        <v>32</v>
      </c>
    </row>
    <row r="57" s="4" customFormat="1" spans="1:27">
      <c r="A57" s="4" t="s">
        <v>36</v>
      </c>
      <c r="B57" s="4" t="s">
        <v>28</v>
      </c>
      <c r="C57" s="4">
        <v>18904233</v>
      </c>
      <c r="D57" s="19" t="s">
        <v>111</v>
      </c>
      <c r="E57" s="21">
        <v>45941.621087963</v>
      </c>
      <c r="F57" s="4">
        <v>726.11</v>
      </c>
      <c r="G57" s="4">
        <v>44.53</v>
      </c>
      <c r="H57" s="4">
        <v>681.58</v>
      </c>
      <c r="I57" s="4">
        <v>-24.86</v>
      </c>
      <c r="J57" s="4">
        <v>-12.01</v>
      </c>
      <c r="K57" s="4">
        <v>-12.85</v>
      </c>
      <c r="L57" s="4">
        <v>83.43</v>
      </c>
      <c r="M57" s="4">
        <v>11096</v>
      </c>
      <c r="N57" s="4">
        <v>3.79</v>
      </c>
      <c r="O57" s="4">
        <v>504.07</v>
      </c>
      <c r="P57" s="4" t="s">
        <v>29</v>
      </c>
      <c r="Q57" s="4" t="s">
        <v>30</v>
      </c>
      <c r="R57" s="4" t="s">
        <v>109</v>
      </c>
      <c r="S57" s="4">
        <v>0</v>
      </c>
      <c r="T57" s="4">
        <v>30</v>
      </c>
      <c r="U57" s="4">
        <v>0</v>
      </c>
      <c r="V57" s="4" t="s">
        <v>32</v>
      </c>
      <c r="W57" s="4" t="s">
        <v>32</v>
      </c>
      <c r="X57" s="4" t="s">
        <v>32</v>
      </c>
      <c r="Y57" s="4" t="s">
        <v>32</v>
      </c>
      <c r="Z57" s="4" t="s">
        <v>32</v>
      </c>
      <c r="AA57" s="4" t="s">
        <v>32</v>
      </c>
    </row>
    <row r="58" s="4" customFormat="1" spans="1:27">
      <c r="A58" s="4" t="s">
        <v>36</v>
      </c>
      <c r="B58" s="4" t="s">
        <v>28</v>
      </c>
      <c r="C58" s="4">
        <v>18695264</v>
      </c>
      <c r="D58" s="19" t="s">
        <v>112</v>
      </c>
      <c r="E58" s="21">
        <v>45927.7565393519</v>
      </c>
      <c r="F58" s="4">
        <v>256.14</v>
      </c>
      <c r="G58" s="4">
        <v>56.91</v>
      </c>
      <c r="H58" s="4">
        <v>199.23</v>
      </c>
      <c r="I58" s="4">
        <v>68.28</v>
      </c>
      <c r="J58" s="4">
        <v>18.8</v>
      </c>
      <c r="K58" s="4">
        <v>49.47</v>
      </c>
      <c r="L58" s="4">
        <v>71.87</v>
      </c>
      <c r="M58" s="4">
        <v>9559</v>
      </c>
      <c r="N58" s="4">
        <v>0</v>
      </c>
      <c r="O58" s="4">
        <v>0</v>
      </c>
      <c r="P58" s="4" t="s">
        <v>35</v>
      </c>
      <c r="Q58" s="4" t="s">
        <v>30</v>
      </c>
      <c r="R58" s="4" t="s">
        <v>109</v>
      </c>
      <c r="S58" s="4">
        <v>2000</v>
      </c>
      <c r="T58" s="4">
        <v>0</v>
      </c>
      <c r="U58" s="4">
        <v>0</v>
      </c>
      <c r="V58" s="4" t="s">
        <v>32</v>
      </c>
      <c r="W58" s="4" t="s">
        <v>32</v>
      </c>
      <c r="X58" s="4" t="s">
        <v>32</v>
      </c>
      <c r="Y58" s="4" t="s">
        <v>32</v>
      </c>
      <c r="Z58" s="4" t="s">
        <v>32</v>
      </c>
      <c r="AA58" s="4" t="s">
        <v>32</v>
      </c>
    </row>
    <row r="59" s="4" customFormat="1" spans="1:27">
      <c r="A59" s="4" t="s">
        <v>36</v>
      </c>
      <c r="B59" s="4" t="s">
        <v>28</v>
      </c>
      <c r="C59" s="4">
        <v>4414404</v>
      </c>
      <c r="D59" s="19" t="s">
        <v>113</v>
      </c>
      <c r="E59" s="21">
        <v>44314.6020486111</v>
      </c>
      <c r="F59" s="4">
        <v>344.26</v>
      </c>
      <c r="G59" s="4">
        <v>0</v>
      </c>
      <c r="H59" s="4">
        <v>344.26</v>
      </c>
      <c r="I59" s="4">
        <v>39.23</v>
      </c>
      <c r="J59" s="4">
        <v>0</v>
      </c>
      <c r="K59" s="4">
        <v>39.23</v>
      </c>
      <c r="L59" s="4">
        <v>69.32</v>
      </c>
      <c r="M59" s="4">
        <v>9220</v>
      </c>
      <c r="N59" s="4">
        <v>33.11</v>
      </c>
      <c r="O59" s="4">
        <v>4403.63</v>
      </c>
      <c r="P59" s="4" t="s">
        <v>29</v>
      </c>
      <c r="Q59" s="4" t="s">
        <v>30</v>
      </c>
      <c r="R59" s="4" t="s">
        <v>109</v>
      </c>
      <c r="S59" s="4">
        <v>0</v>
      </c>
      <c r="T59" s="4">
        <v>220</v>
      </c>
      <c r="U59" s="4">
        <v>0</v>
      </c>
      <c r="V59" s="4" t="s">
        <v>32</v>
      </c>
      <c r="W59" s="4" t="s">
        <v>32</v>
      </c>
      <c r="X59" s="4" t="s">
        <v>32</v>
      </c>
      <c r="Y59" s="4" t="s">
        <v>32</v>
      </c>
      <c r="Z59" s="4" t="s">
        <v>32</v>
      </c>
      <c r="AA59" s="4" t="s">
        <v>32</v>
      </c>
    </row>
    <row r="60" s="4" customFormat="1" spans="1:27">
      <c r="A60" s="4" t="s">
        <v>36</v>
      </c>
      <c r="B60" s="4" t="s">
        <v>28</v>
      </c>
      <c r="C60" s="4">
        <v>20560484</v>
      </c>
      <c r="D60" s="19" t="s">
        <v>114</v>
      </c>
      <c r="E60" s="21">
        <v>46027.6954976852</v>
      </c>
      <c r="F60" s="4">
        <v>2017.58</v>
      </c>
      <c r="G60" s="4">
        <v>0</v>
      </c>
      <c r="H60" s="4">
        <v>2017.58</v>
      </c>
      <c r="I60" s="4">
        <v>55.75</v>
      </c>
      <c r="J60" s="4">
        <v>0</v>
      </c>
      <c r="K60" s="4">
        <v>55.75</v>
      </c>
      <c r="L60" s="4">
        <v>248.23</v>
      </c>
      <c r="M60" s="4">
        <v>33014</v>
      </c>
      <c r="N60" s="4">
        <v>115.16</v>
      </c>
      <c r="O60" s="4">
        <v>15316.28</v>
      </c>
      <c r="P60" s="4" t="s">
        <v>34</v>
      </c>
      <c r="Q60" s="4" t="s">
        <v>30</v>
      </c>
      <c r="R60" s="4" t="s">
        <v>109</v>
      </c>
      <c r="S60" s="4">
        <v>0</v>
      </c>
      <c r="T60" s="4">
        <v>770</v>
      </c>
      <c r="U60" s="4">
        <v>0</v>
      </c>
      <c r="V60" s="4" t="s">
        <v>32</v>
      </c>
      <c r="W60" s="4" t="s">
        <v>32</v>
      </c>
      <c r="X60" s="4" t="s">
        <v>32</v>
      </c>
      <c r="Y60" s="4" t="s">
        <v>32</v>
      </c>
      <c r="Z60" s="4" t="s">
        <v>32</v>
      </c>
      <c r="AA60" s="4" t="s">
        <v>32</v>
      </c>
    </row>
    <row r="61" s="4" customFormat="1" spans="1:27">
      <c r="A61" s="4" t="s">
        <v>36</v>
      </c>
      <c r="B61" s="4" t="s">
        <v>28</v>
      </c>
      <c r="C61" s="4">
        <v>3763333</v>
      </c>
      <c r="D61" s="19" t="s">
        <v>115</v>
      </c>
      <c r="E61" s="21">
        <v>44257.1461921296</v>
      </c>
      <c r="F61" s="4">
        <v>496.35</v>
      </c>
      <c r="G61" s="4">
        <v>0</v>
      </c>
      <c r="H61" s="4">
        <v>496.35</v>
      </c>
      <c r="I61" s="4">
        <v>108.94</v>
      </c>
      <c r="J61" s="4">
        <v>0</v>
      </c>
      <c r="K61" s="4">
        <v>108.94</v>
      </c>
      <c r="L61" s="4">
        <v>158.98</v>
      </c>
      <c r="M61" s="4">
        <v>21145</v>
      </c>
      <c r="N61" s="4">
        <v>114.93</v>
      </c>
      <c r="O61" s="4">
        <v>15285.69</v>
      </c>
      <c r="P61" s="4" t="s">
        <v>34</v>
      </c>
      <c r="Q61" s="4" t="s">
        <v>30</v>
      </c>
      <c r="R61" s="4" t="s">
        <v>109</v>
      </c>
      <c r="S61" s="4">
        <v>0</v>
      </c>
      <c r="T61" s="4">
        <v>760</v>
      </c>
      <c r="U61" s="4">
        <v>0</v>
      </c>
      <c r="V61" s="4" t="s">
        <v>32</v>
      </c>
      <c r="W61" s="4" t="s">
        <v>32</v>
      </c>
      <c r="X61" s="4" t="s">
        <v>32</v>
      </c>
      <c r="Y61" s="4" t="s">
        <v>32</v>
      </c>
      <c r="Z61" s="4" t="s">
        <v>32</v>
      </c>
      <c r="AA61" s="4" t="s">
        <v>32</v>
      </c>
    </row>
    <row r="62" s="4" customFormat="1" spans="1:27">
      <c r="A62" s="4" t="s">
        <v>36</v>
      </c>
      <c r="B62" s="4" t="s">
        <v>28</v>
      </c>
      <c r="C62" s="4">
        <v>16780144</v>
      </c>
      <c r="D62" s="19" t="s">
        <v>116</v>
      </c>
      <c r="E62" s="21">
        <v>45802.2392013889</v>
      </c>
      <c r="F62" s="4">
        <v>948.98</v>
      </c>
      <c r="G62" s="4">
        <v>50.25</v>
      </c>
      <c r="H62" s="4">
        <v>898.73</v>
      </c>
      <c r="I62" s="4">
        <v>22.57</v>
      </c>
      <c r="J62" s="4">
        <v>42.8</v>
      </c>
      <c r="K62" s="4">
        <v>-20.23</v>
      </c>
      <c r="L62" s="4">
        <v>149.97</v>
      </c>
      <c r="M62" s="4">
        <v>19946</v>
      </c>
      <c r="N62" s="4">
        <v>10.88</v>
      </c>
      <c r="O62" s="4">
        <v>1447.04</v>
      </c>
      <c r="P62" s="4" t="s">
        <v>29</v>
      </c>
      <c r="Q62" s="4" t="s">
        <v>30</v>
      </c>
      <c r="R62" s="4" t="s">
        <v>109</v>
      </c>
      <c r="S62" s="4">
        <v>0</v>
      </c>
      <c r="T62" s="4">
        <v>70</v>
      </c>
      <c r="U62" s="4">
        <v>0</v>
      </c>
      <c r="V62" s="4" t="s">
        <v>32</v>
      </c>
      <c r="W62" s="4" t="s">
        <v>32</v>
      </c>
      <c r="X62" s="4" t="s">
        <v>32</v>
      </c>
      <c r="Y62" s="4" t="s">
        <v>32</v>
      </c>
      <c r="Z62" s="4" t="s">
        <v>32</v>
      </c>
      <c r="AA62" s="4" t="s">
        <v>32</v>
      </c>
    </row>
    <row r="63" s="4" customFormat="1" spans="1:27">
      <c r="A63" s="4" t="s">
        <v>36</v>
      </c>
      <c r="B63" s="4" t="s">
        <v>28</v>
      </c>
      <c r="C63" s="4">
        <v>16962065</v>
      </c>
      <c r="D63" s="19" t="s">
        <v>117</v>
      </c>
      <c r="E63" s="21">
        <v>45819.5863078704</v>
      </c>
      <c r="F63" s="4">
        <v>379.84</v>
      </c>
      <c r="G63" s="4">
        <v>2.98</v>
      </c>
      <c r="H63" s="4">
        <v>376.86</v>
      </c>
      <c r="I63" s="4">
        <v>-23.51</v>
      </c>
      <c r="J63" s="4">
        <v>2.62</v>
      </c>
      <c r="K63" s="4">
        <v>-26.14</v>
      </c>
      <c r="L63" s="4">
        <v>50.4</v>
      </c>
      <c r="M63" s="4">
        <v>6703</v>
      </c>
      <c r="N63" s="4">
        <v>1.64</v>
      </c>
      <c r="O63" s="4">
        <v>218.12</v>
      </c>
      <c r="P63" s="4" t="s">
        <v>34</v>
      </c>
      <c r="Q63" s="4" t="s">
        <v>30</v>
      </c>
      <c r="R63" s="4" t="s">
        <v>109</v>
      </c>
      <c r="S63" s="4">
        <v>0</v>
      </c>
      <c r="T63" s="4">
        <v>10</v>
      </c>
      <c r="U63" s="4">
        <v>0</v>
      </c>
      <c r="V63" s="4" t="s">
        <v>32</v>
      </c>
      <c r="W63" s="4" t="s">
        <v>32</v>
      </c>
      <c r="X63" s="4" t="s">
        <v>32</v>
      </c>
      <c r="Y63" s="4" t="s">
        <v>32</v>
      </c>
      <c r="Z63" s="4" t="s">
        <v>32</v>
      </c>
      <c r="AA63" s="4" t="s">
        <v>32</v>
      </c>
    </row>
    <row r="64" s="4" customFormat="1" spans="1:27">
      <c r="A64" s="4" t="s">
        <v>36</v>
      </c>
      <c r="B64" s="4" t="s">
        <v>28</v>
      </c>
      <c r="C64" s="4">
        <v>22239065</v>
      </c>
      <c r="D64" s="19" t="s">
        <v>118</v>
      </c>
      <c r="E64" s="21">
        <v>46116.1588773148</v>
      </c>
      <c r="F64" s="4">
        <v>2768.14</v>
      </c>
      <c r="G64" s="4">
        <v>0</v>
      </c>
      <c r="H64" s="4">
        <v>2768.14</v>
      </c>
      <c r="I64" s="4">
        <v>74.62</v>
      </c>
      <c r="J64" s="4">
        <v>0</v>
      </c>
      <c r="K64" s="4">
        <v>74.62</v>
      </c>
      <c r="L64" s="4">
        <v>279.17</v>
      </c>
      <c r="M64" s="4">
        <v>37130</v>
      </c>
      <c r="N64" s="4">
        <v>265.21</v>
      </c>
      <c r="O64" s="4">
        <v>35272.93</v>
      </c>
      <c r="P64" s="4" t="s">
        <v>34</v>
      </c>
      <c r="Q64" s="4" t="s">
        <v>30</v>
      </c>
      <c r="R64" s="4" t="s">
        <v>109</v>
      </c>
      <c r="S64" s="4">
        <v>0</v>
      </c>
      <c r="T64" s="4">
        <v>1760</v>
      </c>
      <c r="U64" s="4">
        <v>0</v>
      </c>
      <c r="V64" s="4" t="s">
        <v>32</v>
      </c>
      <c r="W64" s="4" t="s">
        <v>32</v>
      </c>
      <c r="X64" s="4" t="s">
        <v>32</v>
      </c>
      <c r="Y64" s="4" t="s">
        <v>32</v>
      </c>
      <c r="Z64" s="4" t="s">
        <v>32</v>
      </c>
      <c r="AA64" s="4" t="s">
        <v>32</v>
      </c>
    </row>
    <row r="65" s="4" customFormat="1" spans="1:27">
      <c r="A65" s="4" t="s">
        <v>36</v>
      </c>
      <c r="B65" s="4" t="s">
        <v>28</v>
      </c>
      <c r="C65" s="4">
        <v>21643304</v>
      </c>
      <c r="D65" s="19" t="s">
        <v>119</v>
      </c>
      <c r="E65" s="21">
        <v>46082.731412037</v>
      </c>
      <c r="F65" s="4">
        <v>292.67</v>
      </c>
      <c r="G65" s="4">
        <v>0</v>
      </c>
      <c r="H65" s="4">
        <v>292.67</v>
      </c>
      <c r="I65" s="4">
        <v>21.92</v>
      </c>
      <c r="J65" s="4">
        <v>0</v>
      </c>
      <c r="K65" s="4">
        <v>21.92</v>
      </c>
      <c r="L65" s="4">
        <v>52.08</v>
      </c>
      <c r="M65" s="4">
        <v>6926</v>
      </c>
      <c r="N65" s="4">
        <v>36.84</v>
      </c>
      <c r="O65" s="4">
        <v>4899.72</v>
      </c>
      <c r="P65" s="4" t="s">
        <v>29</v>
      </c>
      <c r="Q65" s="4" t="s">
        <v>30</v>
      </c>
      <c r="R65" s="4" t="s">
        <v>109</v>
      </c>
      <c r="S65" s="4">
        <v>0</v>
      </c>
      <c r="T65" s="4">
        <v>240</v>
      </c>
      <c r="U65" s="4">
        <v>0</v>
      </c>
      <c r="V65" s="4" t="s">
        <v>32</v>
      </c>
      <c r="W65" s="4" t="s">
        <v>32</v>
      </c>
      <c r="X65" s="4" t="s">
        <v>32</v>
      </c>
      <c r="Y65" s="4" t="s">
        <v>32</v>
      </c>
      <c r="Z65" s="4" t="s">
        <v>32</v>
      </c>
      <c r="AA65" s="4" t="s">
        <v>32</v>
      </c>
    </row>
    <row r="66" s="4" customFormat="1" spans="1:27">
      <c r="A66" s="4" t="s">
        <v>36</v>
      </c>
      <c r="B66" s="4" t="s">
        <v>28</v>
      </c>
      <c r="C66" s="4">
        <v>17423033</v>
      </c>
      <c r="D66" s="19" t="s">
        <v>120</v>
      </c>
      <c r="E66" s="21">
        <v>45854.4556944444</v>
      </c>
      <c r="F66" s="4">
        <v>1084.6</v>
      </c>
      <c r="G66" s="4">
        <v>0</v>
      </c>
      <c r="H66" s="4">
        <v>1084.6</v>
      </c>
      <c r="I66" s="4">
        <v>1.36</v>
      </c>
      <c r="J66" s="4">
        <v>0</v>
      </c>
      <c r="K66" s="4">
        <v>1.36</v>
      </c>
      <c r="L66" s="4">
        <v>70.61</v>
      </c>
      <c r="M66" s="4">
        <v>9391</v>
      </c>
      <c r="N66" s="4">
        <v>4.82</v>
      </c>
      <c r="O66" s="4">
        <v>641.06</v>
      </c>
      <c r="P66" s="4" t="s">
        <v>29</v>
      </c>
      <c r="Q66" s="4" t="s">
        <v>30</v>
      </c>
      <c r="R66" s="4" t="s">
        <v>109</v>
      </c>
      <c r="S66" s="4">
        <v>0</v>
      </c>
      <c r="T66" s="4">
        <v>30</v>
      </c>
      <c r="U66" s="4">
        <v>0</v>
      </c>
      <c r="V66" s="4" t="s">
        <v>32</v>
      </c>
      <c r="W66" s="4" t="s">
        <v>32</v>
      </c>
      <c r="X66" s="4" t="s">
        <v>32</v>
      </c>
      <c r="Y66" s="4" t="s">
        <v>32</v>
      </c>
      <c r="Z66" s="4" t="s">
        <v>32</v>
      </c>
      <c r="AA66" s="4" t="s">
        <v>32</v>
      </c>
    </row>
    <row r="67" s="4" customFormat="1" spans="1:27">
      <c r="A67" s="4" t="s">
        <v>36</v>
      </c>
      <c r="B67" s="4" t="s">
        <v>28</v>
      </c>
      <c r="C67" s="4">
        <v>14014475</v>
      </c>
      <c r="D67" s="19" t="s">
        <v>121</v>
      </c>
      <c r="E67" s="21">
        <v>45569.7182407407</v>
      </c>
      <c r="F67" s="4">
        <v>3559.22</v>
      </c>
      <c r="G67" s="4">
        <v>0.02</v>
      </c>
      <c r="H67" s="4">
        <v>3559.2</v>
      </c>
      <c r="I67" s="4">
        <v>175.79</v>
      </c>
      <c r="J67" s="4">
        <v>0.02</v>
      </c>
      <c r="K67" s="4">
        <v>175.77</v>
      </c>
      <c r="L67" s="4">
        <v>922.16</v>
      </c>
      <c r="M67" s="4">
        <v>122647</v>
      </c>
      <c r="N67" s="4">
        <v>187.55</v>
      </c>
      <c r="O67" s="4">
        <v>24944.15</v>
      </c>
      <c r="P67" s="4" t="s">
        <v>29</v>
      </c>
      <c r="Q67" s="4" t="s">
        <v>30</v>
      </c>
      <c r="R67" s="4" t="s">
        <v>109</v>
      </c>
      <c r="S67" s="4">
        <v>0</v>
      </c>
      <c r="T67" s="4">
        <v>1250</v>
      </c>
      <c r="U67" s="4">
        <v>0</v>
      </c>
      <c r="V67" s="4" t="s">
        <v>32</v>
      </c>
      <c r="W67" s="4" t="s">
        <v>32</v>
      </c>
      <c r="X67" s="4" t="s">
        <v>32</v>
      </c>
      <c r="Y67" s="4" t="s">
        <v>32</v>
      </c>
      <c r="Z67" s="4" t="s">
        <v>32</v>
      </c>
      <c r="AA67" s="4" t="s">
        <v>32</v>
      </c>
    </row>
    <row r="68" s="4" customFormat="1" spans="1:27">
      <c r="A68" s="4" t="s">
        <v>36</v>
      </c>
      <c r="B68" s="4" t="s">
        <v>28</v>
      </c>
      <c r="C68" s="4">
        <v>3936364</v>
      </c>
      <c r="D68" s="19" t="s">
        <v>122</v>
      </c>
      <c r="E68" s="21">
        <v>44281.253900463</v>
      </c>
      <c r="F68" s="4">
        <v>237.31</v>
      </c>
      <c r="G68" s="4">
        <v>0</v>
      </c>
      <c r="H68" s="4">
        <v>237.31</v>
      </c>
      <c r="I68" s="4">
        <v>58.88</v>
      </c>
      <c r="J68" s="4">
        <v>0</v>
      </c>
      <c r="K68" s="4">
        <v>58.88</v>
      </c>
      <c r="L68" s="4">
        <v>62.03</v>
      </c>
      <c r="M68" s="4">
        <v>8250</v>
      </c>
      <c r="N68" s="4">
        <v>58.93</v>
      </c>
      <c r="O68" s="4">
        <v>7837.69</v>
      </c>
      <c r="P68" s="4" t="s">
        <v>29</v>
      </c>
      <c r="Q68" s="4" t="s">
        <v>30</v>
      </c>
      <c r="R68" s="4" t="s">
        <v>109</v>
      </c>
      <c r="S68" s="4">
        <v>0</v>
      </c>
      <c r="T68" s="4">
        <v>390</v>
      </c>
      <c r="U68" s="4">
        <v>0</v>
      </c>
      <c r="V68" s="4" t="s">
        <v>32</v>
      </c>
      <c r="W68" s="4" t="s">
        <v>32</v>
      </c>
      <c r="X68" s="4" t="s">
        <v>32</v>
      </c>
      <c r="Y68" s="4" t="s">
        <v>32</v>
      </c>
      <c r="Z68" s="4" t="s">
        <v>32</v>
      </c>
      <c r="AA68" s="4" t="s">
        <v>32</v>
      </c>
    </row>
    <row r="69" s="4" customFormat="1" spans="1:27">
      <c r="A69" s="4" t="s">
        <v>36</v>
      </c>
      <c r="B69" s="4" t="s">
        <v>28</v>
      </c>
      <c r="C69" s="4">
        <v>3120073</v>
      </c>
      <c r="D69" s="19" t="s">
        <v>123</v>
      </c>
      <c r="E69" s="21">
        <v>44140.436712963</v>
      </c>
      <c r="F69" s="4">
        <v>527.24</v>
      </c>
      <c r="G69" s="4">
        <v>0.08</v>
      </c>
      <c r="H69" s="4">
        <v>526.41</v>
      </c>
      <c r="I69" s="4">
        <v>53.49</v>
      </c>
      <c r="J69" s="4">
        <v>-0.5</v>
      </c>
      <c r="K69" s="4">
        <v>53.99</v>
      </c>
      <c r="L69" s="4">
        <v>83.56</v>
      </c>
      <c r="M69" s="4">
        <v>11114</v>
      </c>
      <c r="N69" s="4">
        <v>2.08</v>
      </c>
      <c r="O69" s="4">
        <v>276.64</v>
      </c>
      <c r="P69" s="4" t="s">
        <v>34</v>
      </c>
      <c r="Q69" s="4" t="s">
        <v>30</v>
      </c>
      <c r="R69" s="4" t="s">
        <v>109</v>
      </c>
      <c r="S69" s="4">
        <v>0</v>
      </c>
      <c r="T69" s="4">
        <v>10</v>
      </c>
      <c r="U69" s="4">
        <v>0</v>
      </c>
      <c r="V69" s="4" t="s">
        <v>32</v>
      </c>
      <c r="W69" s="4" t="s">
        <v>32</v>
      </c>
      <c r="X69" s="4" t="s">
        <v>32</v>
      </c>
      <c r="Y69" s="4" t="s">
        <v>32</v>
      </c>
      <c r="Z69" s="4" t="s">
        <v>32</v>
      </c>
      <c r="AA69" s="4" t="s">
        <v>32</v>
      </c>
    </row>
    <row r="70" s="4" customFormat="1" spans="1:27">
      <c r="A70" s="4" t="s">
        <v>36</v>
      </c>
      <c r="B70" s="4" t="s">
        <v>28</v>
      </c>
      <c r="C70" s="4">
        <v>15590293</v>
      </c>
      <c r="D70" s="19" t="s">
        <v>124</v>
      </c>
      <c r="E70" s="21">
        <v>45682.4909375</v>
      </c>
      <c r="F70" s="4">
        <v>2159.38</v>
      </c>
      <c r="G70" s="4">
        <v>7.75</v>
      </c>
      <c r="H70" s="4">
        <v>2151.63</v>
      </c>
      <c r="I70" s="4">
        <v>0.59</v>
      </c>
      <c r="J70" s="4">
        <v>3.97</v>
      </c>
      <c r="K70" s="4">
        <v>-3.39</v>
      </c>
      <c r="L70" s="4">
        <v>356.86</v>
      </c>
      <c r="M70" s="4">
        <v>47462</v>
      </c>
      <c r="N70" s="4">
        <v>15.36</v>
      </c>
      <c r="O70" s="4">
        <v>2042.88</v>
      </c>
      <c r="P70" s="4" t="s">
        <v>29</v>
      </c>
      <c r="Q70" s="4" t="s">
        <v>30</v>
      </c>
      <c r="R70" s="4" t="s">
        <v>109</v>
      </c>
      <c r="S70" s="4">
        <v>0</v>
      </c>
      <c r="T70" s="4">
        <v>100</v>
      </c>
      <c r="U70" s="4">
        <v>0</v>
      </c>
      <c r="V70" s="4" t="s">
        <v>32</v>
      </c>
      <c r="W70" s="4" t="s">
        <v>32</v>
      </c>
      <c r="X70" s="4" t="s">
        <v>32</v>
      </c>
      <c r="Y70" s="4" t="s">
        <v>32</v>
      </c>
      <c r="Z70" s="4" t="s">
        <v>32</v>
      </c>
      <c r="AA70" s="4" t="s">
        <v>32</v>
      </c>
    </row>
    <row r="71" s="4" customFormat="1" spans="1:27">
      <c r="A71" s="4" t="s">
        <v>36</v>
      </c>
      <c r="B71" s="4" t="s">
        <v>28</v>
      </c>
      <c r="C71" s="4">
        <v>22199115</v>
      </c>
      <c r="D71" s="19" t="s">
        <v>125</v>
      </c>
      <c r="E71" s="21">
        <v>46113.8490162037</v>
      </c>
      <c r="F71" s="4">
        <v>735.64</v>
      </c>
      <c r="G71" s="4">
        <v>0</v>
      </c>
      <c r="H71" s="4">
        <v>735.64</v>
      </c>
      <c r="I71" s="4">
        <v>3.27</v>
      </c>
      <c r="J71" s="4">
        <v>0</v>
      </c>
      <c r="K71" s="4">
        <v>3.27</v>
      </c>
      <c r="L71" s="4">
        <v>73.95</v>
      </c>
      <c r="M71" s="4">
        <v>9836</v>
      </c>
      <c r="N71" s="4">
        <v>70.26</v>
      </c>
      <c r="O71" s="4">
        <v>9344.58</v>
      </c>
      <c r="P71" s="4" t="s">
        <v>29</v>
      </c>
      <c r="Q71" s="4" t="s">
        <v>30</v>
      </c>
      <c r="R71" s="4" t="s">
        <v>109</v>
      </c>
      <c r="S71" s="4">
        <v>0</v>
      </c>
      <c r="T71" s="4">
        <v>470</v>
      </c>
      <c r="U71" s="4">
        <v>0</v>
      </c>
      <c r="V71" s="4" t="s">
        <v>32</v>
      </c>
      <c r="W71" s="4" t="s">
        <v>32</v>
      </c>
      <c r="X71" s="4" t="s">
        <v>32</v>
      </c>
      <c r="Y71" s="4" t="s">
        <v>32</v>
      </c>
      <c r="Z71" s="4" t="s">
        <v>32</v>
      </c>
      <c r="AA71" s="4" t="s">
        <v>32</v>
      </c>
    </row>
    <row r="72" s="4" customFormat="1" spans="1:27">
      <c r="A72" s="4" t="s">
        <v>36</v>
      </c>
      <c r="B72" s="4" t="s">
        <v>28</v>
      </c>
      <c r="C72" s="4">
        <v>19610105</v>
      </c>
      <c r="D72" s="19" t="s">
        <v>126</v>
      </c>
      <c r="E72" s="21">
        <v>45981.8812847222</v>
      </c>
      <c r="F72" s="4">
        <v>2077.4</v>
      </c>
      <c r="G72" s="4">
        <v>0.01</v>
      </c>
      <c r="H72" s="4">
        <v>2077.39</v>
      </c>
      <c r="I72" s="4">
        <v>-229.3</v>
      </c>
      <c r="J72" s="4">
        <v>0.01</v>
      </c>
      <c r="K72" s="4">
        <v>-229.3</v>
      </c>
      <c r="L72" s="4">
        <v>267.97</v>
      </c>
      <c r="M72" s="4">
        <v>35640</v>
      </c>
      <c r="N72" s="4">
        <v>96.21</v>
      </c>
      <c r="O72" s="4">
        <v>12795.93</v>
      </c>
      <c r="P72" s="4" t="s">
        <v>34</v>
      </c>
      <c r="Q72" s="4" t="s">
        <v>30</v>
      </c>
      <c r="R72" s="4" t="s">
        <v>109</v>
      </c>
      <c r="S72" s="4">
        <v>0</v>
      </c>
      <c r="T72" s="4">
        <v>640</v>
      </c>
      <c r="U72" s="4">
        <v>0</v>
      </c>
      <c r="V72" s="4" t="s">
        <v>32</v>
      </c>
      <c r="W72" s="4" t="s">
        <v>32</v>
      </c>
      <c r="X72" s="4" t="s">
        <v>32</v>
      </c>
      <c r="Y72" s="4" t="s">
        <v>32</v>
      </c>
      <c r="Z72" s="4" t="s">
        <v>32</v>
      </c>
      <c r="AA72" s="4" t="s">
        <v>32</v>
      </c>
    </row>
    <row r="73" s="4" customFormat="1" spans="1:27">
      <c r="A73" s="4" t="s">
        <v>36</v>
      </c>
      <c r="B73" s="4" t="s">
        <v>28</v>
      </c>
      <c r="C73" s="4">
        <v>19589453</v>
      </c>
      <c r="D73" s="19" t="s">
        <v>127</v>
      </c>
      <c r="E73" s="21">
        <v>45981.5545949074</v>
      </c>
      <c r="F73" s="4">
        <v>4459.52</v>
      </c>
      <c r="G73" s="4">
        <v>238.26</v>
      </c>
      <c r="H73" s="4">
        <v>4221.26</v>
      </c>
      <c r="I73" s="4">
        <v>196.16</v>
      </c>
      <c r="J73" s="4">
        <v>-40.69</v>
      </c>
      <c r="K73" s="4">
        <v>236.85</v>
      </c>
      <c r="L73" s="4">
        <v>971.43</v>
      </c>
      <c r="M73" s="4">
        <v>129200</v>
      </c>
      <c r="N73" s="4">
        <v>174.29</v>
      </c>
      <c r="O73" s="4">
        <v>23180.57</v>
      </c>
      <c r="P73" s="4" t="s">
        <v>29</v>
      </c>
      <c r="Q73" s="4" t="s">
        <v>30</v>
      </c>
      <c r="R73" s="4" t="s">
        <v>109</v>
      </c>
      <c r="S73" s="4">
        <v>0</v>
      </c>
      <c r="T73" s="4">
        <v>1160</v>
      </c>
      <c r="U73" s="4">
        <v>0</v>
      </c>
      <c r="V73" s="4" t="s">
        <v>32</v>
      </c>
      <c r="W73" s="4" t="s">
        <v>32</v>
      </c>
      <c r="X73" s="4" t="s">
        <v>32</v>
      </c>
      <c r="Y73" s="4" t="s">
        <v>32</v>
      </c>
      <c r="Z73" s="4" t="s">
        <v>32</v>
      </c>
      <c r="AA73" s="4" t="s">
        <v>32</v>
      </c>
    </row>
    <row r="74" s="4" customFormat="1" spans="1:27">
      <c r="A74" s="4" t="s">
        <v>36</v>
      </c>
      <c r="B74" s="4" t="s">
        <v>28</v>
      </c>
      <c r="C74" s="4">
        <v>136795</v>
      </c>
      <c r="D74" s="19" t="s">
        <v>128</v>
      </c>
      <c r="E74" s="21">
        <v>43901.4811805556</v>
      </c>
      <c r="F74" s="4">
        <v>390.63</v>
      </c>
      <c r="G74" s="4">
        <v>3.03</v>
      </c>
      <c r="H74" s="4">
        <v>387.6</v>
      </c>
      <c r="I74" s="4">
        <v>9.94</v>
      </c>
      <c r="J74" s="4">
        <v>3.03</v>
      </c>
      <c r="K74" s="4">
        <v>6.91</v>
      </c>
      <c r="L74" s="4">
        <v>194.29</v>
      </c>
      <c r="M74" s="4">
        <v>25840</v>
      </c>
      <c r="N74" s="4">
        <v>184.57</v>
      </c>
      <c r="O74" s="4">
        <v>24547.81</v>
      </c>
      <c r="P74" s="4" t="s">
        <v>29</v>
      </c>
      <c r="Q74" s="4" t="s">
        <v>30</v>
      </c>
      <c r="R74" s="4" t="s">
        <v>109</v>
      </c>
      <c r="S74" s="4">
        <v>0</v>
      </c>
      <c r="T74" s="4">
        <v>1230</v>
      </c>
      <c r="U74" s="4">
        <v>0</v>
      </c>
      <c r="V74" s="4" t="s">
        <v>32</v>
      </c>
      <c r="W74" s="4" t="s">
        <v>32</v>
      </c>
      <c r="X74" s="4" t="s">
        <v>32</v>
      </c>
      <c r="Y74" s="4" t="s">
        <v>32</v>
      </c>
      <c r="Z74" s="4" t="s">
        <v>32</v>
      </c>
      <c r="AA74" s="4" t="s">
        <v>32</v>
      </c>
    </row>
    <row r="75" s="4" customFormat="1" spans="1:27">
      <c r="A75" s="4" t="s">
        <v>36</v>
      </c>
      <c r="B75" s="4" t="s">
        <v>28</v>
      </c>
      <c r="C75" s="4">
        <v>496314</v>
      </c>
      <c r="D75" s="19" t="s">
        <v>129</v>
      </c>
      <c r="E75" s="21">
        <v>43922.6253935185</v>
      </c>
      <c r="F75" s="4">
        <v>2071.1</v>
      </c>
      <c r="G75" s="4">
        <v>0</v>
      </c>
      <c r="H75" s="4">
        <v>2071.1</v>
      </c>
      <c r="I75" s="4">
        <v>57.07</v>
      </c>
      <c r="J75" s="4">
        <v>0</v>
      </c>
      <c r="K75" s="4">
        <v>57.07</v>
      </c>
      <c r="L75" s="4">
        <v>468.26</v>
      </c>
      <c r="M75" s="4">
        <v>62279</v>
      </c>
      <c r="N75" s="4">
        <v>339.86</v>
      </c>
      <c r="O75" s="4">
        <v>45201.38</v>
      </c>
      <c r="P75" s="4" t="s">
        <v>34</v>
      </c>
      <c r="Q75" s="4" t="s">
        <v>30</v>
      </c>
      <c r="R75" s="4" t="s">
        <v>109</v>
      </c>
      <c r="S75" s="4">
        <v>0</v>
      </c>
      <c r="T75" s="4">
        <v>2260</v>
      </c>
      <c r="U75" s="4">
        <v>0</v>
      </c>
      <c r="V75" s="4" t="s">
        <v>32</v>
      </c>
      <c r="W75" s="4" t="s">
        <v>32</v>
      </c>
      <c r="X75" s="4" t="s">
        <v>32</v>
      </c>
      <c r="Y75" s="4" t="s">
        <v>32</v>
      </c>
      <c r="Z75" s="4" t="s">
        <v>32</v>
      </c>
      <c r="AA75" s="4" t="s">
        <v>32</v>
      </c>
    </row>
    <row r="76" s="4" customFormat="1" spans="1:27">
      <c r="A76" s="4" t="s">
        <v>36</v>
      </c>
      <c r="B76" s="4" t="s">
        <v>28</v>
      </c>
      <c r="C76" s="4">
        <v>13437715</v>
      </c>
      <c r="D76" s="19" t="s">
        <v>130</v>
      </c>
      <c r="E76" s="21">
        <v>45515.521400463</v>
      </c>
      <c r="F76" s="4">
        <v>1039.59</v>
      </c>
      <c r="G76" s="4">
        <v>0.5</v>
      </c>
      <c r="H76" s="4">
        <v>1039.09</v>
      </c>
      <c r="I76" s="4">
        <v>7.59</v>
      </c>
      <c r="J76" s="4">
        <v>0.3</v>
      </c>
      <c r="K76" s="4">
        <v>7.29</v>
      </c>
      <c r="L76" s="4">
        <v>239.02</v>
      </c>
      <c r="M76" s="4">
        <v>31789</v>
      </c>
      <c r="N76" s="4">
        <v>13.2</v>
      </c>
      <c r="O76" s="4">
        <v>1755.6</v>
      </c>
      <c r="P76" s="4" t="s">
        <v>29</v>
      </c>
      <c r="Q76" s="4" t="s">
        <v>30</v>
      </c>
      <c r="R76" s="4" t="s">
        <v>109</v>
      </c>
      <c r="S76" s="4">
        <v>0</v>
      </c>
      <c r="T76" s="4">
        <v>90</v>
      </c>
      <c r="U76" s="4">
        <v>0</v>
      </c>
      <c r="V76" s="4" t="s">
        <v>32</v>
      </c>
      <c r="W76" s="4" t="s">
        <v>32</v>
      </c>
      <c r="X76" s="4" t="s">
        <v>32</v>
      </c>
      <c r="Y76" s="4" t="s">
        <v>32</v>
      </c>
      <c r="Z76" s="4" t="s">
        <v>32</v>
      </c>
      <c r="AA76" s="4" t="s">
        <v>32</v>
      </c>
    </row>
    <row r="77" s="4" customFormat="1" spans="1:27">
      <c r="A77" s="4" t="s">
        <v>36</v>
      </c>
      <c r="B77" s="4" t="s">
        <v>28</v>
      </c>
      <c r="C77" s="4">
        <v>2324925</v>
      </c>
      <c r="D77" s="19" t="s">
        <v>131</v>
      </c>
      <c r="E77" s="21">
        <v>44070.2053240741</v>
      </c>
      <c r="F77" s="4">
        <v>10078.53</v>
      </c>
      <c r="G77" s="4">
        <v>0.02</v>
      </c>
      <c r="H77" s="4">
        <v>10078.14</v>
      </c>
      <c r="I77" s="4">
        <v>-108.39</v>
      </c>
      <c r="J77" s="4">
        <v>0.02</v>
      </c>
      <c r="K77" s="4">
        <v>-108.4</v>
      </c>
      <c r="L77" s="4">
        <v>1351.74</v>
      </c>
      <c r="M77" s="4">
        <v>179782</v>
      </c>
      <c r="N77" s="4">
        <v>155.4</v>
      </c>
      <c r="O77" s="4">
        <v>20668.2</v>
      </c>
      <c r="P77" s="4" t="s">
        <v>34</v>
      </c>
      <c r="Q77" s="4" t="s">
        <v>33</v>
      </c>
      <c r="R77" s="4" t="s">
        <v>109</v>
      </c>
      <c r="S77" s="4">
        <v>0</v>
      </c>
      <c r="T77" s="4">
        <v>1030</v>
      </c>
      <c r="U77" s="4">
        <v>0</v>
      </c>
      <c r="V77" s="4" t="s">
        <v>32</v>
      </c>
      <c r="W77" s="4" t="s">
        <v>32</v>
      </c>
      <c r="X77" s="4" t="s">
        <v>32</v>
      </c>
      <c r="Y77" s="4" t="s">
        <v>32</v>
      </c>
      <c r="Z77" s="4" t="s">
        <v>32</v>
      </c>
      <c r="AA77" s="4" t="s">
        <v>32</v>
      </c>
    </row>
    <row r="78" s="4" customFormat="1" spans="1:27">
      <c r="A78" s="4" t="s">
        <v>36</v>
      </c>
      <c r="B78" s="4" t="s">
        <v>28</v>
      </c>
      <c r="C78" s="4">
        <v>17354293</v>
      </c>
      <c r="D78" s="19" t="s">
        <v>132</v>
      </c>
      <c r="E78" s="21">
        <v>45848.7252546296</v>
      </c>
      <c r="F78" s="4">
        <v>2745.5</v>
      </c>
      <c r="G78" s="4">
        <v>65.05</v>
      </c>
      <c r="H78" s="4">
        <v>2680.45</v>
      </c>
      <c r="I78" s="4">
        <v>156.53</v>
      </c>
      <c r="J78" s="4">
        <v>25.5</v>
      </c>
      <c r="K78" s="4">
        <v>131.04</v>
      </c>
      <c r="L78" s="4">
        <v>395.89</v>
      </c>
      <c r="M78" s="4">
        <v>52653</v>
      </c>
      <c r="N78" s="4">
        <v>78.38</v>
      </c>
      <c r="O78" s="4">
        <v>10424.54</v>
      </c>
      <c r="P78" s="4" t="s">
        <v>29</v>
      </c>
      <c r="Q78" s="4" t="s">
        <v>30</v>
      </c>
      <c r="R78" s="4" t="s">
        <v>109</v>
      </c>
      <c r="S78" s="4">
        <v>0</v>
      </c>
      <c r="T78" s="4">
        <v>520</v>
      </c>
      <c r="U78" s="4">
        <v>0</v>
      </c>
      <c r="V78" s="4" t="s">
        <v>32</v>
      </c>
      <c r="W78" s="4" t="s">
        <v>32</v>
      </c>
      <c r="X78" s="4" t="s">
        <v>32</v>
      </c>
      <c r="Y78" s="4" t="s">
        <v>32</v>
      </c>
      <c r="Z78" s="4" t="s">
        <v>32</v>
      </c>
      <c r="AA78" s="4" t="s">
        <v>32</v>
      </c>
    </row>
    <row r="79" s="4" customFormat="1" spans="1:27">
      <c r="A79" s="4" t="s">
        <v>36</v>
      </c>
      <c r="B79" s="4" t="s">
        <v>28</v>
      </c>
      <c r="C79" s="4">
        <v>173655</v>
      </c>
      <c r="D79" s="19" t="s">
        <v>133</v>
      </c>
      <c r="E79" s="21">
        <v>43915.5287152778</v>
      </c>
      <c r="F79" s="4">
        <v>294.51</v>
      </c>
      <c r="G79" s="4">
        <v>0</v>
      </c>
      <c r="H79" s="4">
        <v>294.51</v>
      </c>
      <c r="I79" s="4">
        <v>-1.94</v>
      </c>
      <c r="J79" s="4">
        <v>0</v>
      </c>
      <c r="K79" s="4">
        <v>-1.94</v>
      </c>
      <c r="L79" s="4">
        <v>50.38</v>
      </c>
      <c r="M79" s="4">
        <v>6700</v>
      </c>
      <c r="N79" s="4">
        <v>10</v>
      </c>
      <c r="O79" s="4">
        <v>1330</v>
      </c>
      <c r="P79" s="4" t="s">
        <v>34</v>
      </c>
      <c r="Q79" s="4" t="s">
        <v>30</v>
      </c>
      <c r="R79" s="4" t="s">
        <v>109</v>
      </c>
      <c r="S79" s="4">
        <v>0</v>
      </c>
      <c r="T79" s="4">
        <v>70</v>
      </c>
      <c r="U79" s="4">
        <v>0</v>
      </c>
      <c r="V79" s="4" t="s">
        <v>32</v>
      </c>
      <c r="W79" s="4" t="s">
        <v>32</v>
      </c>
      <c r="X79" s="4" t="s">
        <v>32</v>
      </c>
      <c r="Y79" s="4" t="s">
        <v>32</v>
      </c>
      <c r="Z79" s="4" t="s">
        <v>32</v>
      </c>
      <c r="AA79" s="4" t="s">
        <v>32</v>
      </c>
    </row>
    <row r="80" s="4" customFormat="1" spans="1:27">
      <c r="A80" s="4" t="s">
        <v>36</v>
      </c>
      <c r="B80" s="4" t="s">
        <v>28</v>
      </c>
      <c r="C80" s="4">
        <v>19959684</v>
      </c>
      <c r="D80" s="19" t="s">
        <v>134</v>
      </c>
      <c r="E80" s="21">
        <v>45998.6946875</v>
      </c>
      <c r="F80" s="4">
        <v>9180.35</v>
      </c>
      <c r="G80" s="4">
        <v>3.5</v>
      </c>
      <c r="H80" s="4">
        <v>9175.35</v>
      </c>
      <c r="I80" s="4">
        <v>235.46</v>
      </c>
      <c r="J80" s="4">
        <v>2.92</v>
      </c>
      <c r="K80" s="4">
        <v>232.54</v>
      </c>
      <c r="L80" s="4">
        <v>1443.02</v>
      </c>
      <c r="M80" s="4">
        <v>191922</v>
      </c>
      <c r="N80" s="4">
        <v>572.99</v>
      </c>
      <c r="O80" s="4">
        <v>76207.67</v>
      </c>
      <c r="P80" s="4" t="s">
        <v>34</v>
      </c>
      <c r="Q80" s="4" t="s">
        <v>33</v>
      </c>
      <c r="R80" s="4" t="s">
        <v>109</v>
      </c>
      <c r="S80" s="4">
        <v>0</v>
      </c>
      <c r="T80" s="4">
        <v>3810</v>
      </c>
      <c r="U80" s="4">
        <v>0</v>
      </c>
      <c r="V80" s="4" t="s">
        <v>32</v>
      </c>
      <c r="W80" s="4" t="s">
        <v>32</v>
      </c>
      <c r="X80" s="4" t="s">
        <v>32</v>
      </c>
      <c r="Y80" s="4" t="s">
        <v>32</v>
      </c>
      <c r="Z80" s="4" t="s">
        <v>32</v>
      </c>
      <c r="AA80" s="4" t="s">
        <v>32</v>
      </c>
    </row>
    <row r="81" s="4" customFormat="1" spans="1:27">
      <c r="A81" s="4" t="s">
        <v>36</v>
      </c>
      <c r="B81" s="4" t="s">
        <v>28</v>
      </c>
      <c r="C81" s="4">
        <v>419825</v>
      </c>
      <c r="D81" s="19" t="s">
        <v>135</v>
      </c>
      <c r="E81" s="21">
        <v>43919.38125</v>
      </c>
      <c r="F81" s="4">
        <v>678.5</v>
      </c>
      <c r="G81" s="4">
        <v>0</v>
      </c>
      <c r="H81" s="4">
        <v>678.5</v>
      </c>
      <c r="I81" s="4">
        <v>-8.39</v>
      </c>
      <c r="J81" s="4">
        <v>0</v>
      </c>
      <c r="K81" s="4">
        <v>-8.39</v>
      </c>
      <c r="L81" s="4">
        <v>103.36</v>
      </c>
      <c r="M81" s="4">
        <v>13747</v>
      </c>
      <c r="N81" s="4">
        <v>98.19</v>
      </c>
      <c r="O81" s="4">
        <v>13059.27</v>
      </c>
      <c r="P81" s="4" t="s">
        <v>29</v>
      </c>
      <c r="Q81" s="4" t="s">
        <v>30</v>
      </c>
      <c r="R81" s="4" t="s">
        <v>109</v>
      </c>
      <c r="S81" s="4">
        <v>0</v>
      </c>
      <c r="T81" s="4">
        <v>650</v>
      </c>
      <c r="U81" s="4">
        <v>0</v>
      </c>
      <c r="V81" s="4" t="s">
        <v>32</v>
      </c>
      <c r="W81" s="4" t="s">
        <v>32</v>
      </c>
      <c r="X81" s="4" t="s">
        <v>32</v>
      </c>
      <c r="Y81" s="4" t="s">
        <v>32</v>
      </c>
      <c r="Z81" s="4" t="s">
        <v>32</v>
      </c>
      <c r="AA81" s="4" t="s">
        <v>32</v>
      </c>
    </row>
    <row r="82" s="4" customFormat="1" spans="1:27">
      <c r="A82" s="4" t="s">
        <v>36</v>
      </c>
      <c r="B82" s="4" t="s">
        <v>28</v>
      </c>
      <c r="C82" s="4">
        <v>12289624</v>
      </c>
      <c r="D82" s="19" t="s">
        <v>136</v>
      </c>
      <c r="E82" s="21">
        <v>45333.7219675926</v>
      </c>
      <c r="F82" s="4">
        <v>729.84</v>
      </c>
      <c r="G82" s="4">
        <v>1.27</v>
      </c>
      <c r="H82" s="4">
        <v>728.57</v>
      </c>
      <c r="I82" s="4">
        <v>48.62</v>
      </c>
      <c r="J82" s="4">
        <v>1.27</v>
      </c>
      <c r="K82" s="4">
        <v>47.35</v>
      </c>
      <c r="L82" s="4">
        <v>132.33</v>
      </c>
      <c r="M82" s="4">
        <v>17600</v>
      </c>
      <c r="N82" s="4">
        <v>25</v>
      </c>
      <c r="O82" s="4">
        <v>3325</v>
      </c>
      <c r="P82" s="4" t="s">
        <v>29</v>
      </c>
      <c r="Q82" s="4" t="s">
        <v>30</v>
      </c>
      <c r="R82" s="4" t="s">
        <v>109</v>
      </c>
      <c r="S82" s="4">
        <v>0</v>
      </c>
      <c r="T82" s="4">
        <v>170</v>
      </c>
      <c r="U82" s="4">
        <v>0</v>
      </c>
      <c r="V82" s="4" t="s">
        <v>32</v>
      </c>
      <c r="W82" s="4" t="s">
        <v>32</v>
      </c>
      <c r="X82" s="4" t="s">
        <v>32</v>
      </c>
      <c r="Y82" s="4" t="s">
        <v>32</v>
      </c>
      <c r="Z82" s="4" t="s">
        <v>32</v>
      </c>
      <c r="AA82" s="4" t="s">
        <v>32</v>
      </c>
    </row>
    <row r="83" s="4" customFormat="1" spans="1:27">
      <c r="A83" s="4" t="s">
        <v>36</v>
      </c>
      <c r="B83" s="4" t="s">
        <v>28</v>
      </c>
      <c r="C83" s="4">
        <v>9313183</v>
      </c>
      <c r="D83" s="19" t="s">
        <v>137</v>
      </c>
      <c r="E83" s="21">
        <v>44928.8089351852</v>
      </c>
      <c r="F83" s="4">
        <v>1239.05</v>
      </c>
      <c r="G83" s="4">
        <v>0</v>
      </c>
      <c r="H83" s="4">
        <v>1238.68</v>
      </c>
      <c r="I83" s="4">
        <v>62.9</v>
      </c>
      <c r="J83" s="4">
        <v>0</v>
      </c>
      <c r="K83" s="4">
        <v>62.9</v>
      </c>
      <c r="L83" s="4">
        <v>263.97</v>
      </c>
      <c r="M83" s="4">
        <v>35108</v>
      </c>
      <c r="N83" s="4">
        <v>84.29</v>
      </c>
      <c r="O83" s="4">
        <v>11210.57</v>
      </c>
      <c r="P83" s="4" t="s">
        <v>34</v>
      </c>
      <c r="Q83" s="4" t="s">
        <v>30</v>
      </c>
      <c r="R83" s="4" t="s">
        <v>109</v>
      </c>
      <c r="S83" s="4">
        <v>0</v>
      </c>
      <c r="T83" s="4">
        <v>560</v>
      </c>
      <c r="U83" s="4">
        <v>0</v>
      </c>
      <c r="V83" s="4" t="s">
        <v>32</v>
      </c>
      <c r="W83" s="4" t="s">
        <v>32</v>
      </c>
      <c r="X83" s="4" t="s">
        <v>32</v>
      </c>
      <c r="Y83" s="4" t="s">
        <v>32</v>
      </c>
      <c r="Z83" s="4" t="s">
        <v>32</v>
      </c>
      <c r="AA83" s="4" t="s">
        <v>32</v>
      </c>
    </row>
    <row r="84" s="4" customFormat="1" spans="1:27">
      <c r="A84" s="4" t="s">
        <v>36</v>
      </c>
      <c r="B84" s="4" t="s">
        <v>28</v>
      </c>
      <c r="C84" s="4">
        <v>3186344</v>
      </c>
      <c r="D84" s="19" t="s">
        <v>138</v>
      </c>
      <c r="E84" s="21">
        <v>44146.8028935185</v>
      </c>
      <c r="F84" s="4">
        <v>4775.08</v>
      </c>
      <c r="G84" s="4">
        <v>0.1</v>
      </c>
      <c r="H84" s="4">
        <v>4774.98</v>
      </c>
      <c r="I84" s="4">
        <v>245.94</v>
      </c>
      <c r="J84" s="4">
        <v>0.1</v>
      </c>
      <c r="K84" s="4">
        <v>245.84</v>
      </c>
      <c r="L84" s="4">
        <v>735.35</v>
      </c>
      <c r="M84" s="4">
        <v>97802</v>
      </c>
      <c r="N84" s="4">
        <v>83.27</v>
      </c>
      <c r="O84" s="4">
        <v>11074.91</v>
      </c>
      <c r="P84" s="4" t="s">
        <v>29</v>
      </c>
      <c r="Q84" s="4" t="s">
        <v>30</v>
      </c>
      <c r="R84" s="4" t="s">
        <v>109</v>
      </c>
      <c r="S84" s="4">
        <v>0</v>
      </c>
      <c r="T84" s="4">
        <v>550</v>
      </c>
      <c r="U84" s="4">
        <v>0</v>
      </c>
      <c r="V84" s="4" t="s">
        <v>32</v>
      </c>
      <c r="W84" s="4" t="s">
        <v>32</v>
      </c>
      <c r="X84" s="4" t="s">
        <v>32</v>
      </c>
      <c r="Y84" s="4" t="s">
        <v>32</v>
      </c>
      <c r="Z84" s="4" t="s">
        <v>32</v>
      </c>
      <c r="AA84" s="4" t="s">
        <v>32</v>
      </c>
    </row>
    <row r="85" s="4" customFormat="1" spans="1:27">
      <c r="A85" s="4" t="s">
        <v>36</v>
      </c>
      <c r="B85" s="4" t="s">
        <v>28</v>
      </c>
      <c r="C85" s="4">
        <v>10032494</v>
      </c>
      <c r="D85" s="19" t="s">
        <v>139</v>
      </c>
      <c r="E85" s="21">
        <v>45076.4358564815</v>
      </c>
      <c r="F85" s="4">
        <v>701.22</v>
      </c>
      <c r="G85" s="4">
        <v>0</v>
      </c>
      <c r="H85" s="4">
        <v>701.22</v>
      </c>
      <c r="I85" s="4">
        <v>119.09</v>
      </c>
      <c r="J85" s="4">
        <v>0</v>
      </c>
      <c r="K85" s="4">
        <v>119.09</v>
      </c>
      <c r="L85" s="4">
        <v>411.28</v>
      </c>
      <c r="M85" s="4">
        <v>54700</v>
      </c>
      <c r="N85" s="4">
        <v>0</v>
      </c>
      <c r="O85" s="4">
        <v>0</v>
      </c>
      <c r="P85" s="4" t="s">
        <v>29</v>
      </c>
      <c r="Q85" s="4" t="s">
        <v>30</v>
      </c>
      <c r="R85" s="4" t="s">
        <v>109</v>
      </c>
      <c r="S85" s="4">
        <v>0</v>
      </c>
      <c r="T85" s="4">
        <v>0</v>
      </c>
      <c r="U85" s="4">
        <v>0</v>
      </c>
      <c r="V85" s="4" t="s">
        <v>32</v>
      </c>
      <c r="W85" s="4" t="s">
        <v>32</v>
      </c>
      <c r="X85" s="4" t="s">
        <v>32</v>
      </c>
      <c r="Y85" s="4" t="s">
        <v>32</v>
      </c>
      <c r="Z85" s="4" t="s">
        <v>32</v>
      </c>
      <c r="AA85" s="4" t="s">
        <v>32</v>
      </c>
    </row>
    <row r="86" s="4" customFormat="1" spans="1:27">
      <c r="A86" s="4" t="s">
        <v>36</v>
      </c>
      <c r="B86" s="4" t="s">
        <v>28</v>
      </c>
      <c r="C86" s="4">
        <v>3868114</v>
      </c>
      <c r="D86" s="19" t="s">
        <v>140</v>
      </c>
      <c r="E86" s="21">
        <v>44273.7107060185</v>
      </c>
      <c r="F86" s="4">
        <v>860.98</v>
      </c>
      <c r="G86" s="4">
        <v>0.15</v>
      </c>
      <c r="H86" s="4">
        <v>860.83</v>
      </c>
      <c r="I86" s="4">
        <v>10.72</v>
      </c>
      <c r="J86" s="4">
        <v>0.15</v>
      </c>
      <c r="K86" s="4">
        <v>10.57</v>
      </c>
      <c r="L86" s="4">
        <v>121.2</v>
      </c>
      <c r="M86" s="4">
        <v>16120</v>
      </c>
      <c r="N86" s="4">
        <v>16.07</v>
      </c>
      <c r="O86" s="4">
        <v>2137.31</v>
      </c>
      <c r="P86" s="4" t="s">
        <v>34</v>
      </c>
      <c r="Q86" s="4" t="s">
        <v>30</v>
      </c>
      <c r="R86" s="4" t="s">
        <v>109</v>
      </c>
      <c r="S86" s="4">
        <v>0</v>
      </c>
      <c r="T86" s="4">
        <v>110</v>
      </c>
      <c r="U86" s="4">
        <v>0</v>
      </c>
      <c r="V86" s="4" t="s">
        <v>32</v>
      </c>
      <c r="W86" s="4" t="s">
        <v>32</v>
      </c>
      <c r="X86" s="4" t="s">
        <v>32</v>
      </c>
      <c r="Y86" s="4" t="s">
        <v>32</v>
      </c>
      <c r="Z86" s="4" t="s">
        <v>32</v>
      </c>
      <c r="AA86" s="4" t="s">
        <v>32</v>
      </c>
    </row>
    <row r="87" s="4" customFormat="1" spans="1:27">
      <c r="A87" s="4" t="s">
        <v>36</v>
      </c>
      <c r="B87" s="4" t="s">
        <v>28</v>
      </c>
      <c r="C87" s="4">
        <v>12715854</v>
      </c>
      <c r="D87" s="19" t="s">
        <v>141</v>
      </c>
      <c r="E87" s="21">
        <v>45396.7395601852</v>
      </c>
      <c r="F87" s="4">
        <v>507.79</v>
      </c>
      <c r="G87" s="4">
        <v>0</v>
      </c>
      <c r="H87" s="4">
        <v>507.79</v>
      </c>
      <c r="I87" s="4">
        <v>56.22</v>
      </c>
      <c r="J87" s="4">
        <v>0</v>
      </c>
      <c r="K87" s="4">
        <v>56.22</v>
      </c>
      <c r="L87" s="4">
        <v>114.86</v>
      </c>
      <c r="M87" s="4">
        <v>15276</v>
      </c>
      <c r="N87" s="4">
        <v>109.11</v>
      </c>
      <c r="O87" s="4">
        <v>14511.63</v>
      </c>
      <c r="P87" s="4" t="s">
        <v>34</v>
      </c>
      <c r="Q87" s="4" t="s">
        <v>30</v>
      </c>
      <c r="R87" s="4" t="s">
        <v>109</v>
      </c>
      <c r="S87" s="4">
        <v>0</v>
      </c>
      <c r="T87" s="4">
        <v>730</v>
      </c>
      <c r="U87" s="4">
        <v>0</v>
      </c>
      <c r="V87" s="4" t="s">
        <v>32</v>
      </c>
      <c r="W87" s="4" t="s">
        <v>32</v>
      </c>
      <c r="X87" s="4" t="s">
        <v>32</v>
      </c>
      <c r="Y87" s="4" t="s">
        <v>32</v>
      </c>
      <c r="Z87" s="4" t="s">
        <v>32</v>
      </c>
      <c r="AA87" s="4" t="s">
        <v>32</v>
      </c>
    </row>
    <row r="88" s="4" customFormat="1" spans="1:27">
      <c r="A88" s="4" t="s">
        <v>36</v>
      </c>
      <c r="B88" s="4" t="s">
        <v>28</v>
      </c>
      <c r="C88" s="4">
        <v>19281053</v>
      </c>
      <c r="D88" s="19" t="s">
        <v>142</v>
      </c>
      <c r="E88" s="21">
        <v>45966.8712847222</v>
      </c>
      <c r="F88" s="4">
        <v>651.71</v>
      </c>
      <c r="G88" s="4">
        <v>4.56</v>
      </c>
      <c r="H88" s="4">
        <v>647.15</v>
      </c>
      <c r="I88" s="4">
        <v>-4.51</v>
      </c>
      <c r="J88" s="4">
        <v>3.93</v>
      </c>
      <c r="K88" s="4">
        <v>-8.44</v>
      </c>
      <c r="L88" s="4">
        <v>73.31</v>
      </c>
      <c r="M88" s="4">
        <v>9750</v>
      </c>
      <c r="N88" s="4">
        <v>57.5</v>
      </c>
      <c r="O88" s="4">
        <v>7647.5</v>
      </c>
      <c r="P88" s="4" t="s">
        <v>34</v>
      </c>
      <c r="Q88" s="4" t="s">
        <v>30</v>
      </c>
      <c r="R88" s="4" t="s">
        <v>109</v>
      </c>
      <c r="S88" s="4">
        <v>0</v>
      </c>
      <c r="T88" s="4">
        <v>380</v>
      </c>
      <c r="U88" s="4">
        <v>0</v>
      </c>
      <c r="V88" s="4" t="s">
        <v>32</v>
      </c>
      <c r="W88" s="4" t="s">
        <v>32</v>
      </c>
      <c r="X88" s="4" t="s">
        <v>32</v>
      </c>
      <c r="Y88" s="4" t="s">
        <v>32</v>
      </c>
      <c r="Z88" s="4" t="s">
        <v>32</v>
      </c>
      <c r="AA88" s="4" t="s">
        <v>32</v>
      </c>
    </row>
    <row r="89" s="4" customFormat="1" spans="1:27">
      <c r="A89" s="4" t="s">
        <v>36</v>
      </c>
      <c r="B89" s="4" t="s">
        <v>28</v>
      </c>
      <c r="C89" s="4">
        <v>1706374</v>
      </c>
      <c r="D89" s="19" t="s">
        <v>143</v>
      </c>
      <c r="E89" s="21">
        <v>44012.2362731481</v>
      </c>
      <c r="F89" s="4">
        <v>277.97</v>
      </c>
      <c r="G89" s="4">
        <v>0</v>
      </c>
      <c r="H89" s="4">
        <v>277.97</v>
      </c>
      <c r="I89" s="4">
        <v>16.06</v>
      </c>
      <c r="J89" s="4">
        <v>0</v>
      </c>
      <c r="K89" s="4">
        <v>16.06</v>
      </c>
      <c r="L89" s="4">
        <v>51.28</v>
      </c>
      <c r="M89" s="4">
        <v>6820</v>
      </c>
      <c r="N89" s="4">
        <v>21.71</v>
      </c>
      <c r="O89" s="4">
        <v>2887.43</v>
      </c>
      <c r="P89" s="4" t="s">
        <v>34</v>
      </c>
      <c r="Q89" s="4" t="s">
        <v>30</v>
      </c>
      <c r="R89" s="4" t="s">
        <v>109</v>
      </c>
      <c r="S89" s="4">
        <v>0</v>
      </c>
      <c r="T89" s="4">
        <v>140</v>
      </c>
      <c r="U89" s="4">
        <v>0</v>
      </c>
      <c r="V89" s="4" t="s">
        <v>32</v>
      </c>
      <c r="W89" s="4" t="s">
        <v>32</v>
      </c>
      <c r="X89" s="4" t="s">
        <v>32</v>
      </c>
      <c r="Y89" s="4" t="s">
        <v>32</v>
      </c>
      <c r="Z89" s="4" t="s">
        <v>32</v>
      </c>
      <c r="AA89" s="4" t="s">
        <v>32</v>
      </c>
    </row>
    <row r="90" s="4" customFormat="1" spans="1:27">
      <c r="A90" s="4" t="s">
        <v>36</v>
      </c>
      <c r="B90" s="4" t="s">
        <v>28</v>
      </c>
      <c r="C90" s="4">
        <v>1019593</v>
      </c>
      <c r="D90" s="19" t="s">
        <v>144</v>
      </c>
      <c r="E90" s="21">
        <v>43993.3491435185</v>
      </c>
      <c r="F90" s="4">
        <v>163.58</v>
      </c>
      <c r="G90" s="4">
        <v>0.01</v>
      </c>
      <c r="H90" s="4">
        <v>163.57</v>
      </c>
      <c r="I90" s="4">
        <v>123.97</v>
      </c>
      <c r="J90" s="4">
        <v>0.01</v>
      </c>
      <c r="K90" s="4">
        <v>123.96</v>
      </c>
      <c r="L90" s="4">
        <v>127.71</v>
      </c>
      <c r="M90" s="4">
        <v>16985</v>
      </c>
      <c r="N90" s="4">
        <v>0</v>
      </c>
      <c r="O90" s="4">
        <v>0</v>
      </c>
      <c r="P90" s="4" t="s">
        <v>29</v>
      </c>
      <c r="Q90" s="4" t="s">
        <v>30</v>
      </c>
      <c r="R90" s="4" t="s">
        <v>109</v>
      </c>
      <c r="S90" s="4">
        <v>0</v>
      </c>
      <c r="T90" s="4">
        <v>0</v>
      </c>
      <c r="U90" s="4">
        <v>0</v>
      </c>
      <c r="V90" s="4" t="s">
        <v>32</v>
      </c>
      <c r="W90" s="4" t="s">
        <v>32</v>
      </c>
      <c r="X90" s="4" t="s">
        <v>32</v>
      </c>
      <c r="Y90" s="4" t="s">
        <v>32</v>
      </c>
      <c r="Z90" s="4" t="s">
        <v>32</v>
      </c>
      <c r="AA90" s="4" t="s">
        <v>32</v>
      </c>
    </row>
    <row r="91" s="4" customFormat="1" spans="1:27">
      <c r="A91" s="4" t="s">
        <v>36</v>
      </c>
      <c r="B91" s="4" t="s">
        <v>28</v>
      </c>
      <c r="C91" s="4">
        <v>22522135</v>
      </c>
      <c r="D91" s="19" t="s">
        <v>145</v>
      </c>
      <c r="E91" s="21">
        <v>46132.7246527778</v>
      </c>
      <c r="F91" s="4">
        <v>345.8</v>
      </c>
      <c r="G91" s="4">
        <v>0</v>
      </c>
      <c r="H91" s="4">
        <v>345.8</v>
      </c>
      <c r="I91" s="4">
        <v>-24.83</v>
      </c>
      <c r="J91" s="4">
        <v>0</v>
      </c>
      <c r="K91" s="4">
        <v>-24.83</v>
      </c>
      <c r="L91" s="4">
        <v>68.34</v>
      </c>
      <c r="M91" s="4">
        <v>9089</v>
      </c>
      <c r="N91" s="4">
        <v>64.92</v>
      </c>
      <c r="O91" s="4">
        <v>8634.36</v>
      </c>
      <c r="P91" s="4" t="s">
        <v>29</v>
      </c>
      <c r="Q91" s="4" t="s">
        <v>30</v>
      </c>
      <c r="R91" s="4" t="s">
        <v>109</v>
      </c>
      <c r="S91" s="4">
        <v>0</v>
      </c>
      <c r="T91" s="4">
        <v>430</v>
      </c>
      <c r="U91" s="4">
        <v>0</v>
      </c>
      <c r="V91" s="4" t="s">
        <v>32</v>
      </c>
      <c r="W91" s="4" t="s">
        <v>32</v>
      </c>
      <c r="X91" s="4" t="s">
        <v>32</v>
      </c>
      <c r="Y91" s="4" t="s">
        <v>32</v>
      </c>
      <c r="Z91" s="4" t="s">
        <v>32</v>
      </c>
      <c r="AA91" s="4" t="s">
        <v>32</v>
      </c>
    </row>
    <row r="92" s="4" customFormat="1" spans="1:27">
      <c r="A92" s="4" t="s">
        <v>36</v>
      </c>
      <c r="B92" s="4" t="s">
        <v>28</v>
      </c>
      <c r="C92" s="4">
        <v>10542134</v>
      </c>
      <c r="D92" s="19" t="s">
        <v>146</v>
      </c>
      <c r="E92" s="21">
        <v>45168.5224768519</v>
      </c>
      <c r="F92" s="4">
        <v>2019.09</v>
      </c>
      <c r="G92" s="4">
        <v>0.2</v>
      </c>
      <c r="H92" s="4">
        <v>2018.9</v>
      </c>
      <c r="I92" s="4">
        <v>79.71</v>
      </c>
      <c r="J92" s="4">
        <v>0.2</v>
      </c>
      <c r="K92" s="4">
        <v>79.51</v>
      </c>
      <c r="L92" s="4">
        <v>452.71</v>
      </c>
      <c r="M92" s="4">
        <v>60210</v>
      </c>
      <c r="N92" s="4">
        <v>241.07</v>
      </c>
      <c r="O92" s="4">
        <v>32062.31</v>
      </c>
      <c r="P92" s="4" t="s">
        <v>34</v>
      </c>
      <c r="Q92" s="4" t="s">
        <v>30</v>
      </c>
      <c r="R92" s="4" t="s">
        <v>109</v>
      </c>
      <c r="S92" s="4">
        <v>0</v>
      </c>
      <c r="T92" s="4">
        <v>1600</v>
      </c>
      <c r="U92" s="4">
        <v>0</v>
      </c>
      <c r="V92" s="4" t="s">
        <v>32</v>
      </c>
      <c r="W92" s="4" t="s">
        <v>32</v>
      </c>
      <c r="X92" s="4" t="s">
        <v>32</v>
      </c>
      <c r="Y92" s="4" t="s">
        <v>32</v>
      </c>
      <c r="Z92" s="4" t="s">
        <v>32</v>
      </c>
      <c r="AA92" s="4" t="s">
        <v>32</v>
      </c>
    </row>
    <row r="93" s="4" customFormat="1" spans="1:27">
      <c r="A93" s="4" t="s">
        <v>36</v>
      </c>
      <c r="B93" s="4" t="s">
        <v>28</v>
      </c>
      <c r="C93" s="4">
        <v>13833415</v>
      </c>
      <c r="D93" s="19" t="s">
        <v>147</v>
      </c>
      <c r="E93" s="21">
        <v>45560.8278819445</v>
      </c>
      <c r="F93" s="4">
        <v>3648.07</v>
      </c>
      <c r="G93" s="4">
        <v>0</v>
      </c>
      <c r="H93" s="4">
        <v>3648.07</v>
      </c>
      <c r="I93" s="4">
        <v>281.5</v>
      </c>
      <c r="J93" s="4">
        <v>0</v>
      </c>
      <c r="K93" s="4">
        <v>281.5</v>
      </c>
      <c r="L93" s="4">
        <v>706.92</v>
      </c>
      <c r="M93" s="4">
        <v>94020</v>
      </c>
      <c r="N93" s="4">
        <v>658.71</v>
      </c>
      <c r="O93" s="4">
        <v>87608.43</v>
      </c>
      <c r="P93" s="4" t="s">
        <v>34</v>
      </c>
      <c r="Q93" s="4" t="s">
        <v>30</v>
      </c>
      <c r="R93" s="4" t="s">
        <v>109</v>
      </c>
      <c r="S93" s="4">
        <v>0</v>
      </c>
      <c r="T93" s="4">
        <v>4380</v>
      </c>
      <c r="U93" s="4">
        <v>0</v>
      </c>
      <c r="V93" s="4" t="s">
        <v>32</v>
      </c>
      <c r="W93" s="4" t="s">
        <v>32</v>
      </c>
      <c r="X93" s="4" t="s">
        <v>32</v>
      </c>
      <c r="Y93" s="4" t="s">
        <v>32</v>
      </c>
      <c r="Z93" s="4" t="s">
        <v>32</v>
      </c>
      <c r="AA93" s="4" t="s">
        <v>32</v>
      </c>
    </row>
    <row r="94" s="4" customFormat="1" spans="1:27">
      <c r="A94" s="4" t="s">
        <v>36</v>
      </c>
      <c r="B94" s="4" t="s">
        <v>28</v>
      </c>
      <c r="C94" s="4">
        <v>21351414</v>
      </c>
      <c r="D94" s="19" t="s">
        <v>148</v>
      </c>
      <c r="E94" s="21">
        <v>46068.7384027778</v>
      </c>
      <c r="F94" s="4">
        <v>1616.83</v>
      </c>
      <c r="G94" s="4">
        <v>0</v>
      </c>
      <c r="H94" s="4">
        <v>1616.83</v>
      </c>
      <c r="I94" s="4">
        <v>152.61</v>
      </c>
      <c r="J94" s="4">
        <v>-0.51</v>
      </c>
      <c r="K94" s="4">
        <v>153.12</v>
      </c>
      <c r="L94" s="4">
        <v>415.84</v>
      </c>
      <c r="M94" s="4">
        <v>55307</v>
      </c>
      <c r="N94" s="4">
        <v>242.79</v>
      </c>
      <c r="O94" s="4">
        <v>32291.07</v>
      </c>
      <c r="P94" s="4" t="s">
        <v>34</v>
      </c>
      <c r="Q94" s="4" t="s">
        <v>30</v>
      </c>
      <c r="R94" s="4" t="s">
        <v>109</v>
      </c>
      <c r="S94" s="4">
        <v>0</v>
      </c>
      <c r="T94" s="4">
        <v>1610</v>
      </c>
      <c r="U94" s="4">
        <v>0</v>
      </c>
      <c r="V94" s="4" t="s">
        <v>32</v>
      </c>
      <c r="W94" s="4" t="s">
        <v>32</v>
      </c>
      <c r="X94" s="4" t="s">
        <v>32</v>
      </c>
      <c r="Y94" s="4" t="s">
        <v>32</v>
      </c>
      <c r="Z94" s="4" t="s">
        <v>32</v>
      </c>
      <c r="AA94" s="4" t="s">
        <v>32</v>
      </c>
    </row>
    <row r="95" s="4" customFormat="1" spans="1:27">
      <c r="A95" s="4" t="s">
        <v>36</v>
      </c>
      <c r="B95" s="4" t="s">
        <v>28</v>
      </c>
      <c r="C95" s="4">
        <v>19415165</v>
      </c>
      <c r="D95" s="19" t="s">
        <v>149</v>
      </c>
      <c r="E95" s="21">
        <v>45973.8513078704</v>
      </c>
      <c r="F95" s="4">
        <v>1147.96</v>
      </c>
      <c r="G95" s="4">
        <v>0</v>
      </c>
      <c r="H95" s="4">
        <v>1147.96</v>
      </c>
      <c r="I95" s="4">
        <v>44.06</v>
      </c>
      <c r="J95" s="4">
        <v>0</v>
      </c>
      <c r="K95" s="4">
        <v>44.06</v>
      </c>
      <c r="L95" s="4">
        <v>143.63</v>
      </c>
      <c r="M95" s="4">
        <v>19103</v>
      </c>
      <c r="N95" s="4">
        <v>71.76</v>
      </c>
      <c r="O95" s="4">
        <v>9544.08</v>
      </c>
      <c r="P95" s="4" t="s">
        <v>29</v>
      </c>
      <c r="Q95" s="4" t="s">
        <v>30</v>
      </c>
      <c r="R95" s="4" t="s">
        <v>109</v>
      </c>
      <c r="S95" s="4">
        <v>0</v>
      </c>
      <c r="T95" s="4">
        <v>480</v>
      </c>
      <c r="U95" s="4">
        <v>0</v>
      </c>
      <c r="V95" s="4" t="s">
        <v>32</v>
      </c>
      <c r="W95" s="4" t="s">
        <v>32</v>
      </c>
      <c r="X95" s="4" t="s">
        <v>32</v>
      </c>
      <c r="Y95" s="4" t="s">
        <v>32</v>
      </c>
      <c r="Z95" s="4" t="s">
        <v>32</v>
      </c>
      <c r="AA95" s="4" t="s">
        <v>32</v>
      </c>
    </row>
    <row r="96" s="4" customFormat="1" spans="1:27">
      <c r="A96" s="4" t="s">
        <v>36</v>
      </c>
      <c r="B96" s="4" t="s">
        <v>28</v>
      </c>
      <c r="C96" s="4">
        <v>5052925</v>
      </c>
      <c r="D96" s="19" t="s">
        <v>150</v>
      </c>
      <c r="E96" s="21">
        <v>44390.5396180555</v>
      </c>
      <c r="F96" s="4">
        <v>11356.23</v>
      </c>
      <c r="G96" s="4">
        <v>7.09</v>
      </c>
      <c r="H96" s="4">
        <v>11349.14</v>
      </c>
      <c r="I96" s="4">
        <v>577.71</v>
      </c>
      <c r="J96" s="4">
        <v>7.09</v>
      </c>
      <c r="K96" s="4">
        <v>570.62</v>
      </c>
      <c r="L96" s="4">
        <v>1986.86</v>
      </c>
      <c r="M96" s="4">
        <v>264253</v>
      </c>
      <c r="N96" s="4">
        <v>4.09</v>
      </c>
      <c r="O96" s="4">
        <v>543.97</v>
      </c>
      <c r="P96" s="4" t="s">
        <v>34</v>
      </c>
      <c r="Q96" s="4" t="s">
        <v>33</v>
      </c>
      <c r="R96" s="4" t="s">
        <v>109</v>
      </c>
      <c r="S96" s="4">
        <v>0</v>
      </c>
      <c r="T96" s="4">
        <v>30</v>
      </c>
      <c r="U96" s="4">
        <v>0</v>
      </c>
      <c r="V96" s="4" t="s">
        <v>32</v>
      </c>
      <c r="W96" s="4" t="s">
        <v>32</v>
      </c>
      <c r="X96" s="4" t="s">
        <v>32</v>
      </c>
      <c r="Y96" s="4" t="s">
        <v>32</v>
      </c>
      <c r="Z96" s="4" t="s">
        <v>32</v>
      </c>
      <c r="AA96" s="4" t="s">
        <v>32</v>
      </c>
    </row>
    <row r="97" s="4" customFormat="1" spans="1:27">
      <c r="A97" s="4" t="s">
        <v>36</v>
      </c>
      <c r="B97" s="4" t="s">
        <v>28</v>
      </c>
      <c r="C97" s="4">
        <v>19828865</v>
      </c>
      <c r="D97" s="19" t="s">
        <v>151</v>
      </c>
      <c r="E97" s="21">
        <v>45992.6040393518</v>
      </c>
      <c r="F97" s="4">
        <v>13106.94</v>
      </c>
      <c r="G97" s="4">
        <v>0</v>
      </c>
      <c r="H97" s="4">
        <v>13106.94</v>
      </c>
      <c r="I97" s="4">
        <v>544.38</v>
      </c>
      <c r="J97" s="4">
        <v>0</v>
      </c>
      <c r="K97" s="4">
        <v>544.38</v>
      </c>
      <c r="L97" s="4">
        <v>1077.22</v>
      </c>
      <c r="M97" s="4">
        <v>143270</v>
      </c>
      <c r="N97" s="4">
        <v>177.14</v>
      </c>
      <c r="O97" s="4">
        <v>23559.62</v>
      </c>
      <c r="P97" s="4" t="s">
        <v>29</v>
      </c>
      <c r="Q97" s="4" t="s">
        <v>33</v>
      </c>
      <c r="R97" s="4" t="s">
        <v>109</v>
      </c>
      <c r="S97" s="4">
        <v>0</v>
      </c>
      <c r="T97" s="4">
        <v>1180</v>
      </c>
      <c r="U97" s="4">
        <v>0</v>
      </c>
      <c r="V97" s="4" t="s">
        <v>32</v>
      </c>
      <c r="W97" s="4" t="s">
        <v>32</v>
      </c>
      <c r="X97" s="4" t="s">
        <v>32</v>
      </c>
      <c r="Y97" s="4" t="s">
        <v>32</v>
      </c>
      <c r="Z97" s="4" t="s">
        <v>32</v>
      </c>
      <c r="AA97" s="4" t="s">
        <v>32</v>
      </c>
    </row>
    <row r="98" s="4" customFormat="1" spans="1:27">
      <c r="A98" s="4" t="s">
        <v>36</v>
      </c>
      <c r="B98" s="4" t="s">
        <v>28</v>
      </c>
      <c r="C98" s="4">
        <v>17079535</v>
      </c>
      <c r="D98" s="19" t="s">
        <v>152</v>
      </c>
      <c r="E98" s="21">
        <v>45828.8798726852</v>
      </c>
      <c r="F98" s="4">
        <v>675.8</v>
      </c>
      <c r="G98" s="4">
        <v>0.03</v>
      </c>
      <c r="H98" s="4">
        <v>675.77</v>
      </c>
      <c r="I98" s="4">
        <v>56.86</v>
      </c>
      <c r="J98" s="4">
        <v>0</v>
      </c>
      <c r="K98" s="4">
        <v>56.86</v>
      </c>
      <c r="L98" s="4">
        <v>107.95</v>
      </c>
      <c r="M98" s="4">
        <v>14357</v>
      </c>
      <c r="N98" s="4">
        <v>2.14</v>
      </c>
      <c r="O98" s="4">
        <v>284.62</v>
      </c>
      <c r="P98" s="4" t="s">
        <v>34</v>
      </c>
      <c r="Q98" s="4" t="s">
        <v>30</v>
      </c>
      <c r="R98" s="4" t="s">
        <v>109</v>
      </c>
      <c r="S98" s="4">
        <v>0</v>
      </c>
      <c r="T98" s="4">
        <v>10</v>
      </c>
      <c r="U98" s="4">
        <v>0</v>
      </c>
      <c r="V98" s="4" t="s">
        <v>32</v>
      </c>
      <c r="W98" s="4" t="s">
        <v>32</v>
      </c>
      <c r="X98" s="4" t="s">
        <v>32</v>
      </c>
      <c r="Y98" s="4" t="s">
        <v>32</v>
      </c>
      <c r="Z98" s="4" t="s">
        <v>32</v>
      </c>
      <c r="AA98" s="4" t="s">
        <v>32</v>
      </c>
    </row>
    <row r="99" s="4" customFormat="1" spans="1:27">
      <c r="A99" s="4" t="s">
        <v>36</v>
      </c>
      <c r="B99" s="4" t="s">
        <v>28</v>
      </c>
      <c r="C99" s="4">
        <v>11864445</v>
      </c>
      <c r="D99" s="19" t="s">
        <v>153</v>
      </c>
      <c r="E99" s="21">
        <v>45291.7533449074</v>
      </c>
      <c r="F99" s="4">
        <v>487.42</v>
      </c>
      <c r="G99" s="4">
        <v>1.35</v>
      </c>
      <c r="H99" s="4">
        <v>486.07</v>
      </c>
      <c r="I99" s="4">
        <v>-7.46</v>
      </c>
      <c r="J99" s="4">
        <v>1.35</v>
      </c>
      <c r="K99" s="4">
        <v>-8.81</v>
      </c>
      <c r="L99" s="4">
        <v>95.5</v>
      </c>
      <c r="M99" s="4">
        <v>12702</v>
      </c>
      <c r="N99" s="4">
        <v>14.04</v>
      </c>
      <c r="O99" s="4">
        <v>1867.32</v>
      </c>
      <c r="P99" s="4" t="s">
        <v>34</v>
      </c>
      <c r="Q99" s="4" t="s">
        <v>30</v>
      </c>
      <c r="R99" s="4" t="s">
        <v>109</v>
      </c>
      <c r="S99" s="4">
        <v>0</v>
      </c>
      <c r="T99" s="4">
        <v>90</v>
      </c>
      <c r="U99" s="4">
        <v>0</v>
      </c>
      <c r="V99" s="4" t="s">
        <v>32</v>
      </c>
      <c r="W99" s="4" t="s">
        <v>32</v>
      </c>
      <c r="X99" s="4" t="s">
        <v>32</v>
      </c>
      <c r="Y99" s="4" t="s">
        <v>32</v>
      </c>
      <c r="Z99" s="4" t="s">
        <v>32</v>
      </c>
      <c r="AA99" s="4" t="s">
        <v>32</v>
      </c>
    </row>
    <row r="100" s="4" customFormat="1" spans="1:27">
      <c r="A100" s="4" t="s">
        <v>36</v>
      </c>
      <c r="B100" s="4" t="s">
        <v>28</v>
      </c>
      <c r="C100" s="4">
        <v>17350954</v>
      </c>
      <c r="D100" s="19" t="s">
        <v>154</v>
      </c>
      <c r="E100" s="21">
        <v>45848.5603587963</v>
      </c>
      <c r="F100" s="4">
        <v>311.14</v>
      </c>
      <c r="G100" s="4">
        <v>0.05</v>
      </c>
      <c r="H100" s="4">
        <v>311.09</v>
      </c>
      <c r="I100" s="4">
        <v>-18.73</v>
      </c>
      <c r="J100" s="4">
        <v>0.05</v>
      </c>
      <c r="K100" s="4">
        <v>-18.79</v>
      </c>
      <c r="L100" s="4">
        <v>95.42</v>
      </c>
      <c r="M100" s="4">
        <v>12691</v>
      </c>
      <c r="N100" s="4">
        <v>2.86</v>
      </c>
      <c r="O100" s="4">
        <v>380.38</v>
      </c>
      <c r="P100" s="4" t="s">
        <v>29</v>
      </c>
      <c r="Q100" s="4" t="s">
        <v>30</v>
      </c>
      <c r="R100" s="4" t="s">
        <v>109</v>
      </c>
      <c r="S100" s="4">
        <v>0</v>
      </c>
      <c r="T100" s="4">
        <v>20</v>
      </c>
      <c r="U100" s="4">
        <v>0</v>
      </c>
      <c r="V100" s="4" t="s">
        <v>32</v>
      </c>
      <c r="W100" s="4" t="s">
        <v>32</v>
      </c>
      <c r="X100" s="4" t="s">
        <v>32</v>
      </c>
      <c r="Y100" s="4" t="s">
        <v>32</v>
      </c>
      <c r="Z100" s="4" t="s">
        <v>32</v>
      </c>
      <c r="AA100" s="4" t="s">
        <v>32</v>
      </c>
    </row>
    <row r="101" s="4" customFormat="1" spans="1:27">
      <c r="A101" s="4" t="s">
        <v>36</v>
      </c>
      <c r="B101" s="4" t="s">
        <v>28</v>
      </c>
      <c r="C101" s="4">
        <v>11116973</v>
      </c>
      <c r="D101" s="19" t="s">
        <v>155</v>
      </c>
      <c r="E101" s="21">
        <v>45227.8757291667</v>
      </c>
      <c r="F101" s="4">
        <v>197.36</v>
      </c>
      <c r="G101" s="4">
        <v>0</v>
      </c>
      <c r="H101" s="4">
        <v>197.36</v>
      </c>
      <c r="I101" s="4">
        <v>66.8</v>
      </c>
      <c r="J101" s="4">
        <v>0</v>
      </c>
      <c r="K101" s="4">
        <v>66.8</v>
      </c>
      <c r="L101" s="4">
        <v>83.92</v>
      </c>
      <c r="M101" s="4">
        <v>11162</v>
      </c>
      <c r="N101" s="4">
        <v>79.73</v>
      </c>
      <c r="O101" s="4">
        <v>10604.09</v>
      </c>
      <c r="P101" s="4" t="s">
        <v>29</v>
      </c>
      <c r="Q101" s="4" t="s">
        <v>30</v>
      </c>
      <c r="R101" s="4" t="s">
        <v>109</v>
      </c>
      <c r="S101" s="4">
        <v>0</v>
      </c>
      <c r="T101" s="4">
        <v>530</v>
      </c>
      <c r="U101" s="4">
        <v>0</v>
      </c>
      <c r="V101" s="4" t="s">
        <v>32</v>
      </c>
      <c r="W101" s="4" t="s">
        <v>32</v>
      </c>
      <c r="X101" s="4" t="s">
        <v>32</v>
      </c>
      <c r="Y101" s="4" t="s">
        <v>32</v>
      </c>
      <c r="Z101" s="4" t="s">
        <v>32</v>
      </c>
      <c r="AA101" s="4" t="s">
        <v>32</v>
      </c>
    </row>
    <row r="102" s="4" customFormat="1" spans="1:27">
      <c r="A102" s="4" t="s">
        <v>36</v>
      </c>
      <c r="B102" s="4" t="s">
        <v>28</v>
      </c>
      <c r="C102" s="4">
        <v>17781744</v>
      </c>
      <c r="D102" s="19" t="s">
        <v>156</v>
      </c>
      <c r="E102" s="21">
        <v>45875.9773726852</v>
      </c>
      <c r="F102" s="4">
        <v>545.44</v>
      </c>
      <c r="G102" s="4">
        <v>6.91</v>
      </c>
      <c r="H102" s="4">
        <v>538.53</v>
      </c>
      <c r="I102" s="4">
        <v>11.08</v>
      </c>
      <c r="J102" s="4">
        <v>-1.5</v>
      </c>
      <c r="K102" s="4">
        <v>12.63</v>
      </c>
      <c r="L102" s="4">
        <v>82.51</v>
      </c>
      <c r="M102" s="4">
        <v>10974</v>
      </c>
      <c r="N102" s="4">
        <v>49.26</v>
      </c>
      <c r="O102" s="4">
        <v>6551.58</v>
      </c>
      <c r="P102" s="4" t="s">
        <v>34</v>
      </c>
      <c r="Q102" s="4" t="s">
        <v>30</v>
      </c>
      <c r="R102" s="4" t="s">
        <v>109</v>
      </c>
      <c r="S102" s="4">
        <v>0</v>
      </c>
      <c r="T102" s="4">
        <v>330</v>
      </c>
      <c r="U102" s="4">
        <v>0</v>
      </c>
      <c r="V102" s="4" t="s">
        <v>32</v>
      </c>
      <c r="W102" s="4" t="s">
        <v>32</v>
      </c>
      <c r="X102" s="4" t="s">
        <v>32</v>
      </c>
      <c r="Y102" s="4" t="s">
        <v>32</v>
      </c>
      <c r="Z102" s="4" t="s">
        <v>32</v>
      </c>
      <c r="AA102" s="4" t="s">
        <v>32</v>
      </c>
    </row>
    <row r="103" s="4" customFormat="1" spans="1:27">
      <c r="A103" s="4" t="s">
        <v>36</v>
      </c>
      <c r="B103" s="4" t="s">
        <v>28</v>
      </c>
      <c r="C103" s="4">
        <v>17726024</v>
      </c>
      <c r="D103" s="19" t="s">
        <v>157</v>
      </c>
      <c r="E103" s="21">
        <v>45871.6219791667</v>
      </c>
      <c r="F103" s="4">
        <v>473.13</v>
      </c>
      <c r="G103" s="4">
        <v>0</v>
      </c>
      <c r="H103" s="4">
        <v>473.13</v>
      </c>
      <c r="I103" s="4">
        <v>32.16</v>
      </c>
      <c r="J103" s="4">
        <v>0</v>
      </c>
      <c r="K103" s="4">
        <v>32.16</v>
      </c>
      <c r="L103" s="4">
        <v>93.89</v>
      </c>
      <c r="M103" s="4">
        <v>12487</v>
      </c>
      <c r="N103" s="4">
        <v>35.56</v>
      </c>
      <c r="O103" s="4">
        <v>4729.48</v>
      </c>
      <c r="P103" s="4" t="s">
        <v>29</v>
      </c>
      <c r="Q103" s="4" t="s">
        <v>30</v>
      </c>
      <c r="R103" s="4" t="s">
        <v>109</v>
      </c>
      <c r="S103" s="4">
        <v>0</v>
      </c>
      <c r="T103" s="4">
        <v>240</v>
      </c>
      <c r="U103" s="4">
        <v>0</v>
      </c>
      <c r="V103" s="4" t="s">
        <v>32</v>
      </c>
      <c r="W103" s="4" t="s">
        <v>32</v>
      </c>
      <c r="X103" s="4" t="s">
        <v>32</v>
      </c>
      <c r="Y103" s="4" t="s">
        <v>32</v>
      </c>
      <c r="Z103" s="4" t="s">
        <v>32</v>
      </c>
      <c r="AA103" s="4" t="s">
        <v>32</v>
      </c>
    </row>
    <row r="104" s="4" customFormat="1" spans="1:27">
      <c r="A104" s="4" t="s">
        <v>36</v>
      </c>
      <c r="B104" s="4" t="s">
        <v>28</v>
      </c>
      <c r="C104" s="4">
        <v>22815593</v>
      </c>
      <c r="D104" s="19" t="s">
        <v>158</v>
      </c>
      <c r="E104" s="21">
        <v>46152.7640740741</v>
      </c>
      <c r="F104" s="4">
        <v>236.84</v>
      </c>
      <c r="G104" s="4">
        <v>0</v>
      </c>
      <c r="H104" s="4">
        <v>236.84</v>
      </c>
      <c r="I104" s="4">
        <v>109.02</v>
      </c>
      <c r="J104" s="4">
        <v>0</v>
      </c>
      <c r="K104" s="4">
        <v>109.02</v>
      </c>
      <c r="L104" s="4">
        <v>375.94</v>
      </c>
      <c r="M104" s="4">
        <v>50000</v>
      </c>
      <c r="N104" s="4">
        <v>357.14</v>
      </c>
      <c r="O104" s="4">
        <v>47499.62</v>
      </c>
      <c r="P104" s="4" t="s">
        <v>29</v>
      </c>
      <c r="Q104" s="4" t="s">
        <v>30</v>
      </c>
      <c r="R104" s="4" t="s">
        <v>109</v>
      </c>
      <c r="S104" s="4">
        <v>0</v>
      </c>
      <c r="T104" s="4">
        <v>2370</v>
      </c>
      <c r="U104" s="4">
        <v>0</v>
      </c>
      <c r="V104" s="4" t="s">
        <v>32</v>
      </c>
      <c r="W104" s="4" t="s">
        <v>32</v>
      </c>
      <c r="X104" s="4" t="s">
        <v>32</v>
      </c>
      <c r="Y104" s="4" t="s">
        <v>32</v>
      </c>
      <c r="Z104" s="4" t="s">
        <v>32</v>
      </c>
      <c r="AA104" s="4" t="s">
        <v>32</v>
      </c>
    </row>
    <row r="105" s="4" customFormat="1" spans="1:27">
      <c r="A105" s="4" t="s">
        <v>36</v>
      </c>
      <c r="B105" s="4" t="s">
        <v>28</v>
      </c>
      <c r="C105" s="4">
        <v>1112585</v>
      </c>
      <c r="D105" s="19" t="s">
        <v>159</v>
      </c>
      <c r="E105" s="21">
        <v>43999.3704976852</v>
      </c>
      <c r="F105" s="4">
        <v>1285.94</v>
      </c>
      <c r="G105" s="4">
        <v>6.2</v>
      </c>
      <c r="H105" s="4">
        <v>1279.75</v>
      </c>
      <c r="I105" s="4">
        <v>-11.83</v>
      </c>
      <c r="J105" s="4">
        <v>2.84</v>
      </c>
      <c r="K105" s="4">
        <v>-14.68</v>
      </c>
      <c r="L105" s="4">
        <v>203.76</v>
      </c>
      <c r="M105" s="4">
        <v>27100</v>
      </c>
      <c r="N105" s="4">
        <v>192.5</v>
      </c>
      <c r="O105" s="4">
        <v>25602.5</v>
      </c>
      <c r="P105" s="4" t="s">
        <v>29</v>
      </c>
      <c r="Q105" s="4" t="s">
        <v>30</v>
      </c>
      <c r="R105" s="4" t="s">
        <v>109</v>
      </c>
      <c r="S105" s="4">
        <v>0</v>
      </c>
      <c r="T105" s="4">
        <v>1280</v>
      </c>
      <c r="U105" s="4">
        <v>0</v>
      </c>
      <c r="V105" s="4" t="s">
        <v>32</v>
      </c>
      <c r="W105" s="4" t="s">
        <v>32</v>
      </c>
      <c r="X105" s="4" t="s">
        <v>32</v>
      </c>
      <c r="Y105" s="4" t="s">
        <v>32</v>
      </c>
      <c r="Z105" s="4" t="s">
        <v>32</v>
      </c>
      <c r="AA105" s="4" t="s">
        <v>32</v>
      </c>
    </row>
    <row r="106" s="4" customFormat="1" spans="1:27">
      <c r="A106" s="4" t="s">
        <v>36</v>
      </c>
      <c r="B106" s="4" t="s">
        <v>28</v>
      </c>
      <c r="C106" s="4">
        <v>21638743</v>
      </c>
      <c r="D106" s="19" t="s">
        <v>160</v>
      </c>
      <c r="E106" s="21">
        <v>46082.5604050926</v>
      </c>
      <c r="F106" s="4">
        <v>3772.55</v>
      </c>
      <c r="G106" s="4">
        <v>0</v>
      </c>
      <c r="H106" s="4">
        <v>3772.55</v>
      </c>
      <c r="I106" s="4">
        <v>-128.83</v>
      </c>
      <c r="J106" s="4">
        <v>0</v>
      </c>
      <c r="K106" s="4">
        <v>-128.83</v>
      </c>
      <c r="L106" s="4">
        <v>568.22</v>
      </c>
      <c r="M106" s="4">
        <v>75573</v>
      </c>
      <c r="N106" s="4">
        <v>534.18</v>
      </c>
      <c r="O106" s="4">
        <v>71045.94</v>
      </c>
      <c r="P106" s="4" t="s">
        <v>29</v>
      </c>
      <c r="Q106" s="4" t="s">
        <v>30</v>
      </c>
      <c r="R106" s="4" t="s">
        <v>109</v>
      </c>
      <c r="S106" s="4">
        <v>0</v>
      </c>
      <c r="T106" s="4">
        <v>3550</v>
      </c>
      <c r="U106" s="4">
        <v>0</v>
      </c>
      <c r="V106" s="4" t="s">
        <v>32</v>
      </c>
      <c r="W106" s="4" t="s">
        <v>32</v>
      </c>
      <c r="X106" s="4" t="s">
        <v>32</v>
      </c>
      <c r="Y106" s="4" t="s">
        <v>32</v>
      </c>
      <c r="Z106" s="4" t="s">
        <v>32</v>
      </c>
      <c r="AA106" s="4" t="s">
        <v>32</v>
      </c>
    </row>
    <row r="107" s="4" customFormat="1" spans="1:27">
      <c r="A107" s="4" t="s">
        <v>36</v>
      </c>
      <c r="B107" s="4" t="s">
        <v>28</v>
      </c>
      <c r="C107" s="4">
        <v>22296784</v>
      </c>
      <c r="D107" s="19" t="s">
        <v>161</v>
      </c>
      <c r="E107" s="21">
        <v>46119.6770833333</v>
      </c>
      <c r="F107" s="4">
        <v>504.2</v>
      </c>
      <c r="G107" s="4">
        <v>0.41</v>
      </c>
      <c r="H107" s="4">
        <v>503.79</v>
      </c>
      <c r="I107" s="4">
        <v>26.84</v>
      </c>
      <c r="J107" s="4">
        <v>-0.39</v>
      </c>
      <c r="K107" s="4">
        <v>27.22</v>
      </c>
      <c r="L107" s="4">
        <v>69.35</v>
      </c>
      <c r="M107" s="4">
        <v>9224</v>
      </c>
      <c r="N107" s="4">
        <v>65.89</v>
      </c>
      <c r="O107" s="4">
        <v>8763.37</v>
      </c>
      <c r="P107" s="4" t="s">
        <v>29</v>
      </c>
      <c r="Q107" s="4" t="s">
        <v>30</v>
      </c>
      <c r="R107" s="4" t="s">
        <v>109</v>
      </c>
      <c r="S107" s="4">
        <v>0</v>
      </c>
      <c r="T107" s="4">
        <v>440</v>
      </c>
      <c r="U107" s="4">
        <v>0</v>
      </c>
      <c r="V107" s="4" t="s">
        <v>32</v>
      </c>
      <c r="W107" s="4" t="s">
        <v>32</v>
      </c>
      <c r="X107" s="4" t="s">
        <v>32</v>
      </c>
      <c r="Y107" s="4" t="s">
        <v>32</v>
      </c>
      <c r="Z107" s="4" t="s">
        <v>32</v>
      </c>
      <c r="AA107" s="4" t="s">
        <v>32</v>
      </c>
    </row>
    <row r="109" s="4" customFormat="1" spans="1:27">
      <c r="A109" s="4" t="s">
        <v>104</v>
      </c>
      <c r="B109" s="4" t="s">
        <v>28</v>
      </c>
      <c r="C109" s="4">
        <v>20308074</v>
      </c>
      <c r="D109" s="19">
        <v>254108886751</v>
      </c>
      <c r="E109" s="21">
        <v>46016.2586805555</v>
      </c>
      <c r="F109" s="4">
        <v>423.07</v>
      </c>
      <c r="G109" s="4">
        <v>0</v>
      </c>
      <c r="H109" s="4">
        <v>423.07</v>
      </c>
      <c r="I109" s="4">
        <v>11.84</v>
      </c>
      <c r="J109" s="4">
        <v>0</v>
      </c>
      <c r="K109" s="4">
        <v>11.84</v>
      </c>
      <c r="L109" s="4">
        <v>98.84</v>
      </c>
      <c r="M109" s="4">
        <v>13146</v>
      </c>
      <c r="N109" s="4">
        <v>59.99</v>
      </c>
      <c r="O109" s="4">
        <v>7979.05</v>
      </c>
      <c r="P109" s="4" t="s">
        <v>29</v>
      </c>
      <c r="Q109" s="4" t="s">
        <v>30</v>
      </c>
      <c r="R109" s="4" t="s">
        <v>109</v>
      </c>
      <c r="S109" s="4">
        <v>0</v>
      </c>
      <c r="T109" s="4">
        <v>400</v>
      </c>
      <c r="U109" s="4">
        <v>0</v>
      </c>
      <c r="V109" s="4" t="s">
        <v>32</v>
      </c>
      <c r="W109" s="4" t="s">
        <v>32</v>
      </c>
      <c r="X109" s="4" t="s">
        <v>32</v>
      </c>
      <c r="Y109" s="4" t="s">
        <v>32</v>
      </c>
      <c r="Z109" s="4" t="s">
        <v>32</v>
      </c>
      <c r="AA109" s="4" t="s">
        <v>32</v>
      </c>
    </row>
    <row r="110" s="4" customFormat="1" spans="1:27">
      <c r="A110" s="4" t="s">
        <v>104</v>
      </c>
      <c r="B110" s="4" t="s">
        <v>28</v>
      </c>
      <c r="C110" s="4">
        <v>12856034</v>
      </c>
      <c r="D110" s="19">
        <v>254111233467</v>
      </c>
      <c r="E110" s="21">
        <v>45411.7442824074</v>
      </c>
      <c r="F110" s="4">
        <v>764.69</v>
      </c>
      <c r="G110" s="4">
        <v>0.32</v>
      </c>
      <c r="H110" s="4">
        <v>764.37</v>
      </c>
      <c r="I110" s="4">
        <v>38.92</v>
      </c>
      <c r="J110" s="4">
        <v>0.3</v>
      </c>
      <c r="K110" s="4">
        <v>38.62</v>
      </c>
      <c r="L110" s="4">
        <v>85.89</v>
      </c>
      <c r="M110" s="4">
        <v>11423</v>
      </c>
      <c r="N110" s="4">
        <v>74.39</v>
      </c>
      <c r="O110" s="4">
        <v>9894.25</v>
      </c>
      <c r="P110" s="4" t="s">
        <v>29</v>
      </c>
      <c r="Q110" s="4" t="s">
        <v>30</v>
      </c>
      <c r="R110" s="4" t="s">
        <v>109</v>
      </c>
      <c r="S110" s="4">
        <v>0</v>
      </c>
      <c r="T110" s="4">
        <v>490</v>
      </c>
      <c r="U110" s="4">
        <v>0</v>
      </c>
      <c r="V110" s="4" t="s">
        <v>32</v>
      </c>
      <c r="W110" s="4" t="s">
        <v>32</v>
      </c>
      <c r="X110" s="4" t="s">
        <v>32</v>
      </c>
      <c r="Y110" s="4" t="s">
        <v>32</v>
      </c>
      <c r="Z110" s="4" t="s">
        <v>32</v>
      </c>
      <c r="AA110" s="4" t="s">
        <v>32</v>
      </c>
    </row>
    <row r="111" s="4" customFormat="1" spans="1:27">
      <c r="A111" s="4" t="s">
        <v>104</v>
      </c>
      <c r="B111" s="4" t="s">
        <v>28</v>
      </c>
      <c r="C111" s="4">
        <v>11420544</v>
      </c>
      <c r="D111" s="19">
        <v>254111452221</v>
      </c>
      <c r="E111" s="21">
        <v>45251.2360416667</v>
      </c>
      <c r="F111" s="4">
        <v>4279.34</v>
      </c>
      <c r="G111" s="4">
        <v>0</v>
      </c>
      <c r="H111" s="4">
        <v>4279.34</v>
      </c>
      <c r="I111" s="4">
        <v>71.47</v>
      </c>
      <c r="J111" s="4">
        <v>0</v>
      </c>
      <c r="K111" s="4">
        <v>71.47</v>
      </c>
      <c r="L111" s="4">
        <v>647.18</v>
      </c>
      <c r="M111" s="4">
        <v>86075</v>
      </c>
      <c r="N111" s="4">
        <v>184.27</v>
      </c>
      <c r="O111" s="4">
        <v>24508.5</v>
      </c>
      <c r="P111" s="4" t="s">
        <v>29</v>
      </c>
      <c r="Q111" s="4" t="s">
        <v>30</v>
      </c>
      <c r="R111" s="4" t="s">
        <v>109</v>
      </c>
      <c r="S111" s="4">
        <v>0</v>
      </c>
      <c r="T111" s="4">
        <v>1230</v>
      </c>
      <c r="U111" s="4">
        <v>0</v>
      </c>
      <c r="V111" s="4" t="s">
        <v>32</v>
      </c>
      <c r="W111" s="4" t="s">
        <v>32</v>
      </c>
      <c r="X111" s="4" t="s">
        <v>32</v>
      </c>
      <c r="Y111" s="4" t="s">
        <v>32</v>
      </c>
      <c r="Z111" s="4" t="s">
        <v>32</v>
      </c>
      <c r="AA111" s="4" t="s">
        <v>32</v>
      </c>
    </row>
    <row r="112" s="4" customFormat="1" spans="1:27">
      <c r="A112" s="4" t="s">
        <v>104</v>
      </c>
      <c r="B112" s="4" t="s">
        <v>28</v>
      </c>
      <c r="C112" s="4">
        <v>2225093</v>
      </c>
      <c r="D112" s="19">
        <v>254111566755</v>
      </c>
      <c r="E112" s="21">
        <v>44060.3774768518</v>
      </c>
      <c r="F112" s="4">
        <v>168.96</v>
      </c>
      <c r="G112" s="4">
        <v>62.96</v>
      </c>
      <c r="H112" s="4">
        <v>106</v>
      </c>
      <c r="I112" s="4">
        <v>46.8</v>
      </c>
      <c r="J112" s="4">
        <v>40.94</v>
      </c>
      <c r="K112" s="4">
        <v>5.86</v>
      </c>
      <c r="L112" s="4">
        <v>77.66</v>
      </c>
      <c r="M112" s="4">
        <v>10329</v>
      </c>
      <c r="N112" s="4">
        <v>0</v>
      </c>
      <c r="O112" s="4">
        <v>0</v>
      </c>
      <c r="P112" s="4" t="s">
        <v>35</v>
      </c>
      <c r="Q112" s="4" t="s">
        <v>30</v>
      </c>
      <c r="R112" s="4" t="s">
        <v>109</v>
      </c>
      <c r="S112" s="4">
        <v>2000</v>
      </c>
      <c r="T112" s="4">
        <v>0</v>
      </c>
      <c r="U112" s="4">
        <v>0</v>
      </c>
      <c r="V112" s="4" t="s">
        <v>32</v>
      </c>
      <c r="W112" s="4" t="s">
        <v>32</v>
      </c>
      <c r="X112" s="4" t="s">
        <v>32</v>
      </c>
      <c r="Y112" s="4" t="s">
        <v>32</v>
      </c>
      <c r="Z112" s="4" t="s">
        <v>32</v>
      </c>
      <c r="AA112" s="4" t="s">
        <v>32</v>
      </c>
    </row>
    <row r="113" s="4" customFormat="1" spans="1:27">
      <c r="A113" s="4" t="s">
        <v>104</v>
      </c>
      <c r="B113" s="4" t="s">
        <v>28</v>
      </c>
      <c r="C113" s="4">
        <v>14626564</v>
      </c>
      <c r="D113" s="19">
        <v>254111707474</v>
      </c>
      <c r="E113" s="21">
        <v>45609.1309375</v>
      </c>
      <c r="F113" s="4">
        <v>782.83</v>
      </c>
      <c r="G113" s="4">
        <v>0</v>
      </c>
      <c r="H113" s="4">
        <v>782.83</v>
      </c>
      <c r="I113" s="4">
        <v>-18.83</v>
      </c>
      <c r="J113" s="4">
        <v>0</v>
      </c>
      <c r="K113" s="4">
        <v>-18.83</v>
      </c>
      <c r="L113" s="4">
        <v>123.83</v>
      </c>
      <c r="M113" s="4">
        <v>16470</v>
      </c>
      <c r="N113" s="4">
        <v>13.76</v>
      </c>
      <c r="O113" s="4">
        <v>1829.7</v>
      </c>
      <c r="P113" s="4" t="s">
        <v>29</v>
      </c>
      <c r="Q113" s="4" t="s">
        <v>30</v>
      </c>
      <c r="R113" s="4" t="s">
        <v>109</v>
      </c>
      <c r="S113" s="4">
        <v>0</v>
      </c>
      <c r="T113" s="4">
        <v>90</v>
      </c>
      <c r="U113" s="4">
        <v>0</v>
      </c>
      <c r="V113" s="4" t="s">
        <v>32</v>
      </c>
      <c r="W113" s="4" t="s">
        <v>32</v>
      </c>
      <c r="X113" s="4" t="s">
        <v>32</v>
      </c>
      <c r="Y113" s="4" t="s">
        <v>32</v>
      </c>
      <c r="Z113" s="4" t="s">
        <v>32</v>
      </c>
      <c r="AA113" s="4" t="s">
        <v>32</v>
      </c>
    </row>
    <row r="114" s="4" customFormat="1" spans="1:27">
      <c r="A114" s="4" t="s">
        <v>104</v>
      </c>
      <c r="B114" s="4" t="s">
        <v>28</v>
      </c>
      <c r="C114" s="4">
        <v>17730983</v>
      </c>
      <c r="D114" s="19">
        <v>254115278141</v>
      </c>
      <c r="E114" s="21">
        <v>45871.9252083333</v>
      </c>
      <c r="F114" s="4">
        <v>167.35</v>
      </c>
      <c r="G114" s="4">
        <v>9.3</v>
      </c>
      <c r="H114" s="4">
        <v>158.05</v>
      </c>
      <c r="I114" s="4">
        <v>14.65</v>
      </c>
      <c r="J114" s="4">
        <v>8.12</v>
      </c>
      <c r="K114" s="4">
        <v>7.29</v>
      </c>
      <c r="L114" s="4">
        <v>65.44</v>
      </c>
      <c r="M114" s="4">
        <v>8704</v>
      </c>
      <c r="N114" s="4">
        <v>8.02</v>
      </c>
      <c r="O114" s="4">
        <v>1066.85</v>
      </c>
      <c r="P114" s="4" t="s">
        <v>34</v>
      </c>
      <c r="Q114" s="4" t="s">
        <v>30</v>
      </c>
      <c r="R114" s="4" t="s">
        <v>109</v>
      </c>
      <c r="S114" s="4">
        <v>0</v>
      </c>
      <c r="T114" s="4">
        <v>50</v>
      </c>
      <c r="U114" s="4">
        <v>0</v>
      </c>
      <c r="V114" s="4" t="s">
        <v>32</v>
      </c>
      <c r="W114" s="4" t="s">
        <v>32</v>
      </c>
      <c r="X114" s="4" t="s">
        <v>32</v>
      </c>
      <c r="Y114" s="4" t="s">
        <v>32</v>
      </c>
      <c r="Z114" s="4" t="s">
        <v>32</v>
      </c>
      <c r="AA114" s="4" t="s">
        <v>32</v>
      </c>
    </row>
    <row r="115" s="4" customFormat="1" spans="1:27">
      <c r="A115" s="4" t="s">
        <v>104</v>
      </c>
      <c r="B115" s="4" t="s">
        <v>28</v>
      </c>
      <c r="C115" s="4">
        <v>18147013</v>
      </c>
      <c r="D115" s="19">
        <v>254116808776</v>
      </c>
      <c r="E115" s="21">
        <v>45895.2551041667</v>
      </c>
      <c r="F115" s="4">
        <v>425.6</v>
      </c>
      <c r="G115" s="4">
        <v>0.11</v>
      </c>
      <c r="H115" s="4">
        <v>425.48</v>
      </c>
      <c r="I115" s="4">
        <v>8.96</v>
      </c>
      <c r="J115" s="4">
        <v>0.1</v>
      </c>
      <c r="K115" s="4">
        <v>8.86</v>
      </c>
      <c r="L115" s="4">
        <v>92.57</v>
      </c>
      <c r="M115" s="4">
        <v>12312</v>
      </c>
      <c r="N115" s="4">
        <v>0</v>
      </c>
      <c r="O115" s="4">
        <v>0</v>
      </c>
      <c r="P115" s="4" t="s">
        <v>34</v>
      </c>
      <c r="Q115" s="4" t="s">
        <v>30</v>
      </c>
      <c r="R115" s="4" t="s">
        <v>109</v>
      </c>
      <c r="S115" s="4">
        <v>0</v>
      </c>
      <c r="T115" s="4">
        <v>0</v>
      </c>
      <c r="U115" s="4">
        <v>0</v>
      </c>
      <c r="V115" s="4" t="s">
        <v>32</v>
      </c>
      <c r="W115" s="4" t="s">
        <v>32</v>
      </c>
      <c r="X115" s="4" t="s">
        <v>32</v>
      </c>
      <c r="Y115" s="4" t="s">
        <v>32</v>
      </c>
      <c r="Z115" s="4" t="s">
        <v>32</v>
      </c>
      <c r="AA115" s="4" t="s">
        <v>32</v>
      </c>
    </row>
    <row r="116" s="4" customFormat="1" spans="1:27">
      <c r="A116" s="4" t="s">
        <v>104</v>
      </c>
      <c r="B116" s="4" t="s">
        <v>28</v>
      </c>
      <c r="C116" s="4">
        <v>21101304</v>
      </c>
      <c r="D116" s="19">
        <v>254119014147</v>
      </c>
      <c r="E116" s="21">
        <v>46055.2991550926</v>
      </c>
      <c r="F116" s="4">
        <v>352.81</v>
      </c>
      <c r="G116" s="4">
        <v>0.17</v>
      </c>
      <c r="H116" s="4">
        <v>352.64</v>
      </c>
      <c r="I116" s="4">
        <v>-24.36</v>
      </c>
      <c r="J116" s="4">
        <v>0.17</v>
      </c>
      <c r="K116" s="4">
        <v>-24.53</v>
      </c>
      <c r="L116" s="4">
        <v>56.95</v>
      </c>
      <c r="M116" s="4">
        <v>7575</v>
      </c>
      <c r="N116" s="4">
        <v>43.46</v>
      </c>
      <c r="O116" s="4">
        <v>5780.75</v>
      </c>
      <c r="P116" s="4" t="s">
        <v>34</v>
      </c>
      <c r="Q116" s="4" t="s">
        <v>30</v>
      </c>
      <c r="R116" s="4" t="s">
        <v>109</v>
      </c>
      <c r="S116" s="4">
        <v>0</v>
      </c>
      <c r="T116" s="4">
        <v>290</v>
      </c>
      <c r="U116" s="4">
        <v>0</v>
      </c>
      <c r="V116" s="4" t="s">
        <v>32</v>
      </c>
      <c r="W116" s="4" t="s">
        <v>32</v>
      </c>
      <c r="X116" s="4" t="s">
        <v>32</v>
      </c>
      <c r="Y116" s="4" t="s">
        <v>32</v>
      </c>
      <c r="Z116" s="4" t="s">
        <v>32</v>
      </c>
      <c r="AA116" s="4" t="s">
        <v>32</v>
      </c>
    </row>
    <row r="117" s="4" customFormat="1" spans="1:27">
      <c r="A117" s="4" t="s">
        <v>104</v>
      </c>
      <c r="B117" s="4" t="s">
        <v>28</v>
      </c>
      <c r="C117" s="4">
        <v>22940195</v>
      </c>
      <c r="D117" s="19">
        <v>254140284423</v>
      </c>
      <c r="E117" s="21">
        <v>46162.2482638889</v>
      </c>
      <c r="F117" s="4">
        <v>1</v>
      </c>
      <c r="G117" s="4">
        <v>0</v>
      </c>
      <c r="H117" s="4">
        <v>1</v>
      </c>
      <c r="I117" s="4">
        <v>0.43</v>
      </c>
      <c r="J117" s="4">
        <v>0</v>
      </c>
      <c r="K117" s="4">
        <v>0.43</v>
      </c>
      <c r="L117" s="4">
        <v>378.35</v>
      </c>
      <c r="M117" s="4">
        <v>50320</v>
      </c>
      <c r="N117" s="4">
        <v>359.43</v>
      </c>
      <c r="O117" s="4">
        <v>47804</v>
      </c>
      <c r="P117" s="4" t="s">
        <v>29</v>
      </c>
      <c r="Q117" s="4" t="s">
        <v>30</v>
      </c>
      <c r="R117" s="4" t="s">
        <v>109</v>
      </c>
      <c r="S117" s="4">
        <v>0</v>
      </c>
      <c r="T117" s="4">
        <v>2390</v>
      </c>
      <c r="U117" s="4">
        <v>0</v>
      </c>
      <c r="V117" s="4" t="s">
        <v>32</v>
      </c>
      <c r="W117" s="4" t="s">
        <v>32</v>
      </c>
      <c r="X117" s="4" t="s">
        <v>32</v>
      </c>
      <c r="Y117" s="4" t="s">
        <v>32</v>
      </c>
      <c r="Z117" s="4" t="s">
        <v>32</v>
      </c>
      <c r="AA117" s="4" t="s">
        <v>32</v>
      </c>
    </row>
    <row r="118" s="4" customFormat="1" spans="1:27">
      <c r="A118" s="4" t="s">
        <v>104</v>
      </c>
      <c r="B118" s="4" t="s">
        <v>28</v>
      </c>
      <c r="C118" s="4">
        <v>12539455</v>
      </c>
      <c r="D118" s="19">
        <v>254700241493</v>
      </c>
      <c r="E118" s="21">
        <v>45373.7445138889</v>
      </c>
      <c r="F118" s="4">
        <v>5996.45</v>
      </c>
      <c r="G118" s="4">
        <v>0.11</v>
      </c>
      <c r="H118" s="4">
        <v>5996.34</v>
      </c>
      <c r="I118" s="4">
        <v>142.08</v>
      </c>
      <c r="J118" s="4">
        <v>0.11</v>
      </c>
      <c r="K118" s="4">
        <v>141.97</v>
      </c>
      <c r="L118" s="4">
        <v>1499.29</v>
      </c>
      <c r="M118" s="4">
        <v>199406</v>
      </c>
      <c r="N118" s="4">
        <v>385.94</v>
      </c>
      <c r="O118" s="4">
        <v>51330.4</v>
      </c>
      <c r="P118" s="4" t="s">
        <v>29</v>
      </c>
      <c r="Q118" s="4" t="s">
        <v>33</v>
      </c>
      <c r="R118" s="4" t="s">
        <v>109</v>
      </c>
      <c r="S118" s="4">
        <v>0</v>
      </c>
      <c r="T118" s="4">
        <v>2570</v>
      </c>
      <c r="U118" s="4">
        <v>0</v>
      </c>
      <c r="V118" s="4" t="s">
        <v>32</v>
      </c>
      <c r="W118" s="4" t="s">
        <v>32</v>
      </c>
      <c r="X118" s="4" t="s">
        <v>32</v>
      </c>
      <c r="Y118" s="4" t="s">
        <v>32</v>
      </c>
      <c r="Z118" s="4" t="s">
        <v>32</v>
      </c>
      <c r="AA118" s="4" t="s">
        <v>32</v>
      </c>
    </row>
    <row r="119" s="4" customFormat="1" spans="1:27">
      <c r="A119" s="4" t="s">
        <v>104</v>
      </c>
      <c r="B119" s="4" t="s">
        <v>28</v>
      </c>
      <c r="C119" s="4">
        <v>21847675</v>
      </c>
      <c r="D119" s="19">
        <v>254701218949</v>
      </c>
      <c r="E119" s="21">
        <v>46093.3738310185</v>
      </c>
      <c r="F119" s="4">
        <v>318.8</v>
      </c>
      <c r="G119" s="4">
        <v>0</v>
      </c>
      <c r="H119" s="4">
        <v>318.8</v>
      </c>
      <c r="I119" s="4">
        <v>4.57</v>
      </c>
      <c r="J119" s="4">
        <v>0</v>
      </c>
      <c r="K119" s="4">
        <v>4.57</v>
      </c>
      <c r="L119" s="4">
        <v>54.51</v>
      </c>
      <c r="M119" s="4">
        <v>7250</v>
      </c>
      <c r="N119" s="4">
        <v>51.79</v>
      </c>
      <c r="O119" s="4">
        <v>6887.5</v>
      </c>
      <c r="P119" s="4" t="s">
        <v>29</v>
      </c>
      <c r="Q119" s="4" t="s">
        <v>30</v>
      </c>
      <c r="R119" s="4" t="s">
        <v>109</v>
      </c>
      <c r="S119" s="4">
        <v>0</v>
      </c>
      <c r="T119" s="4">
        <v>340</v>
      </c>
      <c r="U119" s="4">
        <v>0</v>
      </c>
      <c r="V119" s="4" t="s">
        <v>32</v>
      </c>
      <c r="W119" s="4" t="s">
        <v>32</v>
      </c>
      <c r="X119" s="4" t="s">
        <v>32</v>
      </c>
      <c r="Y119" s="4" t="s">
        <v>32</v>
      </c>
      <c r="Z119" s="4" t="s">
        <v>32</v>
      </c>
      <c r="AA119" s="4" t="s">
        <v>32</v>
      </c>
    </row>
    <row r="120" s="4" customFormat="1" spans="1:27">
      <c r="A120" s="4" t="s">
        <v>104</v>
      </c>
      <c r="B120" s="4" t="s">
        <v>28</v>
      </c>
      <c r="C120" s="4">
        <v>2091273</v>
      </c>
      <c r="D120" s="19">
        <v>254701345408</v>
      </c>
      <c r="E120" s="21">
        <v>44048.4564351852</v>
      </c>
      <c r="F120" s="4">
        <v>248.17</v>
      </c>
      <c r="G120" s="4">
        <v>0.72</v>
      </c>
      <c r="H120" s="4">
        <v>247.45</v>
      </c>
      <c r="I120" s="4">
        <v>-13.44</v>
      </c>
      <c r="J120" s="4">
        <v>0.72</v>
      </c>
      <c r="K120" s="4">
        <v>-14.16</v>
      </c>
      <c r="L120" s="4">
        <v>56.35</v>
      </c>
      <c r="M120" s="4">
        <v>7495</v>
      </c>
      <c r="N120" s="4">
        <v>53.54</v>
      </c>
      <c r="O120" s="4">
        <v>7120.25</v>
      </c>
      <c r="P120" s="4" t="s">
        <v>29</v>
      </c>
      <c r="Q120" s="4" t="s">
        <v>30</v>
      </c>
      <c r="R120" s="4" t="s">
        <v>109</v>
      </c>
      <c r="S120" s="4">
        <v>0</v>
      </c>
      <c r="T120" s="4">
        <v>360</v>
      </c>
      <c r="U120" s="4">
        <v>0</v>
      </c>
      <c r="V120" s="4" t="s">
        <v>32</v>
      </c>
      <c r="W120" s="4" t="s">
        <v>32</v>
      </c>
      <c r="X120" s="4" t="s">
        <v>32</v>
      </c>
      <c r="Y120" s="4" t="s">
        <v>32</v>
      </c>
      <c r="Z120" s="4" t="s">
        <v>32</v>
      </c>
      <c r="AA120" s="4" t="s">
        <v>32</v>
      </c>
    </row>
    <row r="121" s="4" customFormat="1" spans="1:27">
      <c r="A121" s="4" t="s">
        <v>104</v>
      </c>
      <c r="B121" s="4" t="s">
        <v>28</v>
      </c>
      <c r="C121" s="4">
        <v>15948905</v>
      </c>
      <c r="D121" s="19">
        <v>254701797369</v>
      </c>
      <c r="E121" s="21">
        <v>45720.6410300926</v>
      </c>
      <c r="F121" s="4">
        <v>4028.92</v>
      </c>
      <c r="G121" s="4">
        <v>2.2</v>
      </c>
      <c r="H121" s="4">
        <v>4026.72</v>
      </c>
      <c r="I121" s="4">
        <v>229.31</v>
      </c>
      <c r="J121" s="4">
        <v>-1.02</v>
      </c>
      <c r="K121" s="4">
        <v>230.92</v>
      </c>
      <c r="L121" s="4">
        <v>390.34</v>
      </c>
      <c r="M121" s="4">
        <v>51915</v>
      </c>
      <c r="N121" s="4">
        <v>12.01</v>
      </c>
      <c r="O121" s="4">
        <v>1597.9</v>
      </c>
      <c r="P121" s="4" t="s">
        <v>34</v>
      </c>
      <c r="Q121" s="4" t="s">
        <v>30</v>
      </c>
      <c r="R121" s="4" t="s">
        <v>109</v>
      </c>
      <c r="S121" s="4">
        <v>0</v>
      </c>
      <c r="T121" s="4">
        <v>80</v>
      </c>
      <c r="U121" s="4">
        <v>0</v>
      </c>
      <c r="V121" s="4" t="s">
        <v>32</v>
      </c>
      <c r="W121" s="4" t="s">
        <v>32</v>
      </c>
      <c r="X121" s="4" t="s">
        <v>32</v>
      </c>
      <c r="Y121" s="4" t="s">
        <v>32</v>
      </c>
      <c r="Z121" s="4" t="s">
        <v>32</v>
      </c>
      <c r="AA121" s="4" t="s">
        <v>32</v>
      </c>
    </row>
    <row r="122" s="4" customFormat="1" spans="1:27">
      <c r="A122" s="4" t="s">
        <v>104</v>
      </c>
      <c r="B122" s="4" t="s">
        <v>28</v>
      </c>
      <c r="C122" s="4">
        <v>15131373</v>
      </c>
      <c r="D122" s="19">
        <v>254702529020</v>
      </c>
      <c r="E122" s="21">
        <v>45647.8379282407</v>
      </c>
      <c r="F122" s="4">
        <v>909.62</v>
      </c>
      <c r="G122" s="4">
        <v>0</v>
      </c>
      <c r="H122" s="4">
        <v>909.62</v>
      </c>
      <c r="I122" s="4">
        <v>63.38</v>
      </c>
      <c r="J122" s="4">
        <v>0</v>
      </c>
      <c r="K122" s="4">
        <v>63.38</v>
      </c>
      <c r="L122" s="4">
        <v>126.62</v>
      </c>
      <c r="M122" s="4">
        <v>16840</v>
      </c>
      <c r="N122" s="4">
        <v>76.71</v>
      </c>
      <c r="O122" s="4">
        <v>10203</v>
      </c>
      <c r="P122" s="4" t="s">
        <v>34</v>
      </c>
      <c r="Q122" s="4" t="s">
        <v>30</v>
      </c>
      <c r="R122" s="4" t="s">
        <v>109</v>
      </c>
      <c r="S122" s="4">
        <v>0</v>
      </c>
      <c r="T122" s="4">
        <v>510</v>
      </c>
      <c r="U122" s="4">
        <v>0</v>
      </c>
      <c r="V122" s="4" t="s">
        <v>32</v>
      </c>
      <c r="W122" s="4" t="s">
        <v>32</v>
      </c>
      <c r="X122" s="4" t="s">
        <v>32</v>
      </c>
      <c r="Y122" s="4" t="s">
        <v>32</v>
      </c>
      <c r="Z122" s="4" t="s">
        <v>32</v>
      </c>
      <c r="AA122" s="4" t="s">
        <v>32</v>
      </c>
    </row>
    <row r="123" s="4" customFormat="1" spans="1:27">
      <c r="A123" s="4" t="s">
        <v>104</v>
      </c>
      <c r="B123" s="4" t="s">
        <v>28</v>
      </c>
      <c r="C123" s="4">
        <v>13189724</v>
      </c>
      <c r="D123" s="19">
        <v>254703378601</v>
      </c>
      <c r="E123" s="21">
        <v>45462.6703356481</v>
      </c>
      <c r="F123" s="4">
        <v>349.62</v>
      </c>
      <c r="G123" s="4">
        <v>0</v>
      </c>
      <c r="H123" s="4">
        <v>349.62</v>
      </c>
      <c r="I123" s="4">
        <v>-7.13</v>
      </c>
      <c r="J123" s="4">
        <v>0</v>
      </c>
      <c r="K123" s="4">
        <v>-7.13</v>
      </c>
      <c r="L123" s="4">
        <v>104.34</v>
      </c>
      <c r="M123" s="4">
        <v>13877</v>
      </c>
      <c r="N123" s="4">
        <v>0.71</v>
      </c>
      <c r="O123" s="4">
        <v>95</v>
      </c>
      <c r="P123" s="4" t="s">
        <v>34</v>
      </c>
      <c r="Q123" s="4" t="s">
        <v>30</v>
      </c>
      <c r="R123" s="4" t="s">
        <v>109</v>
      </c>
      <c r="S123" s="4">
        <v>0</v>
      </c>
      <c r="T123" s="4">
        <v>0</v>
      </c>
      <c r="U123" s="4">
        <v>0</v>
      </c>
      <c r="V123" s="4" t="s">
        <v>32</v>
      </c>
      <c r="W123" s="4" t="s">
        <v>32</v>
      </c>
      <c r="X123" s="4" t="s">
        <v>32</v>
      </c>
      <c r="Y123" s="4" t="s">
        <v>32</v>
      </c>
      <c r="Z123" s="4" t="s">
        <v>32</v>
      </c>
      <c r="AA123" s="4" t="s">
        <v>32</v>
      </c>
    </row>
    <row r="124" s="4" customFormat="1" spans="1:27">
      <c r="A124" s="4" t="s">
        <v>104</v>
      </c>
      <c r="B124" s="4" t="s">
        <v>28</v>
      </c>
      <c r="C124" s="4">
        <v>12107433</v>
      </c>
      <c r="D124" s="19">
        <v>254705066380</v>
      </c>
      <c r="E124" s="21">
        <v>45312.5548263889</v>
      </c>
      <c r="F124" s="4">
        <v>213.72</v>
      </c>
      <c r="G124" s="4">
        <v>0</v>
      </c>
      <c r="H124" s="4">
        <v>213.72</v>
      </c>
      <c r="I124" s="4">
        <v>-7.26</v>
      </c>
      <c r="J124" s="4">
        <v>0</v>
      </c>
      <c r="K124" s="4">
        <v>-7.26</v>
      </c>
      <c r="L124" s="4">
        <v>56.86</v>
      </c>
      <c r="M124" s="4">
        <v>7563</v>
      </c>
      <c r="N124" s="4">
        <v>47.18</v>
      </c>
      <c r="O124" s="4">
        <v>6274.75</v>
      </c>
      <c r="P124" s="4" t="s">
        <v>29</v>
      </c>
      <c r="Q124" s="4" t="s">
        <v>30</v>
      </c>
      <c r="R124" s="4" t="s">
        <v>109</v>
      </c>
      <c r="S124" s="4">
        <v>0</v>
      </c>
      <c r="T124" s="4">
        <v>310</v>
      </c>
      <c r="U124" s="4">
        <v>0</v>
      </c>
      <c r="V124" s="4" t="s">
        <v>32</v>
      </c>
      <c r="W124" s="4" t="s">
        <v>32</v>
      </c>
      <c r="X124" s="4" t="s">
        <v>32</v>
      </c>
      <c r="Y124" s="4" t="s">
        <v>32</v>
      </c>
      <c r="Z124" s="4" t="s">
        <v>32</v>
      </c>
      <c r="AA124" s="4" t="s">
        <v>32</v>
      </c>
    </row>
    <row r="125" s="4" customFormat="1" spans="1:27">
      <c r="A125" s="4" t="s">
        <v>104</v>
      </c>
      <c r="B125" s="4" t="s">
        <v>28</v>
      </c>
      <c r="C125" s="4">
        <v>20525845</v>
      </c>
      <c r="D125" s="19">
        <v>254705679465</v>
      </c>
      <c r="E125" s="21">
        <v>46025.8410185185</v>
      </c>
      <c r="F125" s="4">
        <v>321.54</v>
      </c>
      <c r="G125" s="4">
        <v>0.12</v>
      </c>
      <c r="H125" s="4">
        <v>321.42</v>
      </c>
      <c r="I125" s="4">
        <v>14.85</v>
      </c>
      <c r="J125" s="4">
        <v>-0.17</v>
      </c>
      <c r="K125" s="4">
        <v>15.02</v>
      </c>
      <c r="L125" s="4">
        <v>60.23</v>
      </c>
      <c r="M125" s="4">
        <v>8011</v>
      </c>
      <c r="N125" s="4">
        <v>32.91</v>
      </c>
      <c r="O125" s="4">
        <v>4376.65</v>
      </c>
      <c r="P125" s="4" t="s">
        <v>34</v>
      </c>
      <c r="Q125" s="4" t="s">
        <v>30</v>
      </c>
      <c r="R125" s="4" t="s">
        <v>109</v>
      </c>
      <c r="S125" s="4">
        <v>0</v>
      </c>
      <c r="T125" s="4">
        <v>220</v>
      </c>
      <c r="U125" s="4">
        <v>0</v>
      </c>
      <c r="V125" s="4" t="s">
        <v>32</v>
      </c>
      <c r="W125" s="4" t="s">
        <v>32</v>
      </c>
      <c r="X125" s="4" t="s">
        <v>32</v>
      </c>
      <c r="Y125" s="4" t="s">
        <v>32</v>
      </c>
      <c r="Z125" s="4" t="s">
        <v>32</v>
      </c>
      <c r="AA125" s="4" t="s">
        <v>32</v>
      </c>
    </row>
    <row r="126" s="4" customFormat="1" spans="1:27">
      <c r="A126" s="4" t="s">
        <v>104</v>
      </c>
      <c r="B126" s="4" t="s">
        <v>28</v>
      </c>
      <c r="C126" s="4">
        <v>12905123</v>
      </c>
      <c r="D126" s="19">
        <v>254706108817</v>
      </c>
      <c r="E126" s="21">
        <v>45416.9085648148</v>
      </c>
      <c r="F126" s="4">
        <v>506.1</v>
      </c>
      <c r="G126" s="4">
        <v>0</v>
      </c>
      <c r="H126" s="4">
        <v>506.1</v>
      </c>
      <c r="I126" s="4">
        <v>-28.04</v>
      </c>
      <c r="J126" s="4">
        <v>0</v>
      </c>
      <c r="K126" s="4">
        <v>-28.04</v>
      </c>
      <c r="L126" s="4">
        <v>77.22</v>
      </c>
      <c r="M126" s="4">
        <v>10270</v>
      </c>
      <c r="N126" s="4">
        <v>10.5</v>
      </c>
      <c r="O126" s="4">
        <v>1396.5</v>
      </c>
      <c r="P126" s="4" t="s">
        <v>34</v>
      </c>
      <c r="Q126" s="4" t="s">
        <v>30</v>
      </c>
      <c r="R126" s="4" t="s">
        <v>109</v>
      </c>
      <c r="S126" s="4">
        <v>0</v>
      </c>
      <c r="T126" s="4">
        <v>70</v>
      </c>
      <c r="U126" s="4">
        <v>0</v>
      </c>
      <c r="V126" s="4" t="s">
        <v>32</v>
      </c>
      <c r="W126" s="4" t="s">
        <v>32</v>
      </c>
      <c r="X126" s="4" t="s">
        <v>32</v>
      </c>
      <c r="Y126" s="4" t="s">
        <v>32</v>
      </c>
      <c r="Z126" s="4" t="s">
        <v>32</v>
      </c>
      <c r="AA126" s="4" t="s">
        <v>32</v>
      </c>
    </row>
    <row r="127" s="4" customFormat="1" spans="1:27">
      <c r="A127" s="4" t="s">
        <v>104</v>
      </c>
      <c r="B127" s="4" t="s">
        <v>28</v>
      </c>
      <c r="C127" s="4">
        <v>15671483</v>
      </c>
      <c r="D127" s="19">
        <v>254706266340</v>
      </c>
      <c r="E127" s="21">
        <v>45688.886087963</v>
      </c>
      <c r="F127" s="4">
        <v>203.7</v>
      </c>
      <c r="G127" s="4">
        <v>1.34</v>
      </c>
      <c r="H127" s="4">
        <v>202.36</v>
      </c>
      <c r="I127" s="4">
        <v>37.51</v>
      </c>
      <c r="J127" s="4">
        <v>1.34</v>
      </c>
      <c r="K127" s="4">
        <v>36.31</v>
      </c>
      <c r="L127" s="4">
        <v>55.29</v>
      </c>
      <c r="M127" s="4">
        <v>7354</v>
      </c>
      <c r="N127" s="4">
        <v>2.47</v>
      </c>
      <c r="O127" s="4">
        <v>328.7</v>
      </c>
      <c r="P127" s="4" t="s">
        <v>34</v>
      </c>
      <c r="Q127" s="4" t="s">
        <v>30</v>
      </c>
      <c r="R127" s="4" t="s">
        <v>109</v>
      </c>
      <c r="S127" s="4">
        <v>0</v>
      </c>
      <c r="T127" s="4">
        <v>20</v>
      </c>
      <c r="U127" s="4">
        <v>0</v>
      </c>
      <c r="V127" s="4" t="s">
        <v>32</v>
      </c>
      <c r="W127" s="4" t="s">
        <v>32</v>
      </c>
      <c r="X127" s="4" t="s">
        <v>32</v>
      </c>
      <c r="Y127" s="4" t="s">
        <v>32</v>
      </c>
      <c r="Z127" s="4" t="s">
        <v>32</v>
      </c>
      <c r="AA127" s="4" t="s">
        <v>32</v>
      </c>
    </row>
    <row r="128" s="4" customFormat="1" spans="1:27">
      <c r="A128" s="4" t="s">
        <v>104</v>
      </c>
      <c r="B128" s="4" t="s">
        <v>28</v>
      </c>
      <c r="C128" s="4">
        <v>13168835</v>
      </c>
      <c r="D128" s="19">
        <v>254706364975</v>
      </c>
      <c r="E128" s="21">
        <v>45458.406712963</v>
      </c>
      <c r="F128" s="4">
        <v>400.54</v>
      </c>
      <c r="G128" s="4">
        <v>0</v>
      </c>
      <c r="H128" s="4">
        <v>400.54</v>
      </c>
      <c r="I128" s="4">
        <v>15.93</v>
      </c>
      <c r="J128" s="4">
        <v>0</v>
      </c>
      <c r="K128" s="4">
        <v>15.93</v>
      </c>
      <c r="L128" s="4">
        <v>77.86</v>
      </c>
      <c r="M128" s="4">
        <v>10356</v>
      </c>
      <c r="N128" s="4">
        <v>28.7</v>
      </c>
      <c r="O128" s="4">
        <v>3817.1</v>
      </c>
      <c r="P128" s="4" t="s">
        <v>29</v>
      </c>
      <c r="Q128" s="4" t="s">
        <v>30</v>
      </c>
      <c r="R128" s="4" t="s">
        <v>109</v>
      </c>
      <c r="S128" s="4">
        <v>0</v>
      </c>
      <c r="T128" s="4">
        <v>190</v>
      </c>
      <c r="U128" s="4">
        <v>0</v>
      </c>
      <c r="V128" s="4" t="s">
        <v>32</v>
      </c>
      <c r="W128" s="4" t="s">
        <v>32</v>
      </c>
      <c r="X128" s="4" t="s">
        <v>32</v>
      </c>
      <c r="Y128" s="4" t="s">
        <v>32</v>
      </c>
      <c r="Z128" s="4" t="s">
        <v>32</v>
      </c>
      <c r="AA128" s="4" t="s">
        <v>32</v>
      </c>
    </row>
    <row r="129" s="4" customFormat="1" spans="1:27">
      <c r="A129" s="4" t="s">
        <v>104</v>
      </c>
      <c r="B129" s="4" t="s">
        <v>28</v>
      </c>
      <c r="C129" s="4">
        <v>14082374</v>
      </c>
      <c r="D129" s="19">
        <v>254706461308</v>
      </c>
      <c r="E129" s="21">
        <v>45575.6862268519</v>
      </c>
      <c r="F129" s="4">
        <v>537.5</v>
      </c>
      <c r="G129" s="4">
        <v>0</v>
      </c>
      <c r="H129" s="4">
        <v>537.13</v>
      </c>
      <c r="I129" s="4">
        <v>-71.31</v>
      </c>
      <c r="J129" s="4">
        <v>0</v>
      </c>
      <c r="K129" s="4">
        <v>-71.31</v>
      </c>
      <c r="L129" s="4">
        <v>157.51</v>
      </c>
      <c r="M129" s="4">
        <v>20949</v>
      </c>
      <c r="N129" s="4">
        <v>138.21</v>
      </c>
      <c r="O129" s="4">
        <v>18381.55</v>
      </c>
      <c r="P129" s="4" t="s">
        <v>29</v>
      </c>
      <c r="Q129" s="4" t="s">
        <v>30</v>
      </c>
      <c r="R129" s="4" t="s">
        <v>109</v>
      </c>
      <c r="S129" s="4">
        <v>0</v>
      </c>
      <c r="T129" s="4">
        <v>920</v>
      </c>
      <c r="U129" s="4">
        <v>0</v>
      </c>
      <c r="V129" s="4" t="s">
        <v>32</v>
      </c>
      <c r="W129" s="4" t="s">
        <v>32</v>
      </c>
      <c r="X129" s="4" t="s">
        <v>32</v>
      </c>
      <c r="Y129" s="4" t="s">
        <v>32</v>
      </c>
      <c r="Z129" s="4" t="s">
        <v>32</v>
      </c>
      <c r="AA129" s="4" t="s">
        <v>32</v>
      </c>
    </row>
    <row r="130" s="4" customFormat="1" spans="1:27">
      <c r="A130" s="4" t="s">
        <v>104</v>
      </c>
      <c r="B130" s="4" t="s">
        <v>28</v>
      </c>
      <c r="C130" s="4">
        <v>13333314</v>
      </c>
      <c r="D130" s="19">
        <v>254706682449</v>
      </c>
      <c r="E130" s="21">
        <v>45491.5363425926</v>
      </c>
      <c r="F130" s="4">
        <v>406.99</v>
      </c>
      <c r="G130" s="4">
        <v>0.16</v>
      </c>
      <c r="H130" s="4">
        <v>406.83</v>
      </c>
      <c r="I130" s="4">
        <v>33.19</v>
      </c>
      <c r="J130" s="4">
        <v>0.16</v>
      </c>
      <c r="K130" s="4">
        <v>33.03</v>
      </c>
      <c r="L130" s="4">
        <v>62.8</v>
      </c>
      <c r="M130" s="4">
        <v>8353</v>
      </c>
      <c r="N130" s="4">
        <v>23.75</v>
      </c>
      <c r="O130" s="4">
        <v>3158.75</v>
      </c>
      <c r="P130" s="4" t="s">
        <v>29</v>
      </c>
      <c r="Q130" s="4" t="s">
        <v>30</v>
      </c>
      <c r="R130" s="4" t="s">
        <v>109</v>
      </c>
      <c r="S130" s="4">
        <v>0</v>
      </c>
      <c r="T130" s="4">
        <v>160</v>
      </c>
      <c r="U130" s="4">
        <v>0</v>
      </c>
      <c r="V130" s="4" t="s">
        <v>32</v>
      </c>
      <c r="W130" s="4" t="s">
        <v>32</v>
      </c>
      <c r="X130" s="4" t="s">
        <v>32</v>
      </c>
      <c r="Y130" s="4" t="s">
        <v>32</v>
      </c>
      <c r="Z130" s="4" t="s">
        <v>32</v>
      </c>
      <c r="AA130" s="4" t="s">
        <v>32</v>
      </c>
    </row>
    <row r="131" s="4" customFormat="1" spans="1:27">
      <c r="A131" s="4" t="s">
        <v>104</v>
      </c>
      <c r="B131" s="4" t="s">
        <v>28</v>
      </c>
      <c r="C131" s="4">
        <v>783093</v>
      </c>
      <c r="D131" s="19">
        <v>254707350713</v>
      </c>
      <c r="E131" s="21">
        <v>43957.4590856481</v>
      </c>
      <c r="F131" s="4">
        <v>379.25</v>
      </c>
      <c r="G131" s="4">
        <v>0</v>
      </c>
      <c r="H131" s="4">
        <v>379.25</v>
      </c>
      <c r="I131" s="4">
        <v>38.61</v>
      </c>
      <c r="J131" s="4">
        <v>0</v>
      </c>
      <c r="K131" s="4">
        <v>38.61</v>
      </c>
      <c r="L131" s="4">
        <v>61.11</v>
      </c>
      <c r="M131" s="4">
        <v>8128</v>
      </c>
      <c r="N131" s="4">
        <v>1.43</v>
      </c>
      <c r="O131" s="4">
        <v>190</v>
      </c>
      <c r="P131" s="4" t="s">
        <v>34</v>
      </c>
      <c r="Q131" s="4" t="s">
        <v>30</v>
      </c>
      <c r="R131" s="4" t="s">
        <v>109</v>
      </c>
      <c r="S131" s="4">
        <v>0</v>
      </c>
      <c r="T131" s="4">
        <v>10</v>
      </c>
      <c r="U131" s="4">
        <v>0</v>
      </c>
      <c r="V131" s="4" t="s">
        <v>32</v>
      </c>
      <c r="W131" s="4" t="s">
        <v>32</v>
      </c>
      <c r="X131" s="4" t="s">
        <v>32</v>
      </c>
      <c r="Y131" s="4" t="s">
        <v>32</v>
      </c>
      <c r="Z131" s="4" t="s">
        <v>32</v>
      </c>
      <c r="AA131" s="4" t="s">
        <v>32</v>
      </c>
    </row>
    <row r="132" s="4" customFormat="1" spans="1:27">
      <c r="A132" s="4" t="s">
        <v>104</v>
      </c>
      <c r="B132" s="4" t="s">
        <v>28</v>
      </c>
      <c r="C132" s="4">
        <v>21332665</v>
      </c>
      <c r="D132" s="19">
        <v>254707658410</v>
      </c>
      <c r="E132" s="21">
        <v>46067.7274421296</v>
      </c>
      <c r="F132" s="4">
        <v>844.68</v>
      </c>
      <c r="G132" s="4">
        <v>0</v>
      </c>
      <c r="H132" s="4">
        <v>844.68</v>
      </c>
      <c r="I132" s="4">
        <v>11.87</v>
      </c>
      <c r="J132" s="4">
        <v>0</v>
      </c>
      <c r="K132" s="4">
        <v>11.87</v>
      </c>
      <c r="L132" s="4">
        <v>70.68</v>
      </c>
      <c r="M132" s="4">
        <v>9400</v>
      </c>
      <c r="N132" s="4">
        <v>67.14</v>
      </c>
      <c r="O132" s="4">
        <v>8930</v>
      </c>
      <c r="P132" s="4" t="s">
        <v>29</v>
      </c>
      <c r="Q132" s="4" t="s">
        <v>30</v>
      </c>
      <c r="R132" s="4" t="s">
        <v>109</v>
      </c>
      <c r="S132" s="4">
        <v>0</v>
      </c>
      <c r="T132" s="4">
        <v>450</v>
      </c>
      <c r="U132" s="4">
        <v>0</v>
      </c>
      <c r="V132" s="4" t="s">
        <v>32</v>
      </c>
      <c r="W132" s="4" t="s">
        <v>32</v>
      </c>
      <c r="X132" s="4" t="s">
        <v>32</v>
      </c>
      <c r="Y132" s="4" t="s">
        <v>32</v>
      </c>
      <c r="Z132" s="4" t="s">
        <v>32</v>
      </c>
      <c r="AA132" s="4" t="s">
        <v>32</v>
      </c>
    </row>
    <row r="133" s="4" customFormat="1" spans="1:27">
      <c r="A133" s="4" t="s">
        <v>104</v>
      </c>
      <c r="B133" s="4" t="s">
        <v>28</v>
      </c>
      <c r="C133" s="4">
        <v>2081365</v>
      </c>
      <c r="D133" s="19">
        <v>254707855869</v>
      </c>
      <c r="E133" s="21">
        <v>44047.2277546296</v>
      </c>
      <c r="F133" s="4">
        <v>841.42</v>
      </c>
      <c r="G133" s="4">
        <v>0</v>
      </c>
      <c r="H133" s="4">
        <v>841.42</v>
      </c>
      <c r="I133" s="4">
        <v>70.73</v>
      </c>
      <c r="J133" s="4">
        <v>0</v>
      </c>
      <c r="K133" s="4">
        <v>70.73</v>
      </c>
      <c r="L133" s="4">
        <v>98.57</v>
      </c>
      <c r="M133" s="4">
        <v>13110</v>
      </c>
      <c r="N133" s="4">
        <v>7.14</v>
      </c>
      <c r="O133" s="4">
        <v>950</v>
      </c>
      <c r="P133" s="4" t="s">
        <v>29</v>
      </c>
      <c r="Q133" s="4" t="s">
        <v>30</v>
      </c>
      <c r="R133" s="4" t="s">
        <v>109</v>
      </c>
      <c r="S133" s="4">
        <v>0</v>
      </c>
      <c r="T133" s="4">
        <v>50</v>
      </c>
      <c r="U133" s="4">
        <v>0</v>
      </c>
      <c r="V133" s="4" t="s">
        <v>32</v>
      </c>
      <c r="W133" s="4" t="s">
        <v>32</v>
      </c>
      <c r="X133" s="4" t="s">
        <v>32</v>
      </c>
      <c r="Y133" s="4" t="s">
        <v>32</v>
      </c>
      <c r="Z133" s="4" t="s">
        <v>32</v>
      </c>
      <c r="AA133" s="4" t="s">
        <v>32</v>
      </c>
    </row>
    <row r="134" s="4" customFormat="1" spans="1:27">
      <c r="A134" s="4" t="s">
        <v>104</v>
      </c>
      <c r="B134" s="4" t="s">
        <v>28</v>
      </c>
      <c r="C134" s="4">
        <v>10951614</v>
      </c>
      <c r="D134" s="19">
        <v>254710532663</v>
      </c>
      <c r="E134" s="21">
        <v>45213.4122569444</v>
      </c>
      <c r="F134" s="4">
        <v>17702.02</v>
      </c>
      <c r="G134" s="4">
        <v>0</v>
      </c>
      <c r="H134" s="4">
        <v>17702.02</v>
      </c>
      <c r="I134" s="4">
        <v>599.87</v>
      </c>
      <c r="J134" s="4">
        <v>0</v>
      </c>
      <c r="K134" s="4">
        <v>600.62</v>
      </c>
      <c r="L134" s="4">
        <v>923.87</v>
      </c>
      <c r="M134" s="4">
        <v>122875</v>
      </c>
      <c r="N134" s="4">
        <v>772.68</v>
      </c>
      <c r="O134" s="4">
        <v>102766.25</v>
      </c>
      <c r="P134" s="4" t="s">
        <v>29</v>
      </c>
      <c r="Q134" s="4" t="s">
        <v>30</v>
      </c>
      <c r="R134" s="4" t="s">
        <v>109</v>
      </c>
      <c r="S134" s="4">
        <v>0</v>
      </c>
      <c r="T134" s="4">
        <v>5140</v>
      </c>
      <c r="U134" s="4">
        <v>0</v>
      </c>
      <c r="V134" s="4" t="s">
        <v>32</v>
      </c>
      <c r="W134" s="4" t="s">
        <v>32</v>
      </c>
      <c r="X134" s="4" t="s">
        <v>32</v>
      </c>
      <c r="Y134" s="4" t="s">
        <v>32</v>
      </c>
      <c r="Z134" s="4" t="s">
        <v>32</v>
      </c>
      <c r="AA134" s="4" t="s">
        <v>32</v>
      </c>
    </row>
    <row r="135" s="4" customFormat="1" spans="1:27">
      <c r="A135" s="4" t="s">
        <v>104</v>
      </c>
      <c r="B135" s="4" t="s">
        <v>28</v>
      </c>
      <c r="C135" s="4">
        <v>1684193</v>
      </c>
      <c r="D135" s="19">
        <v>254710803890</v>
      </c>
      <c r="E135" s="21">
        <v>44009.7080092593</v>
      </c>
      <c r="F135" s="4">
        <v>1865.82</v>
      </c>
      <c r="G135" s="4">
        <v>0.19</v>
      </c>
      <c r="H135" s="4">
        <v>1865.63</v>
      </c>
      <c r="I135" s="4">
        <v>-69.62</v>
      </c>
      <c r="J135" s="4">
        <v>0.19</v>
      </c>
      <c r="K135" s="4">
        <v>-69.81</v>
      </c>
      <c r="L135" s="4">
        <v>210.23</v>
      </c>
      <c r="M135" s="4">
        <v>27961</v>
      </c>
      <c r="N135" s="4">
        <v>123.67</v>
      </c>
      <c r="O135" s="4">
        <v>16448.3</v>
      </c>
      <c r="P135" s="4" t="s">
        <v>29</v>
      </c>
      <c r="Q135" s="4" t="s">
        <v>30</v>
      </c>
      <c r="R135" s="4" t="s">
        <v>109</v>
      </c>
      <c r="S135" s="4">
        <v>0</v>
      </c>
      <c r="T135" s="4">
        <v>820</v>
      </c>
      <c r="U135" s="4">
        <v>0</v>
      </c>
      <c r="V135" s="4" t="s">
        <v>32</v>
      </c>
      <c r="W135" s="4" t="s">
        <v>32</v>
      </c>
      <c r="X135" s="4" t="s">
        <v>32</v>
      </c>
      <c r="Y135" s="4" t="s">
        <v>32</v>
      </c>
      <c r="Z135" s="4" t="s">
        <v>32</v>
      </c>
      <c r="AA135" s="4" t="s">
        <v>32</v>
      </c>
    </row>
    <row r="136" s="4" customFormat="1" spans="1:27">
      <c r="A136" s="4" t="s">
        <v>104</v>
      </c>
      <c r="B136" s="4" t="s">
        <v>28</v>
      </c>
      <c r="C136" s="4">
        <v>21140753</v>
      </c>
      <c r="D136" s="19">
        <v>254711136161</v>
      </c>
      <c r="E136" s="21">
        <v>46057.5667708333</v>
      </c>
      <c r="F136" s="4">
        <v>2428.63</v>
      </c>
      <c r="G136" s="4">
        <v>0.08</v>
      </c>
      <c r="H136" s="4">
        <v>2428.55</v>
      </c>
      <c r="I136" s="4">
        <v>21.95</v>
      </c>
      <c r="J136" s="4">
        <v>-0.01</v>
      </c>
      <c r="K136" s="4">
        <v>21.97</v>
      </c>
      <c r="L136" s="4">
        <v>333.49</v>
      </c>
      <c r="M136" s="4">
        <v>44354</v>
      </c>
      <c r="N136" s="4">
        <v>254.31</v>
      </c>
      <c r="O136" s="4">
        <v>33823.8</v>
      </c>
      <c r="P136" s="4" t="s">
        <v>29</v>
      </c>
      <c r="Q136" s="4" t="s">
        <v>30</v>
      </c>
      <c r="R136" s="4" t="s">
        <v>109</v>
      </c>
      <c r="S136" s="4">
        <v>0</v>
      </c>
      <c r="T136" s="4">
        <v>1690</v>
      </c>
      <c r="U136" s="4">
        <v>0</v>
      </c>
      <c r="V136" s="4" t="s">
        <v>32</v>
      </c>
      <c r="W136" s="4" t="s">
        <v>32</v>
      </c>
      <c r="X136" s="4" t="s">
        <v>32</v>
      </c>
      <c r="Y136" s="4" t="s">
        <v>32</v>
      </c>
      <c r="Z136" s="4" t="s">
        <v>32</v>
      </c>
      <c r="AA136" s="4" t="s">
        <v>32</v>
      </c>
    </row>
    <row r="137" s="4" customFormat="1" spans="1:27">
      <c r="A137" s="4" t="s">
        <v>104</v>
      </c>
      <c r="B137" s="4" t="s">
        <v>28</v>
      </c>
      <c r="C137" s="4">
        <v>1906695</v>
      </c>
      <c r="D137" s="19">
        <v>254711412389</v>
      </c>
      <c r="E137" s="21">
        <v>44030.5594328704</v>
      </c>
      <c r="F137" s="4">
        <v>257.53</v>
      </c>
      <c r="G137" s="4">
        <v>0</v>
      </c>
      <c r="H137" s="4">
        <v>257.53</v>
      </c>
      <c r="I137" s="4">
        <v>-50.69</v>
      </c>
      <c r="J137" s="4">
        <v>0</v>
      </c>
      <c r="K137" s="4">
        <v>-50.69</v>
      </c>
      <c r="L137" s="4">
        <v>87.21</v>
      </c>
      <c r="M137" s="4">
        <v>11599</v>
      </c>
      <c r="N137" s="4">
        <v>24.29</v>
      </c>
      <c r="O137" s="4">
        <v>3230</v>
      </c>
      <c r="P137" s="4" t="s">
        <v>34</v>
      </c>
      <c r="Q137" s="4" t="s">
        <v>30</v>
      </c>
      <c r="R137" s="4" t="s">
        <v>109</v>
      </c>
      <c r="S137" s="4">
        <v>0</v>
      </c>
      <c r="T137" s="4">
        <v>160</v>
      </c>
      <c r="U137" s="4">
        <v>0</v>
      </c>
      <c r="V137" s="4" t="s">
        <v>32</v>
      </c>
      <c r="W137" s="4" t="s">
        <v>32</v>
      </c>
      <c r="X137" s="4" t="s">
        <v>32</v>
      </c>
      <c r="Y137" s="4" t="s">
        <v>32</v>
      </c>
      <c r="Z137" s="4" t="s">
        <v>32</v>
      </c>
      <c r="AA137" s="4" t="s">
        <v>32</v>
      </c>
    </row>
    <row r="138" s="4" customFormat="1" spans="1:27">
      <c r="A138" s="4" t="s">
        <v>104</v>
      </c>
      <c r="B138" s="4" t="s">
        <v>28</v>
      </c>
      <c r="C138" s="4">
        <v>10562244</v>
      </c>
      <c r="D138" s="19">
        <v>254713261591</v>
      </c>
      <c r="E138" s="21">
        <v>45171.535474537</v>
      </c>
      <c r="F138" s="4">
        <v>298.73</v>
      </c>
      <c r="G138" s="4">
        <v>6.89</v>
      </c>
      <c r="H138" s="4">
        <v>291.84</v>
      </c>
      <c r="I138" s="4">
        <v>23.49</v>
      </c>
      <c r="J138" s="4">
        <v>6.89</v>
      </c>
      <c r="K138" s="4">
        <v>16.59</v>
      </c>
      <c r="L138" s="4">
        <v>72.41</v>
      </c>
      <c r="M138" s="4">
        <v>9630</v>
      </c>
      <c r="N138" s="4">
        <v>32.86</v>
      </c>
      <c r="O138" s="4">
        <v>4370</v>
      </c>
      <c r="P138" s="4" t="s">
        <v>34</v>
      </c>
      <c r="Q138" s="4" t="s">
        <v>30</v>
      </c>
      <c r="R138" s="4" t="s">
        <v>109</v>
      </c>
      <c r="S138" s="4">
        <v>0</v>
      </c>
      <c r="T138" s="4">
        <v>220</v>
      </c>
      <c r="U138" s="4">
        <v>0</v>
      </c>
      <c r="V138" s="4" t="s">
        <v>32</v>
      </c>
      <c r="W138" s="4" t="s">
        <v>32</v>
      </c>
      <c r="X138" s="4" t="s">
        <v>32</v>
      </c>
      <c r="Y138" s="4" t="s">
        <v>32</v>
      </c>
      <c r="Z138" s="4" t="s">
        <v>32</v>
      </c>
      <c r="AA138" s="4" t="s">
        <v>32</v>
      </c>
    </row>
    <row r="139" s="4" customFormat="1" spans="1:27">
      <c r="A139" s="4" t="s">
        <v>104</v>
      </c>
      <c r="B139" s="4" t="s">
        <v>28</v>
      </c>
      <c r="C139" s="4">
        <v>20707545</v>
      </c>
      <c r="D139" s="19">
        <v>254713864647</v>
      </c>
      <c r="E139" s="21">
        <v>46034.3416550926</v>
      </c>
      <c r="F139" s="4">
        <v>1833.54</v>
      </c>
      <c r="G139" s="4">
        <v>0</v>
      </c>
      <c r="H139" s="4">
        <v>1833.54</v>
      </c>
      <c r="I139" s="4">
        <v>105.31</v>
      </c>
      <c r="J139" s="4">
        <v>0</v>
      </c>
      <c r="K139" s="4">
        <v>105.31</v>
      </c>
      <c r="L139" s="4">
        <v>233.61</v>
      </c>
      <c r="M139" s="4">
        <v>31070</v>
      </c>
      <c r="N139" s="4">
        <v>171.43</v>
      </c>
      <c r="O139" s="4">
        <v>22800</v>
      </c>
      <c r="P139" s="4" t="s">
        <v>29</v>
      </c>
      <c r="Q139" s="4" t="s">
        <v>30</v>
      </c>
      <c r="R139" s="4" t="s">
        <v>109</v>
      </c>
      <c r="S139" s="4">
        <v>0</v>
      </c>
      <c r="T139" s="4">
        <v>1140</v>
      </c>
      <c r="U139" s="4">
        <v>0</v>
      </c>
      <c r="V139" s="4" t="s">
        <v>32</v>
      </c>
      <c r="W139" s="4" t="s">
        <v>32</v>
      </c>
      <c r="X139" s="4" t="s">
        <v>32</v>
      </c>
      <c r="Y139" s="4" t="s">
        <v>32</v>
      </c>
      <c r="Z139" s="4" t="s">
        <v>32</v>
      </c>
      <c r="AA139" s="4" t="s">
        <v>32</v>
      </c>
    </row>
    <row r="140" s="4" customFormat="1" spans="1:27">
      <c r="A140" s="4" t="s">
        <v>104</v>
      </c>
      <c r="B140" s="4" t="s">
        <v>28</v>
      </c>
      <c r="C140" s="4">
        <v>13736694</v>
      </c>
      <c r="D140" s="19">
        <v>254715345344</v>
      </c>
      <c r="E140" s="21">
        <v>45552.3424652778</v>
      </c>
      <c r="F140" s="4">
        <v>163.91</v>
      </c>
      <c r="G140" s="4">
        <v>0.1</v>
      </c>
      <c r="H140" s="4">
        <v>163.81</v>
      </c>
      <c r="I140" s="4">
        <v>9.05</v>
      </c>
      <c r="J140" s="4">
        <v>0.1</v>
      </c>
      <c r="K140" s="4">
        <v>8.95</v>
      </c>
      <c r="L140" s="4">
        <v>60.5</v>
      </c>
      <c r="M140" s="4">
        <v>8046</v>
      </c>
      <c r="N140" s="4">
        <v>1.29</v>
      </c>
      <c r="O140" s="4">
        <v>171</v>
      </c>
      <c r="P140" s="4" t="s">
        <v>34</v>
      </c>
      <c r="Q140" s="4" t="s">
        <v>30</v>
      </c>
      <c r="R140" s="4" t="s">
        <v>109</v>
      </c>
      <c r="S140" s="4">
        <v>0</v>
      </c>
      <c r="T140" s="4">
        <v>10</v>
      </c>
      <c r="U140" s="4">
        <v>0</v>
      </c>
      <c r="V140" s="4" t="s">
        <v>32</v>
      </c>
      <c r="W140" s="4" t="s">
        <v>32</v>
      </c>
      <c r="X140" s="4" t="s">
        <v>32</v>
      </c>
      <c r="Y140" s="4" t="s">
        <v>32</v>
      </c>
      <c r="Z140" s="4" t="s">
        <v>32</v>
      </c>
      <c r="AA140" s="4" t="s">
        <v>32</v>
      </c>
    </row>
    <row r="141" s="4" customFormat="1" spans="1:27">
      <c r="A141" s="4" t="s">
        <v>104</v>
      </c>
      <c r="B141" s="4" t="s">
        <v>28</v>
      </c>
      <c r="C141" s="4">
        <v>15907393</v>
      </c>
      <c r="D141" s="19">
        <v>254715694907</v>
      </c>
      <c r="E141" s="21">
        <v>45712.3976851852</v>
      </c>
      <c r="F141" s="4">
        <v>1206.47</v>
      </c>
      <c r="G141" s="4">
        <v>0</v>
      </c>
      <c r="H141" s="4">
        <v>1206.47</v>
      </c>
      <c r="I141" s="4">
        <v>163.16</v>
      </c>
      <c r="J141" s="4">
        <v>0</v>
      </c>
      <c r="K141" s="4">
        <v>163.16</v>
      </c>
      <c r="L141" s="4">
        <v>258.89</v>
      </c>
      <c r="M141" s="4">
        <v>34433</v>
      </c>
      <c r="N141" s="4">
        <v>56.07</v>
      </c>
      <c r="O141" s="4">
        <v>7457.5</v>
      </c>
      <c r="P141" s="4" t="s">
        <v>34</v>
      </c>
      <c r="Q141" s="4" t="s">
        <v>30</v>
      </c>
      <c r="R141" s="4" t="s">
        <v>109</v>
      </c>
      <c r="S141" s="4">
        <v>0</v>
      </c>
      <c r="T141" s="4">
        <v>370</v>
      </c>
      <c r="U141" s="4">
        <v>0</v>
      </c>
      <c r="V141" s="4" t="s">
        <v>32</v>
      </c>
      <c r="W141" s="4" t="s">
        <v>32</v>
      </c>
      <c r="X141" s="4" t="s">
        <v>32</v>
      </c>
      <c r="Y141" s="4" t="s">
        <v>32</v>
      </c>
      <c r="Z141" s="4" t="s">
        <v>32</v>
      </c>
      <c r="AA141" s="4" t="s">
        <v>32</v>
      </c>
    </row>
    <row r="142" s="4" customFormat="1" spans="1:27">
      <c r="A142" s="4" t="s">
        <v>104</v>
      </c>
      <c r="B142" s="4" t="s">
        <v>28</v>
      </c>
      <c r="C142" s="4">
        <v>16644353</v>
      </c>
      <c r="D142" s="19">
        <v>254718898250</v>
      </c>
      <c r="E142" s="21">
        <v>45787.5220601852</v>
      </c>
      <c r="F142" s="4">
        <v>17050.35</v>
      </c>
      <c r="G142" s="4">
        <v>2.14</v>
      </c>
      <c r="H142" s="4">
        <v>17048.21</v>
      </c>
      <c r="I142" s="4">
        <v>542.59</v>
      </c>
      <c r="J142" s="4">
        <v>2.14</v>
      </c>
      <c r="K142" s="4">
        <v>540.46</v>
      </c>
      <c r="L142" s="4">
        <v>1135.68</v>
      </c>
      <c r="M142" s="4">
        <v>151046</v>
      </c>
      <c r="N142" s="4">
        <v>145.71</v>
      </c>
      <c r="O142" s="4">
        <v>19379.05</v>
      </c>
      <c r="P142" s="4" t="s">
        <v>34</v>
      </c>
      <c r="Q142" s="4" t="s">
        <v>33</v>
      </c>
      <c r="R142" s="4" t="s">
        <v>109</v>
      </c>
      <c r="S142" s="4">
        <v>0</v>
      </c>
      <c r="T142" s="4">
        <v>970</v>
      </c>
      <c r="U142" s="4">
        <v>0</v>
      </c>
      <c r="V142" s="4" t="s">
        <v>32</v>
      </c>
      <c r="W142" s="4" t="s">
        <v>32</v>
      </c>
      <c r="X142" s="4" t="s">
        <v>32</v>
      </c>
      <c r="Y142" s="4" t="s">
        <v>32</v>
      </c>
      <c r="Z142" s="4" t="s">
        <v>32</v>
      </c>
      <c r="AA142" s="4" t="s">
        <v>32</v>
      </c>
    </row>
    <row r="143" s="4" customFormat="1" spans="1:27">
      <c r="A143" s="4" t="s">
        <v>104</v>
      </c>
      <c r="B143" s="4" t="s">
        <v>28</v>
      </c>
      <c r="C143" s="4">
        <v>5559694</v>
      </c>
      <c r="D143" s="19">
        <v>254720111624</v>
      </c>
      <c r="E143" s="21">
        <v>44496.3905208333</v>
      </c>
      <c r="F143" s="4">
        <v>7250.17</v>
      </c>
      <c r="G143" s="4">
        <v>10.29</v>
      </c>
      <c r="H143" s="4">
        <v>7239.88</v>
      </c>
      <c r="I143" s="4">
        <v>-3.58</v>
      </c>
      <c r="J143" s="4">
        <v>4.22</v>
      </c>
      <c r="K143" s="4">
        <v>-6.5</v>
      </c>
      <c r="L143" s="4">
        <v>1332.83</v>
      </c>
      <c r="M143" s="4">
        <v>177267</v>
      </c>
      <c r="N143" s="4">
        <v>0</v>
      </c>
      <c r="O143" s="4">
        <v>0</v>
      </c>
      <c r="P143" s="4" t="s">
        <v>34</v>
      </c>
      <c r="Q143" s="4" t="s">
        <v>33</v>
      </c>
      <c r="R143" s="4" t="s">
        <v>109</v>
      </c>
      <c r="S143" s="4">
        <v>0</v>
      </c>
      <c r="T143" s="4">
        <v>0</v>
      </c>
      <c r="U143" s="4">
        <v>0</v>
      </c>
      <c r="V143" s="4" t="s">
        <v>32</v>
      </c>
      <c r="W143" s="4" t="s">
        <v>32</v>
      </c>
      <c r="X143" s="4" t="s">
        <v>32</v>
      </c>
      <c r="Y143" s="4" t="s">
        <v>32</v>
      </c>
      <c r="Z143" s="4" t="s">
        <v>32</v>
      </c>
      <c r="AA143" s="4" t="s">
        <v>32</v>
      </c>
    </row>
    <row r="144" s="4" customFormat="1" spans="1:27">
      <c r="A144" s="4" t="s">
        <v>104</v>
      </c>
      <c r="B144" s="4" t="s">
        <v>28</v>
      </c>
      <c r="C144" s="4">
        <v>10998945</v>
      </c>
      <c r="D144" s="19">
        <v>254720687684</v>
      </c>
      <c r="E144" s="21">
        <v>45218.7074884259</v>
      </c>
      <c r="F144" s="4">
        <v>1769.87</v>
      </c>
      <c r="G144" s="4">
        <v>0</v>
      </c>
      <c r="H144" s="4">
        <v>1769.87</v>
      </c>
      <c r="I144" s="4">
        <v>133.62</v>
      </c>
      <c r="J144" s="4">
        <v>0</v>
      </c>
      <c r="K144" s="4">
        <v>133.62</v>
      </c>
      <c r="L144" s="4">
        <v>136.09</v>
      </c>
      <c r="M144" s="4">
        <v>18100</v>
      </c>
      <c r="N144" s="4">
        <v>46.43</v>
      </c>
      <c r="O144" s="4">
        <v>6175</v>
      </c>
      <c r="P144" s="4" t="s">
        <v>34</v>
      </c>
      <c r="Q144" s="4" t="s">
        <v>30</v>
      </c>
      <c r="R144" s="4" t="s">
        <v>109</v>
      </c>
      <c r="S144" s="4">
        <v>0</v>
      </c>
      <c r="T144" s="4">
        <v>310</v>
      </c>
      <c r="U144" s="4">
        <v>0</v>
      </c>
      <c r="V144" s="4" t="s">
        <v>32</v>
      </c>
      <c r="W144" s="4" t="s">
        <v>32</v>
      </c>
      <c r="X144" s="4" t="s">
        <v>32</v>
      </c>
      <c r="Y144" s="4" t="s">
        <v>32</v>
      </c>
      <c r="Z144" s="4" t="s">
        <v>32</v>
      </c>
      <c r="AA144" s="4" t="s">
        <v>32</v>
      </c>
    </row>
    <row r="145" s="4" customFormat="1" spans="1:27">
      <c r="A145" s="4" t="s">
        <v>104</v>
      </c>
      <c r="B145" s="4" t="s">
        <v>28</v>
      </c>
      <c r="C145" s="4">
        <v>17410373</v>
      </c>
      <c r="D145" s="19">
        <v>254721369518</v>
      </c>
      <c r="E145" s="21">
        <v>45852.5973148148</v>
      </c>
      <c r="F145" s="4">
        <v>2570.49</v>
      </c>
      <c r="G145" s="4">
        <v>0</v>
      </c>
      <c r="H145" s="4">
        <v>2570.49</v>
      </c>
      <c r="I145" s="4">
        <v>134.76</v>
      </c>
      <c r="J145" s="4">
        <v>0</v>
      </c>
      <c r="K145" s="4">
        <v>134.76</v>
      </c>
      <c r="L145" s="4">
        <v>605.84</v>
      </c>
      <c r="M145" s="4">
        <v>80577</v>
      </c>
      <c r="N145" s="4">
        <v>0</v>
      </c>
      <c r="O145" s="4">
        <v>0</v>
      </c>
      <c r="P145" s="4" t="s">
        <v>34</v>
      </c>
      <c r="Q145" s="4" t="s">
        <v>30</v>
      </c>
      <c r="R145" s="4" t="s">
        <v>109</v>
      </c>
      <c r="S145" s="4">
        <v>0</v>
      </c>
      <c r="T145" s="4">
        <v>0</v>
      </c>
      <c r="U145" s="4">
        <v>0</v>
      </c>
      <c r="V145" s="4" t="s">
        <v>32</v>
      </c>
      <c r="W145" s="4" t="s">
        <v>32</v>
      </c>
      <c r="X145" s="4" t="s">
        <v>32</v>
      </c>
      <c r="Y145" s="4" t="s">
        <v>32</v>
      </c>
      <c r="Z145" s="4" t="s">
        <v>32</v>
      </c>
      <c r="AA145" s="4" t="s">
        <v>32</v>
      </c>
    </row>
    <row r="146" s="4" customFormat="1" spans="1:27">
      <c r="A146" s="4" t="s">
        <v>104</v>
      </c>
      <c r="B146" s="4" t="s">
        <v>28</v>
      </c>
      <c r="C146" s="4">
        <v>13096034</v>
      </c>
      <c r="D146" s="19">
        <v>254722395826</v>
      </c>
      <c r="E146" s="21">
        <v>45443.8085532407</v>
      </c>
      <c r="F146" s="4">
        <v>1586.9</v>
      </c>
      <c r="G146" s="4">
        <v>0</v>
      </c>
      <c r="H146" s="4">
        <v>1586.9</v>
      </c>
      <c r="I146" s="4">
        <v>69.68</v>
      </c>
      <c r="J146" s="4">
        <v>0</v>
      </c>
      <c r="K146" s="4">
        <v>69.68</v>
      </c>
      <c r="L146" s="4">
        <v>128.07</v>
      </c>
      <c r="M146" s="4">
        <v>17033</v>
      </c>
      <c r="N146" s="4">
        <v>2.14</v>
      </c>
      <c r="O146" s="4">
        <v>285</v>
      </c>
      <c r="P146" s="4" t="s">
        <v>29</v>
      </c>
      <c r="Q146" s="4" t="s">
        <v>30</v>
      </c>
      <c r="R146" s="4" t="s">
        <v>109</v>
      </c>
      <c r="S146" s="4">
        <v>0</v>
      </c>
      <c r="T146" s="4">
        <v>10</v>
      </c>
      <c r="U146" s="4">
        <v>0</v>
      </c>
      <c r="V146" s="4" t="s">
        <v>32</v>
      </c>
      <c r="W146" s="4" t="s">
        <v>32</v>
      </c>
      <c r="X146" s="4" t="s">
        <v>32</v>
      </c>
      <c r="Y146" s="4" t="s">
        <v>32</v>
      </c>
      <c r="Z146" s="4" t="s">
        <v>32</v>
      </c>
      <c r="AA146" s="4" t="s">
        <v>32</v>
      </c>
    </row>
    <row r="147" s="4" customFormat="1" spans="1:27">
      <c r="A147" s="4" t="s">
        <v>104</v>
      </c>
      <c r="B147" s="4" t="s">
        <v>28</v>
      </c>
      <c r="C147" s="4">
        <v>22929685</v>
      </c>
      <c r="D147" s="19">
        <v>254722538256</v>
      </c>
      <c r="E147" s="21">
        <v>46161.2462731482</v>
      </c>
      <c r="F147" s="4">
        <v>504.06</v>
      </c>
      <c r="G147" s="4">
        <v>0</v>
      </c>
      <c r="H147" s="4">
        <v>504.06</v>
      </c>
      <c r="I147" s="4">
        <v>7.9</v>
      </c>
      <c r="J147" s="4">
        <v>0</v>
      </c>
      <c r="K147" s="4">
        <v>7.9</v>
      </c>
      <c r="L147" s="4">
        <v>62.41</v>
      </c>
      <c r="M147" s="4">
        <v>8300</v>
      </c>
      <c r="N147" s="4">
        <v>59.29</v>
      </c>
      <c r="O147" s="4">
        <v>7885</v>
      </c>
      <c r="P147" s="4" t="s">
        <v>29</v>
      </c>
      <c r="Q147" s="4" t="s">
        <v>30</v>
      </c>
      <c r="R147" s="4" t="s">
        <v>109</v>
      </c>
      <c r="S147" s="4">
        <v>0</v>
      </c>
      <c r="T147" s="4">
        <v>390</v>
      </c>
      <c r="U147" s="4">
        <v>0</v>
      </c>
      <c r="V147" s="4" t="s">
        <v>32</v>
      </c>
      <c r="W147" s="4" t="s">
        <v>32</v>
      </c>
      <c r="X147" s="4" t="s">
        <v>32</v>
      </c>
      <c r="Y147" s="4" t="s">
        <v>32</v>
      </c>
      <c r="Z147" s="4" t="s">
        <v>32</v>
      </c>
      <c r="AA147" s="4" t="s">
        <v>32</v>
      </c>
    </row>
    <row r="148" s="4" customFormat="1" spans="1:27">
      <c r="A148" s="4" t="s">
        <v>104</v>
      </c>
      <c r="B148" s="4" t="s">
        <v>28</v>
      </c>
      <c r="C148" s="4">
        <v>11553103</v>
      </c>
      <c r="D148" s="19">
        <v>254722984266</v>
      </c>
      <c r="E148" s="21">
        <v>45262.4425694444</v>
      </c>
      <c r="F148" s="4">
        <v>872.54</v>
      </c>
      <c r="G148" s="4">
        <v>1.36</v>
      </c>
      <c r="H148" s="4">
        <v>871.18</v>
      </c>
      <c r="I148" s="4">
        <v>91.83</v>
      </c>
      <c r="J148" s="4">
        <v>1.36</v>
      </c>
      <c r="K148" s="4">
        <v>90.47</v>
      </c>
      <c r="L148" s="4">
        <v>101.68</v>
      </c>
      <c r="M148" s="4">
        <v>13524</v>
      </c>
      <c r="N148" s="4">
        <v>88.57</v>
      </c>
      <c r="O148" s="4">
        <v>11780</v>
      </c>
      <c r="P148" s="4" t="s">
        <v>29</v>
      </c>
      <c r="Q148" s="4" t="s">
        <v>30</v>
      </c>
      <c r="R148" s="4" t="s">
        <v>109</v>
      </c>
      <c r="S148" s="4">
        <v>0</v>
      </c>
      <c r="T148" s="4">
        <v>590</v>
      </c>
      <c r="U148" s="4">
        <v>0</v>
      </c>
      <c r="V148" s="4" t="s">
        <v>32</v>
      </c>
      <c r="W148" s="4" t="s">
        <v>32</v>
      </c>
      <c r="X148" s="4" t="s">
        <v>32</v>
      </c>
      <c r="Y148" s="4" t="s">
        <v>32</v>
      </c>
      <c r="Z148" s="4" t="s">
        <v>32</v>
      </c>
      <c r="AA148" s="4" t="s">
        <v>32</v>
      </c>
    </row>
    <row r="149" s="4" customFormat="1" spans="1:27">
      <c r="A149" s="4" t="s">
        <v>104</v>
      </c>
      <c r="B149" s="4" t="s">
        <v>28</v>
      </c>
      <c r="C149" s="4">
        <v>991053</v>
      </c>
      <c r="D149" s="19">
        <v>254723641154</v>
      </c>
      <c r="E149" s="21">
        <v>43989.6230671296</v>
      </c>
      <c r="F149" s="4">
        <v>8651.25</v>
      </c>
      <c r="G149" s="4">
        <v>0.01</v>
      </c>
      <c r="H149" s="4">
        <v>8651.24</v>
      </c>
      <c r="I149" s="4">
        <v>-41.4</v>
      </c>
      <c r="J149" s="4">
        <v>0.01</v>
      </c>
      <c r="K149" s="4">
        <v>-41.4</v>
      </c>
      <c r="L149" s="4">
        <v>1877.96</v>
      </c>
      <c r="M149" s="4">
        <v>249769</v>
      </c>
      <c r="N149" s="4">
        <v>0</v>
      </c>
      <c r="O149" s="4">
        <v>0</v>
      </c>
      <c r="P149" s="4" t="s">
        <v>29</v>
      </c>
      <c r="Q149" s="4" t="s">
        <v>33</v>
      </c>
      <c r="R149" s="4" t="s">
        <v>109</v>
      </c>
      <c r="S149" s="4">
        <v>0</v>
      </c>
      <c r="T149" s="4">
        <v>0</v>
      </c>
      <c r="U149" s="4">
        <v>0</v>
      </c>
      <c r="V149" s="4" t="s">
        <v>32</v>
      </c>
      <c r="W149" s="4" t="s">
        <v>32</v>
      </c>
      <c r="X149" s="4" t="s">
        <v>32</v>
      </c>
      <c r="Y149" s="4" t="s">
        <v>32</v>
      </c>
      <c r="Z149" s="4" t="s">
        <v>32</v>
      </c>
      <c r="AA149" s="4" t="s">
        <v>32</v>
      </c>
    </row>
    <row r="150" s="4" customFormat="1" spans="1:27">
      <c r="A150" s="4" t="s">
        <v>104</v>
      </c>
      <c r="B150" s="4" t="s">
        <v>28</v>
      </c>
      <c r="C150" s="4">
        <v>7059094</v>
      </c>
      <c r="D150" s="19">
        <v>254724298204</v>
      </c>
      <c r="E150" s="21">
        <v>44631.7066666667</v>
      </c>
      <c r="F150" s="4">
        <v>17677.19</v>
      </c>
      <c r="G150" s="4">
        <v>0</v>
      </c>
      <c r="H150" s="4">
        <v>17677.19</v>
      </c>
      <c r="I150" s="4">
        <v>789.54</v>
      </c>
      <c r="J150" s="4">
        <v>0</v>
      </c>
      <c r="K150" s="4">
        <v>939.92</v>
      </c>
      <c r="L150" s="4">
        <v>4966.77</v>
      </c>
      <c r="M150" s="4">
        <v>660580</v>
      </c>
      <c r="N150" s="4">
        <v>426.14</v>
      </c>
      <c r="O150" s="4">
        <v>56676</v>
      </c>
      <c r="P150" s="4" t="s">
        <v>34</v>
      </c>
      <c r="Q150" s="4" t="s">
        <v>33</v>
      </c>
      <c r="R150" s="4" t="s">
        <v>109</v>
      </c>
      <c r="S150" s="4">
        <v>0</v>
      </c>
      <c r="T150" s="4">
        <v>2830</v>
      </c>
      <c r="U150" s="4">
        <v>1</v>
      </c>
      <c r="V150" s="4">
        <v>1</v>
      </c>
      <c r="W150" s="4" t="s">
        <v>32</v>
      </c>
      <c r="X150" s="4" t="s">
        <v>32</v>
      </c>
      <c r="Y150" s="4" t="s">
        <v>32</v>
      </c>
      <c r="Z150" s="4" t="s">
        <v>32</v>
      </c>
      <c r="AA150" s="4" t="s">
        <v>32</v>
      </c>
    </row>
    <row r="151" s="4" customFormat="1" spans="1:27">
      <c r="A151" s="4" t="s">
        <v>104</v>
      </c>
      <c r="B151" s="4" t="s">
        <v>28</v>
      </c>
      <c r="C151" s="4">
        <v>19470905</v>
      </c>
      <c r="D151" s="19">
        <v>254725035113</v>
      </c>
      <c r="E151" s="21">
        <v>45975.727650463</v>
      </c>
      <c r="F151" s="4">
        <v>354.04</v>
      </c>
      <c r="G151" s="4">
        <v>0</v>
      </c>
      <c r="H151" s="4">
        <v>354.04</v>
      </c>
      <c r="I151" s="4">
        <v>41.12</v>
      </c>
      <c r="J151" s="4">
        <v>0</v>
      </c>
      <c r="K151" s="4">
        <v>41.12</v>
      </c>
      <c r="L151" s="4">
        <v>87.52</v>
      </c>
      <c r="M151" s="4">
        <v>11640</v>
      </c>
      <c r="N151" s="4">
        <v>25.79</v>
      </c>
      <c r="O151" s="4">
        <v>3429.5</v>
      </c>
      <c r="P151" s="4" t="s">
        <v>29</v>
      </c>
      <c r="Q151" s="4" t="s">
        <v>30</v>
      </c>
      <c r="R151" s="4" t="s">
        <v>109</v>
      </c>
      <c r="S151" s="4">
        <v>0</v>
      </c>
      <c r="T151" s="4">
        <v>170</v>
      </c>
      <c r="U151" s="4">
        <v>0</v>
      </c>
      <c r="V151" s="4" t="s">
        <v>32</v>
      </c>
      <c r="W151" s="4" t="s">
        <v>32</v>
      </c>
      <c r="X151" s="4" t="s">
        <v>32</v>
      </c>
      <c r="Y151" s="4" t="s">
        <v>32</v>
      </c>
      <c r="Z151" s="4" t="s">
        <v>32</v>
      </c>
      <c r="AA151" s="4" t="s">
        <v>32</v>
      </c>
    </row>
    <row r="152" s="4" customFormat="1" spans="1:27">
      <c r="A152" s="4" t="s">
        <v>104</v>
      </c>
      <c r="B152" s="4" t="s">
        <v>28</v>
      </c>
      <c r="C152" s="4">
        <v>2478944</v>
      </c>
      <c r="D152" s="19">
        <v>254725120565</v>
      </c>
      <c r="E152" s="21">
        <v>44086.2996527778</v>
      </c>
      <c r="F152" s="4">
        <v>599.16</v>
      </c>
      <c r="G152" s="4">
        <v>0.02</v>
      </c>
      <c r="H152" s="4">
        <v>599.14</v>
      </c>
      <c r="I152" s="4">
        <v>10</v>
      </c>
      <c r="J152" s="4">
        <v>0.02</v>
      </c>
      <c r="K152" s="4">
        <v>9.98</v>
      </c>
      <c r="L152" s="4">
        <v>171.92</v>
      </c>
      <c r="M152" s="4">
        <v>22865</v>
      </c>
      <c r="N152" s="4">
        <v>163.32</v>
      </c>
      <c r="O152" s="4">
        <v>21721.75</v>
      </c>
      <c r="P152" s="4" t="s">
        <v>34</v>
      </c>
      <c r="Q152" s="4" t="s">
        <v>30</v>
      </c>
      <c r="R152" s="4" t="s">
        <v>109</v>
      </c>
      <c r="S152" s="4">
        <v>0</v>
      </c>
      <c r="T152" s="4">
        <v>1090</v>
      </c>
      <c r="U152" s="4">
        <v>0</v>
      </c>
      <c r="V152" s="4" t="s">
        <v>32</v>
      </c>
      <c r="W152" s="4" t="s">
        <v>32</v>
      </c>
      <c r="X152" s="4" t="s">
        <v>32</v>
      </c>
      <c r="Y152" s="4" t="s">
        <v>32</v>
      </c>
      <c r="Z152" s="4" t="s">
        <v>32</v>
      </c>
      <c r="AA152" s="4" t="s">
        <v>32</v>
      </c>
    </row>
    <row r="153" s="4" customFormat="1" spans="1:27">
      <c r="A153" s="4" t="s">
        <v>104</v>
      </c>
      <c r="B153" s="4" t="s">
        <v>28</v>
      </c>
      <c r="C153" s="4">
        <v>16334</v>
      </c>
      <c r="D153" s="19">
        <v>254726390802</v>
      </c>
      <c r="E153" s="21">
        <v>43794.7076851852</v>
      </c>
      <c r="F153" s="4">
        <v>326.32</v>
      </c>
      <c r="G153" s="4">
        <v>1.6</v>
      </c>
      <c r="H153" s="4">
        <v>324.71</v>
      </c>
      <c r="I153" s="4">
        <v>42.79</v>
      </c>
      <c r="J153" s="4">
        <v>1.6</v>
      </c>
      <c r="K153" s="4">
        <v>41.19</v>
      </c>
      <c r="L153" s="4">
        <v>86.77</v>
      </c>
      <c r="M153" s="4">
        <v>11541</v>
      </c>
      <c r="N153" s="4">
        <v>17.64</v>
      </c>
      <c r="O153" s="4">
        <v>2346.5</v>
      </c>
      <c r="P153" s="4" t="s">
        <v>34</v>
      </c>
      <c r="Q153" s="4" t="s">
        <v>30</v>
      </c>
      <c r="R153" s="4" t="s">
        <v>109</v>
      </c>
      <c r="S153" s="4">
        <v>0</v>
      </c>
      <c r="T153" s="4">
        <v>120</v>
      </c>
      <c r="U153" s="4">
        <v>0</v>
      </c>
      <c r="V153" s="4" t="s">
        <v>32</v>
      </c>
      <c r="W153" s="4" t="s">
        <v>32</v>
      </c>
      <c r="X153" s="4" t="s">
        <v>32</v>
      </c>
      <c r="Y153" s="4" t="s">
        <v>32</v>
      </c>
      <c r="Z153" s="4" t="s">
        <v>32</v>
      </c>
      <c r="AA153" s="4" t="s">
        <v>32</v>
      </c>
    </row>
    <row r="154" s="4" customFormat="1" spans="1:27">
      <c r="A154" s="4" t="s">
        <v>104</v>
      </c>
      <c r="B154" s="4" t="s">
        <v>28</v>
      </c>
      <c r="C154" s="4">
        <v>13100135</v>
      </c>
      <c r="D154" s="19">
        <v>254727838856</v>
      </c>
      <c r="E154" s="21">
        <v>45444.582662037</v>
      </c>
      <c r="F154" s="4">
        <v>301.16</v>
      </c>
      <c r="G154" s="4">
        <v>0</v>
      </c>
      <c r="H154" s="4">
        <v>301.16</v>
      </c>
      <c r="I154" s="4">
        <v>35.91</v>
      </c>
      <c r="J154" s="4">
        <v>0</v>
      </c>
      <c r="K154" s="4">
        <v>35.91</v>
      </c>
      <c r="L154" s="4">
        <v>69.99</v>
      </c>
      <c r="M154" s="4">
        <v>9309</v>
      </c>
      <c r="N154" s="4">
        <v>34.79</v>
      </c>
      <c r="O154" s="4">
        <v>4627.45</v>
      </c>
      <c r="P154" s="4" t="s">
        <v>29</v>
      </c>
      <c r="Q154" s="4" t="s">
        <v>30</v>
      </c>
      <c r="R154" s="4" t="s">
        <v>109</v>
      </c>
      <c r="S154" s="4">
        <v>0</v>
      </c>
      <c r="T154" s="4">
        <v>230</v>
      </c>
      <c r="U154" s="4">
        <v>0</v>
      </c>
      <c r="V154" s="4" t="s">
        <v>32</v>
      </c>
      <c r="W154" s="4" t="s">
        <v>32</v>
      </c>
      <c r="X154" s="4" t="s">
        <v>32</v>
      </c>
      <c r="Y154" s="4" t="s">
        <v>32</v>
      </c>
      <c r="Z154" s="4" t="s">
        <v>32</v>
      </c>
      <c r="AA154" s="4" t="s">
        <v>32</v>
      </c>
    </row>
    <row r="155" s="4" customFormat="1" spans="1:27">
      <c r="A155" s="4" t="s">
        <v>104</v>
      </c>
      <c r="B155" s="4" t="s">
        <v>28</v>
      </c>
      <c r="C155" s="4">
        <v>18669835</v>
      </c>
      <c r="D155" s="19">
        <v>254729461750</v>
      </c>
      <c r="E155" s="21">
        <v>45925.7950694444</v>
      </c>
      <c r="F155" s="4">
        <v>1770.32</v>
      </c>
      <c r="G155" s="4">
        <v>0</v>
      </c>
      <c r="H155" s="4">
        <v>1770.32</v>
      </c>
      <c r="I155" s="4">
        <v>147.19</v>
      </c>
      <c r="J155" s="4">
        <v>-0.48</v>
      </c>
      <c r="K155" s="4">
        <v>147.67</v>
      </c>
      <c r="L155" s="4">
        <v>220.83</v>
      </c>
      <c r="M155" s="4">
        <v>29370</v>
      </c>
      <c r="N155" s="4">
        <v>8.57</v>
      </c>
      <c r="O155" s="4">
        <v>1140</v>
      </c>
      <c r="P155" s="4" t="s">
        <v>34</v>
      </c>
      <c r="Q155" s="4" t="s">
        <v>30</v>
      </c>
      <c r="R155" s="4" t="s">
        <v>109</v>
      </c>
      <c r="S155" s="4">
        <v>0</v>
      </c>
      <c r="T155" s="4">
        <v>60</v>
      </c>
      <c r="U155" s="4">
        <v>0</v>
      </c>
      <c r="V155" s="4" t="s">
        <v>32</v>
      </c>
      <c r="W155" s="4" t="s">
        <v>32</v>
      </c>
      <c r="X155" s="4" t="s">
        <v>32</v>
      </c>
      <c r="Y155" s="4" t="s">
        <v>32</v>
      </c>
      <c r="Z155" s="4" t="s">
        <v>32</v>
      </c>
      <c r="AA155" s="4" t="s">
        <v>32</v>
      </c>
    </row>
    <row r="156" s="4" customFormat="1" spans="1:27">
      <c r="A156" s="4" t="s">
        <v>104</v>
      </c>
      <c r="B156" s="4" t="s">
        <v>28</v>
      </c>
      <c r="C156" s="4">
        <v>13831774</v>
      </c>
      <c r="D156" s="19">
        <v>254729815169</v>
      </c>
      <c r="E156" s="21">
        <v>45560.6919444444</v>
      </c>
      <c r="F156" s="4">
        <v>361.23</v>
      </c>
      <c r="G156" s="4">
        <v>0.31</v>
      </c>
      <c r="H156" s="4">
        <v>360.92</v>
      </c>
      <c r="I156" s="4">
        <v>1.15</v>
      </c>
      <c r="J156" s="4">
        <v>0.31</v>
      </c>
      <c r="K156" s="4">
        <v>0.84</v>
      </c>
      <c r="L156" s="4">
        <v>66.67</v>
      </c>
      <c r="M156" s="4">
        <v>8867</v>
      </c>
      <c r="N156" s="4">
        <v>11.78</v>
      </c>
      <c r="O156" s="4">
        <v>1566.55</v>
      </c>
      <c r="P156" s="4" t="s">
        <v>29</v>
      </c>
      <c r="Q156" s="4" t="s">
        <v>30</v>
      </c>
      <c r="R156" s="4" t="s">
        <v>109</v>
      </c>
      <c r="S156" s="4">
        <v>0</v>
      </c>
      <c r="T156" s="4">
        <v>80</v>
      </c>
      <c r="U156" s="4">
        <v>0</v>
      </c>
      <c r="V156" s="4" t="s">
        <v>32</v>
      </c>
      <c r="W156" s="4" t="s">
        <v>32</v>
      </c>
      <c r="X156" s="4" t="s">
        <v>32</v>
      </c>
      <c r="Y156" s="4" t="s">
        <v>32</v>
      </c>
      <c r="Z156" s="4" t="s">
        <v>32</v>
      </c>
      <c r="AA156" s="4" t="s">
        <v>32</v>
      </c>
    </row>
    <row r="157" s="4" customFormat="1" spans="1:27">
      <c r="A157" s="4" t="s">
        <v>104</v>
      </c>
      <c r="B157" s="4" t="s">
        <v>28</v>
      </c>
      <c r="C157" s="4">
        <v>32473</v>
      </c>
      <c r="D157" s="19">
        <v>254729957654</v>
      </c>
      <c r="E157" s="21">
        <v>43824.4322222222</v>
      </c>
      <c r="F157" s="4">
        <v>6326.39</v>
      </c>
      <c r="G157" s="4">
        <v>8.05</v>
      </c>
      <c r="H157" s="4">
        <v>6318.34</v>
      </c>
      <c r="I157" s="4">
        <v>168.85</v>
      </c>
      <c r="J157" s="4">
        <v>-19.66</v>
      </c>
      <c r="K157" s="4">
        <v>188.52</v>
      </c>
      <c r="L157" s="4">
        <v>831.07</v>
      </c>
      <c r="M157" s="4">
        <v>110532</v>
      </c>
      <c r="N157" s="4">
        <v>50.66</v>
      </c>
      <c r="O157" s="4">
        <v>6738.35</v>
      </c>
      <c r="P157" s="4" t="s">
        <v>29</v>
      </c>
      <c r="Q157" s="4" t="s">
        <v>30</v>
      </c>
      <c r="R157" s="4" t="s">
        <v>109</v>
      </c>
      <c r="S157" s="4">
        <v>0</v>
      </c>
      <c r="T157" s="4">
        <v>340</v>
      </c>
      <c r="U157" s="4">
        <v>0</v>
      </c>
      <c r="V157" s="4" t="s">
        <v>32</v>
      </c>
      <c r="W157" s="4" t="s">
        <v>32</v>
      </c>
      <c r="X157" s="4" t="s">
        <v>32</v>
      </c>
      <c r="Y157" s="4" t="s">
        <v>32</v>
      </c>
      <c r="Z157" s="4" t="s">
        <v>32</v>
      </c>
      <c r="AA157" s="4" t="s">
        <v>32</v>
      </c>
    </row>
    <row r="158" s="4" customFormat="1" spans="1:27">
      <c r="A158" s="4" t="s">
        <v>104</v>
      </c>
      <c r="B158" s="4" t="s">
        <v>28</v>
      </c>
      <c r="C158" s="4">
        <v>22781793</v>
      </c>
      <c r="D158" s="19">
        <v>254732276245</v>
      </c>
      <c r="E158" s="21">
        <v>46150.252349537</v>
      </c>
      <c r="F158" s="4">
        <v>423.87</v>
      </c>
      <c r="G158" s="4">
        <v>0</v>
      </c>
      <c r="H158" s="4">
        <v>423.49</v>
      </c>
      <c r="I158" s="4">
        <v>98.85</v>
      </c>
      <c r="J158" s="4">
        <v>0</v>
      </c>
      <c r="K158" s="4">
        <v>98.85</v>
      </c>
      <c r="L158" s="4">
        <v>104.06</v>
      </c>
      <c r="M158" s="4">
        <v>13840</v>
      </c>
      <c r="N158" s="4">
        <v>98.86</v>
      </c>
      <c r="O158" s="4">
        <v>13148</v>
      </c>
      <c r="P158" s="4" t="s">
        <v>34</v>
      </c>
      <c r="Q158" s="4" t="s">
        <v>30</v>
      </c>
      <c r="R158" s="4" t="s">
        <v>109</v>
      </c>
      <c r="S158" s="4">
        <v>0</v>
      </c>
      <c r="T158" s="4">
        <v>660</v>
      </c>
      <c r="U158" s="4">
        <v>0</v>
      </c>
      <c r="V158" s="4" t="s">
        <v>32</v>
      </c>
      <c r="W158" s="4" t="s">
        <v>32</v>
      </c>
      <c r="X158" s="4" t="s">
        <v>32</v>
      </c>
      <c r="Y158" s="4" t="s">
        <v>32</v>
      </c>
      <c r="Z158" s="4" t="s">
        <v>32</v>
      </c>
      <c r="AA158" s="4" t="s">
        <v>32</v>
      </c>
    </row>
    <row r="159" s="4" customFormat="1" spans="1:27">
      <c r="A159" s="4" t="s">
        <v>104</v>
      </c>
      <c r="B159" s="4" t="s">
        <v>28</v>
      </c>
      <c r="C159" s="4">
        <v>16248533</v>
      </c>
      <c r="D159" s="19">
        <v>254740567554</v>
      </c>
      <c r="E159" s="21">
        <v>45761.7172337963</v>
      </c>
      <c r="F159" s="4">
        <v>692.7</v>
      </c>
      <c r="G159" s="4">
        <v>0</v>
      </c>
      <c r="H159" s="4">
        <v>692.7</v>
      </c>
      <c r="I159" s="4">
        <v>9.54</v>
      </c>
      <c r="J159" s="4">
        <v>0</v>
      </c>
      <c r="K159" s="4">
        <v>9.54</v>
      </c>
      <c r="L159" s="4">
        <v>67.23</v>
      </c>
      <c r="M159" s="4">
        <v>8941</v>
      </c>
      <c r="N159" s="4">
        <v>16.21</v>
      </c>
      <c r="O159" s="4">
        <v>2156.5</v>
      </c>
      <c r="P159" s="4" t="s">
        <v>29</v>
      </c>
      <c r="Q159" s="4" t="s">
        <v>30</v>
      </c>
      <c r="R159" s="4" t="s">
        <v>109</v>
      </c>
      <c r="S159" s="4">
        <v>0</v>
      </c>
      <c r="T159" s="4">
        <v>110</v>
      </c>
      <c r="U159" s="4">
        <v>0</v>
      </c>
      <c r="V159" s="4" t="s">
        <v>32</v>
      </c>
      <c r="W159" s="4" t="s">
        <v>32</v>
      </c>
      <c r="X159" s="4" t="s">
        <v>32</v>
      </c>
      <c r="Y159" s="4" t="s">
        <v>32</v>
      </c>
      <c r="Z159" s="4" t="s">
        <v>32</v>
      </c>
      <c r="AA159" s="4" t="s">
        <v>32</v>
      </c>
    </row>
    <row r="160" s="4" customFormat="1" spans="1:27">
      <c r="A160" s="4" t="s">
        <v>104</v>
      </c>
      <c r="B160" s="4" t="s">
        <v>28</v>
      </c>
      <c r="C160" s="4">
        <v>21042625</v>
      </c>
      <c r="D160" s="19">
        <v>254740635077</v>
      </c>
      <c r="E160" s="21">
        <v>46052.3394907407</v>
      </c>
      <c r="F160" s="4">
        <v>20230.79</v>
      </c>
      <c r="G160" s="4">
        <v>0</v>
      </c>
      <c r="H160" s="4">
        <v>20230.79</v>
      </c>
      <c r="I160" s="4">
        <v>769.77</v>
      </c>
      <c r="J160" s="4">
        <v>0</v>
      </c>
      <c r="K160" s="4">
        <v>769.77</v>
      </c>
      <c r="L160" s="4">
        <v>5472.93</v>
      </c>
      <c r="M160" s="4">
        <v>727900</v>
      </c>
      <c r="N160" s="4">
        <v>2657.78</v>
      </c>
      <c r="O160" s="4">
        <v>353485</v>
      </c>
      <c r="P160" s="4" t="s">
        <v>34</v>
      </c>
      <c r="Q160" s="4" t="s">
        <v>33</v>
      </c>
      <c r="R160" s="4" t="s">
        <v>109</v>
      </c>
      <c r="S160" s="4">
        <v>0</v>
      </c>
      <c r="T160" s="4">
        <v>17670</v>
      </c>
      <c r="U160" s="4">
        <v>1</v>
      </c>
      <c r="V160" s="4">
        <v>1</v>
      </c>
      <c r="W160" s="4" t="s">
        <v>32</v>
      </c>
      <c r="X160" s="4" t="s">
        <v>32</v>
      </c>
      <c r="Y160" s="4" t="s">
        <v>32</v>
      </c>
      <c r="Z160" s="4" t="s">
        <v>32</v>
      </c>
      <c r="AA160" s="4" t="s">
        <v>32</v>
      </c>
    </row>
    <row r="161" s="4" customFormat="1" spans="1:27">
      <c r="A161" s="4" t="s">
        <v>104</v>
      </c>
      <c r="B161" s="4" t="s">
        <v>28</v>
      </c>
      <c r="C161" s="4">
        <v>16904515</v>
      </c>
      <c r="D161" s="19">
        <v>254757358490</v>
      </c>
      <c r="E161" s="21">
        <v>45813.8248958333</v>
      </c>
      <c r="F161" s="4">
        <v>718.88</v>
      </c>
      <c r="G161" s="4">
        <v>0.92</v>
      </c>
      <c r="H161" s="4">
        <v>717.95</v>
      </c>
      <c r="I161" s="4">
        <v>39.64</v>
      </c>
      <c r="J161" s="4">
        <v>-10.44</v>
      </c>
      <c r="K161" s="4">
        <v>50.83</v>
      </c>
      <c r="L161" s="4">
        <v>106.51</v>
      </c>
      <c r="M161" s="4">
        <v>14166</v>
      </c>
      <c r="N161" s="4">
        <v>56.36</v>
      </c>
      <c r="O161" s="4">
        <v>7495.5</v>
      </c>
      <c r="P161" s="4" t="s">
        <v>34</v>
      </c>
      <c r="Q161" s="4" t="s">
        <v>30</v>
      </c>
      <c r="R161" s="4" t="s">
        <v>109</v>
      </c>
      <c r="S161" s="4">
        <v>0</v>
      </c>
      <c r="T161" s="4">
        <v>370</v>
      </c>
      <c r="U161" s="4">
        <v>0</v>
      </c>
      <c r="V161" s="4" t="s">
        <v>32</v>
      </c>
      <c r="W161" s="4" t="s">
        <v>32</v>
      </c>
      <c r="X161" s="4" t="s">
        <v>32</v>
      </c>
      <c r="Y161" s="4" t="s">
        <v>32</v>
      </c>
      <c r="Z161" s="4" t="s">
        <v>32</v>
      </c>
      <c r="AA161" s="4" t="s">
        <v>32</v>
      </c>
    </row>
    <row r="162" s="4" customFormat="1" spans="1:27">
      <c r="A162" s="4" t="s">
        <v>104</v>
      </c>
      <c r="B162" s="4" t="s">
        <v>28</v>
      </c>
      <c r="C162" s="4">
        <v>20654114</v>
      </c>
      <c r="D162" s="19">
        <v>254757528222</v>
      </c>
      <c r="E162" s="21">
        <v>46031.6657523148</v>
      </c>
      <c r="F162" s="4">
        <v>252.77</v>
      </c>
      <c r="G162" s="4">
        <v>0</v>
      </c>
      <c r="H162" s="4">
        <v>252.77</v>
      </c>
      <c r="I162" s="4">
        <v>21.86</v>
      </c>
      <c r="J162" s="4">
        <v>0</v>
      </c>
      <c r="K162" s="4">
        <v>21.86</v>
      </c>
      <c r="L162" s="4">
        <v>117.29</v>
      </c>
      <c r="M162" s="4">
        <v>15600</v>
      </c>
      <c r="N162" s="4">
        <v>10</v>
      </c>
      <c r="O162" s="4">
        <v>1330</v>
      </c>
      <c r="P162" s="4" t="s">
        <v>34</v>
      </c>
      <c r="Q162" s="4" t="s">
        <v>30</v>
      </c>
      <c r="R162" s="4" t="s">
        <v>109</v>
      </c>
      <c r="S162" s="4">
        <v>0</v>
      </c>
      <c r="T162" s="4">
        <v>70</v>
      </c>
      <c r="U162" s="4">
        <v>0</v>
      </c>
      <c r="V162" s="4" t="s">
        <v>32</v>
      </c>
      <c r="W162" s="4" t="s">
        <v>32</v>
      </c>
      <c r="X162" s="4" t="s">
        <v>32</v>
      </c>
      <c r="Y162" s="4" t="s">
        <v>32</v>
      </c>
      <c r="Z162" s="4" t="s">
        <v>32</v>
      </c>
      <c r="AA162" s="4" t="s">
        <v>32</v>
      </c>
    </row>
    <row r="163" s="4" customFormat="1" spans="1:27">
      <c r="A163" s="4" t="s">
        <v>104</v>
      </c>
      <c r="B163" s="4" t="s">
        <v>28</v>
      </c>
      <c r="C163" s="4">
        <v>16663823</v>
      </c>
      <c r="D163" s="19">
        <v>254758521413</v>
      </c>
      <c r="E163" s="21">
        <v>45789.6343055556</v>
      </c>
      <c r="F163" s="4">
        <v>358.92</v>
      </c>
      <c r="G163" s="4">
        <v>10.02</v>
      </c>
      <c r="H163" s="4">
        <v>348.9</v>
      </c>
      <c r="I163" s="4">
        <v>13.99</v>
      </c>
      <c r="J163" s="4">
        <v>-12.01</v>
      </c>
      <c r="K163" s="4">
        <v>26</v>
      </c>
      <c r="L163" s="4">
        <v>90.23</v>
      </c>
      <c r="M163" s="4">
        <v>12000</v>
      </c>
      <c r="N163" s="4">
        <v>4.29</v>
      </c>
      <c r="O163" s="4">
        <v>570</v>
      </c>
      <c r="P163" s="4" t="s">
        <v>34</v>
      </c>
      <c r="Q163" s="4" t="s">
        <v>30</v>
      </c>
      <c r="R163" s="4" t="s">
        <v>109</v>
      </c>
      <c r="S163" s="4">
        <v>0</v>
      </c>
      <c r="T163" s="4">
        <v>30</v>
      </c>
      <c r="U163" s="4">
        <v>0</v>
      </c>
      <c r="V163" s="4" t="s">
        <v>32</v>
      </c>
      <c r="W163" s="4" t="s">
        <v>32</v>
      </c>
      <c r="X163" s="4" t="s">
        <v>32</v>
      </c>
      <c r="Y163" s="4" t="s">
        <v>32</v>
      </c>
      <c r="Z163" s="4" t="s">
        <v>32</v>
      </c>
      <c r="AA163" s="4" t="s">
        <v>32</v>
      </c>
    </row>
    <row r="164" s="4" customFormat="1" spans="1:27">
      <c r="A164" s="4" t="s">
        <v>104</v>
      </c>
      <c r="B164" s="4" t="s">
        <v>28</v>
      </c>
      <c r="C164" s="4">
        <v>16879784</v>
      </c>
      <c r="D164" s="19">
        <v>254758989585</v>
      </c>
      <c r="E164" s="21">
        <v>45811.8632060185</v>
      </c>
      <c r="F164" s="4">
        <v>705.94</v>
      </c>
      <c r="G164" s="4">
        <v>0.31</v>
      </c>
      <c r="H164" s="4">
        <v>705.64</v>
      </c>
      <c r="I164" s="4">
        <v>-69.84</v>
      </c>
      <c r="J164" s="4">
        <v>0.27</v>
      </c>
      <c r="K164" s="4">
        <v>-70.11</v>
      </c>
      <c r="L164" s="4">
        <v>140.39</v>
      </c>
      <c r="M164" s="4">
        <v>18672</v>
      </c>
      <c r="N164" s="4">
        <v>0.67</v>
      </c>
      <c r="O164" s="4">
        <v>89.3</v>
      </c>
      <c r="P164" s="4" t="s">
        <v>29</v>
      </c>
      <c r="Q164" s="4" t="s">
        <v>30</v>
      </c>
      <c r="R164" s="4" t="s">
        <v>109</v>
      </c>
      <c r="S164" s="4">
        <v>0</v>
      </c>
      <c r="T164" s="4">
        <v>0</v>
      </c>
      <c r="U164" s="4">
        <v>0</v>
      </c>
      <c r="V164" s="4" t="s">
        <v>32</v>
      </c>
      <c r="W164" s="4" t="s">
        <v>32</v>
      </c>
      <c r="X164" s="4" t="s">
        <v>32</v>
      </c>
      <c r="Y164" s="4" t="s">
        <v>32</v>
      </c>
      <c r="Z164" s="4" t="s">
        <v>32</v>
      </c>
      <c r="AA164" s="4" t="s">
        <v>32</v>
      </c>
    </row>
    <row r="165" s="4" customFormat="1" spans="1:27">
      <c r="A165" s="4" t="s">
        <v>104</v>
      </c>
      <c r="B165" s="4" t="s">
        <v>28</v>
      </c>
      <c r="C165" s="4">
        <v>20971424</v>
      </c>
      <c r="D165" s="19">
        <v>254759407038</v>
      </c>
      <c r="E165" s="21">
        <v>46047.8909606481</v>
      </c>
      <c r="F165" s="4">
        <v>801.43</v>
      </c>
      <c r="G165" s="4">
        <v>0</v>
      </c>
      <c r="H165" s="4">
        <v>801.43</v>
      </c>
      <c r="I165" s="4">
        <v>3.29</v>
      </c>
      <c r="J165" s="4">
        <v>0</v>
      </c>
      <c r="K165" s="4">
        <v>3.29</v>
      </c>
      <c r="L165" s="4">
        <v>127.74</v>
      </c>
      <c r="M165" s="4">
        <v>16990</v>
      </c>
      <c r="N165" s="4">
        <v>51.21</v>
      </c>
      <c r="O165" s="4">
        <v>6811.5</v>
      </c>
      <c r="P165" s="4" t="s">
        <v>34</v>
      </c>
      <c r="Q165" s="4" t="s">
        <v>30</v>
      </c>
      <c r="R165" s="4" t="s">
        <v>109</v>
      </c>
      <c r="S165" s="4">
        <v>0</v>
      </c>
      <c r="T165" s="4">
        <v>340</v>
      </c>
      <c r="U165" s="4">
        <v>0</v>
      </c>
      <c r="V165" s="4" t="s">
        <v>32</v>
      </c>
      <c r="W165" s="4" t="s">
        <v>32</v>
      </c>
      <c r="X165" s="4" t="s">
        <v>32</v>
      </c>
      <c r="Y165" s="4" t="s">
        <v>32</v>
      </c>
      <c r="Z165" s="4" t="s">
        <v>32</v>
      </c>
      <c r="AA165" s="4" t="s">
        <v>32</v>
      </c>
    </row>
    <row r="166" s="4" customFormat="1" spans="1:27">
      <c r="A166" s="4" t="s">
        <v>104</v>
      </c>
      <c r="B166" s="4" t="s">
        <v>28</v>
      </c>
      <c r="C166" s="4">
        <v>12602044</v>
      </c>
      <c r="D166" s="19">
        <v>254759936702</v>
      </c>
      <c r="E166" s="21">
        <v>45381.849525463</v>
      </c>
      <c r="F166" s="4">
        <v>374.8</v>
      </c>
      <c r="G166" s="4">
        <v>0</v>
      </c>
      <c r="H166" s="4">
        <v>374.8</v>
      </c>
      <c r="I166" s="4">
        <v>-28.57</v>
      </c>
      <c r="J166" s="4">
        <v>0</v>
      </c>
      <c r="K166" s="4">
        <v>-28.57</v>
      </c>
      <c r="L166" s="4">
        <v>83.15</v>
      </c>
      <c r="M166" s="4">
        <v>11059</v>
      </c>
      <c r="N166" s="4">
        <v>66.43</v>
      </c>
      <c r="O166" s="4">
        <v>8835</v>
      </c>
      <c r="P166" s="4" t="s">
        <v>34</v>
      </c>
      <c r="Q166" s="4" t="s">
        <v>30</v>
      </c>
      <c r="R166" s="4" t="s">
        <v>109</v>
      </c>
      <c r="S166" s="4">
        <v>0</v>
      </c>
      <c r="T166" s="4">
        <v>440</v>
      </c>
      <c r="U166" s="4">
        <v>0</v>
      </c>
      <c r="V166" s="4" t="s">
        <v>32</v>
      </c>
      <c r="W166" s="4" t="s">
        <v>32</v>
      </c>
      <c r="X166" s="4" t="s">
        <v>32</v>
      </c>
      <c r="Y166" s="4" t="s">
        <v>32</v>
      </c>
      <c r="Z166" s="4" t="s">
        <v>32</v>
      </c>
      <c r="AA166" s="4" t="s">
        <v>32</v>
      </c>
    </row>
    <row r="167" s="4" customFormat="1" spans="1:27">
      <c r="A167" s="4" t="s">
        <v>104</v>
      </c>
      <c r="B167" s="4" t="s">
        <v>28</v>
      </c>
      <c r="C167" s="4">
        <v>12371525</v>
      </c>
      <c r="D167" s="19">
        <v>254790182110</v>
      </c>
      <c r="E167" s="21">
        <v>45348.5574305556</v>
      </c>
      <c r="F167" s="4">
        <v>846.87</v>
      </c>
      <c r="G167" s="4">
        <v>0.14</v>
      </c>
      <c r="H167" s="4">
        <v>846.74</v>
      </c>
      <c r="I167" s="4">
        <v>52.18</v>
      </c>
      <c r="J167" s="4">
        <v>0.14</v>
      </c>
      <c r="K167" s="4">
        <v>52.05</v>
      </c>
      <c r="L167" s="4">
        <v>87.62</v>
      </c>
      <c r="M167" s="4">
        <v>11653</v>
      </c>
      <c r="N167" s="4">
        <v>25.81</v>
      </c>
      <c r="O167" s="4">
        <v>3433.3</v>
      </c>
      <c r="P167" s="4" t="s">
        <v>29</v>
      </c>
      <c r="Q167" s="4" t="s">
        <v>30</v>
      </c>
      <c r="R167" s="4" t="s">
        <v>109</v>
      </c>
      <c r="S167" s="4">
        <v>0</v>
      </c>
      <c r="T167" s="4">
        <v>170</v>
      </c>
      <c r="U167" s="4">
        <v>0</v>
      </c>
      <c r="V167" s="4" t="s">
        <v>32</v>
      </c>
      <c r="W167" s="4" t="s">
        <v>32</v>
      </c>
      <c r="X167" s="4" t="s">
        <v>32</v>
      </c>
      <c r="Y167" s="4" t="s">
        <v>32</v>
      </c>
      <c r="Z167" s="4" t="s">
        <v>32</v>
      </c>
      <c r="AA167" s="4" t="s">
        <v>32</v>
      </c>
    </row>
    <row r="168" s="4" customFormat="1" spans="1:27">
      <c r="A168" s="4" t="s">
        <v>104</v>
      </c>
      <c r="B168" s="4" t="s">
        <v>28</v>
      </c>
      <c r="C168" s="4">
        <v>5046973</v>
      </c>
      <c r="D168" s="19">
        <v>254794350224</v>
      </c>
      <c r="E168" s="21">
        <v>44388.8397685185</v>
      </c>
      <c r="F168" s="4">
        <v>5902.26</v>
      </c>
      <c r="G168" s="4">
        <v>0.03</v>
      </c>
      <c r="H168" s="4">
        <v>5902.23</v>
      </c>
      <c r="I168" s="4">
        <v>160.83</v>
      </c>
      <c r="J168" s="4">
        <v>0.03</v>
      </c>
      <c r="K168" s="4">
        <v>161.55</v>
      </c>
      <c r="L168" s="4">
        <v>1032.89</v>
      </c>
      <c r="M168" s="4">
        <v>137375</v>
      </c>
      <c r="N168" s="4">
        <v>146.04</v>
      </c>
      <c r="O168" s="4">
        <v>19422.75</v>
      </c>
      <c r="P168" s="4" t="s">
        <v>34</v>
      </c>
      <c r="Q168" s="4" t="s">
        <v>33</v>
      </c>
      <c r="R168" s="4" t="s">
        <v>109</v>
      </c>
      <c r="S168" s="4">
        <v>0</v>
      </c>
      <c r="T168" s="4">
        <v>970</v>
      </c>
      <c r="U168" s="4">
        <v>0</v>
      </c>
      <c r="V168" s="4" t="s">
        <v>32</v>
      </c>
      <c r="W168" s="4" t="s">
        <v>32</v>
      </c>
      <c r="X168" s="4" t="s">
        <v>32</v>
      </c>
      <c r="Y168" s="4" t="s">
        <v>32</v>
      </c>
      <c r="Z168" s="4" t="s">
        <v>32</v>
      </c>
      <c r="AA168" s="4" t="s">
        <v>32</v>
      </c>
    </row>
    <row r="169" s="4" customFormat="1" spans="1:27">
      <c r="A169" s="4" t="s">
        <v>104</v>
      </c>
      <c r="B169" s="4" t="s">
        <v>28</v>
      </c>
      <c r="C169" s="4">
        <v>16000094</v>
      </c>
      <c r="D169" s="19">
        <v>254794975427</v>
      </c>
      <c r="E169" s="21">
        <v>45730.8340740741</v>
      </c>
      <c r="F169" s="4">
        <v>815.5</v>
      </c>
      <c r="G169" s="4">
        <v>0.01</v>
      </c>
      <c r="H169" s="4">
        <v>815.49</v>
      </c>
      <c r="I169" s="4">
        <v>20.33</v>
      </c>
      <c r="J169" s="4">
        <v>0.01</v>
      </c>
      <c r="K169" s="4">
        <v>20.32</v>
      </c>
      <c r="L169" s="4">
        <v>134.6</v>
      </c>
      <c r="M169" s="4">
        <v>17902</v>
      </c>
      <c r="N169" s="4">
        <v>59.24</v>
      </c>
      <c r="O169" s="4">
        <v>7879.3</v>
      </c>
      <c r="P169" s="4" t="s">
        <v>29</v>
      </c>
      <c r="Q169" s="4" t="s">
        <v>30</v>
      </c>
      <c r="R169" s="4" t="s">
        <v>109</v>
      </c>
      <c r="S169" s="4">
        <v>0</v>
      </c>
      <c r="T169" s="4">
        <v>390</v>
      </c>
      <c r="U169" s="4">
        <v>0</v>
      </c>
      <c r="V169" s="4" t="s">
        <v>32</v>
      </c>
      <c r="W169" s="4" t="s">
        <v>32</v>
      </c>
      <c r="X169" s="4" t="s">
        <v>32</v>
      </c>
      <c r="Y169" s="4" t="s">
        <v>32</v>
      </c>
      <c r="Z169" s="4" t="s">
        <v>32</v>
      </c>
      <c r="AA169" s="4" t="s">
        <v>32</v>
      </c>
    </row>
    <row r="170" s="4" customFormat="1" spans="1:27">
      <c r="A170" s="4" t="s">
        <v>104</v>
      </c>
      <c r="B170" s="4" t="s">
        <v>28</v>
      </c>
      <c r="C170" s="4">
        <v>22019304</v>
      </c>
      <c r="D170" s="19">
        <v>254797232180</v>
      </c>
      <c r="E170" s="21">
        <v>46102.9119675926</v>
      </c>
      <c r="F170" s="4">
        <v>2378.74</v>
      </c>
      <c r="G170" s="4">
        <v>0</v>
      </c>
      <c r="H170" s="4">
        <v>2378.74</v>
      </c>
      <c r="I170" s="4">
        <v>130.56</v>
      </c>
      <c r="J170" s="4">
        <v>0</v>
      </c>
      <c r="K170" s="4">
        <v>130.56</v>
      </c>
      <c r="L170" s="4">
        <v>396.32</v>
      </c>
      <c r="M170" s="4">
        <v>52710</v>
      </c>
      <c r="N170" s="4">
        <v>376.5</v>
      </c>
      <c r="O170" s="4">
        <v>50074.5</v>
      </c>
      <c r="P170" s="4" t="s">
        <v>34</v>
      </c>
      <c r="Q170" s="4" t="s">
        <v>30</v>
      </c>
      <c r="R170" s="4" t="s">
        <v>109</v>
      </c>
      <c r="S170" s="4">
        <v>0</v>
      </c>
      <c r="T170" s="4">
        <v>2500</v>
      </c>
      <c r="U170" s="4">
        <v>0</v>
      </c>
      <c r="V170" s="4" t="s">
        <v>32</v>
      </c>
      <c r="W170" s="4" t="s">
        <v>32</v>
      </c>
      <c r="X170" s="4" t="s">
        <v>32</v>
      </c>
      <c r="Y170" s="4" t="s">
        <v>32</v>
      </c>
      <c r="Z170" s="4" t="s">
        <v>32</v>
      </c>
      <c r="AA170" s="4" t="s">
        <v>32</v>
      </c>
    </row>
    <row r="171" s="4" customFormat="1" spans="1:27">
      <c r="A171" s="4" t="s">
        <v>104</v>
      </c>
      <c r="B171" s="4" t="s">
        <v>28</v>
      </c>
      <c r="C171" s="4">
        <v>9637803</v>
      </c>
      <c r="D171" s="19">
        <v>254797800174</v>
      </c>
      <c r="E171" s="21">
        <v>45008.6513657407</v>
      </c>
      <c r="F171" s="4">
        <v>9391.39</v>
      </c>
      <c r="G171" s="4">
        <v>1.05</v>
      </c>
      <c r="H171" s="4">
        <v>9389.96</v>
      </c>
      <c r="I171" s="4">
        <v>-181.21</v>
      </c>
      <c r="J171" s="4">
        <v>0.76</v>
      </c>
      <c r="K171" s="4">
        <v>-181.97</v>
      </c>
      <c r="L171" s="4">
        <v>667.3</v>
      </c>
      <c r="M171" s="4">
        <v>88751</v>
      </c>
      <c r="N171" s="4">
        <v>121.76</v>
      </c>
      <c r="O171" s="4">
        <v>16193.7</v>
      </c>
      <c r="P171" s="4" t="s">
        <v>34</v>
      </c>
      <c r="Q171" s="4" t="s">
        <v>30</v>
      </c>
      <c r="R171" s="4" t="s">
        <v>109</v>
      </c>
      <c r="S171" s="4">
        <v>0</v>
      </c>
      <c r="T171" s="4">
        <v>810</v>
      </c>
      <c r="U171" s="4">
        <v>0</v>
      </c>
      <c r="V171" s="4" t="s">
        <v>32</v>
      </c>
      <c r="W171" s="4" t="s">
        <v>32</v>
      </c>
      <c r="X171" s="4" t="s">
        <v>32</v>
      </c>
      <c r="Y171" s="4" t="s">
        <v>32</v>
      </c>
      <c r="Z171" s="4" t="s">
        <v>32</v>
      </c>
      <c r="AA171" s="4" t="s">
        <v>32</v>
      </c>
    </row>
    <row r="172" s="4" customFormat="1" spans="1:27">
      <c r="A172" s="4" t="s">
        <v>104</v>
      </c>
      <c r="B172" s="4" t="s">
        <v>28</v>
      </c>
      <c r="C172" s="4">
        <v>15063854</v>
      </c>
      <c r="D172" s="19">
        <v>254798312577</v>
      </c>
      <c r="E172" s="21">
        <v>45641.1210763889</v>
      </c>
      <c r="F172" s="4">
        <v>715.55</v>
      </c>
      <c r="G172" s="4">
        <v>3.3</v>
      </c>
      <c r="H172" s="4">
        <v>712.25</v>
      </c>
      <c r="I172" s="4">
        <v>13.72</v>
      </c>
      <c r="J172" s="4">
        <v>3.3</v>
      </c>
      <c r="K172" s="4">
        <v>10.41</v>
      </c>
      <c r="L172" s="4">
        <v>95.9</v>
      </c>
      <c r="M172" s="4">
        <v>12755</v>
      </c>
      <c r="N172" s="4">
        <v>24.16</v>
      </c>
      <c r="O172" s="4">
        <v>3213.85</v>
      </c>
      <c r="P172" s="4" t="s">
        <v>29</v>
      </c>
      <c r="Q172" s="4" t="s">
        <v>30</v>
      </c>
      <c r="R172" s="4" t="s">
        <v>109</v>
      </c>
      <c r="S172" s="4">
        <v>0</v>
      </c>
      <c r="T172" s="4">
        <v>160</v>
      </c>
      <c r="U172" s="4">
        <v>0</v>
      </c>
      <c r="V172" s="4" t="s">
        <v>32</v>
      </c>
      <c r="W172" s="4" t="s">
        <v>32</v>
      </c>
      <c r="X172" s="4" t="s">
        <v>32</v>
      </c>
      <c r="Y172" s="4" t="s">
        <v>32</v>
      </c>
      <c r="Z172" s="4" t="s">
        <v>32</v>
      </c>
      <c r="AA172" s="4" t="s">
        <v>32</v>
      </c>
    </row>
    <row r="173" s="4" customFormat="1" spans="1:27">
      <c r="A173" s="4" t="s">
        <v>104</v>
      </c>
      <c r="B173" s="4" t="s">
        <v>28</v>
      </c>
      <c r="C173" s="4">
        <v>1787473</v>
      </c>
      <c r="D173" s="19">
        <v>254798362118</v>
      </c>
      <c r="E173" s="21">
        <v>44020.5493171296</v>
      </c>
      <c r="F173" s="4">
        <v>1753.47</v>
      </c>
      <c r="G173" s="4">
        <v>0</v>
      </c>
      <c r="H173" s="4">
        <v>1753.47</v>
      </c>
      <c r="I173" s="4">
        <v>140.51</v>
      </c>
      <c r="J173" s="4">
        <v>0</v>
      </c>
      <c r="K173" s="4">
        <v>141.27</v>
      </c>
      <c r="L173" s="4">
        <v>875.58</v>
      </c>
      <c r="M173" s="4">
        <v>116452</v>
      </c>
      <c r="N173" s="4">
        <v>0</v>
      </c>
      <c r="O173" s="4">
        <v>0</v>
      </c>
      <c r="P173" s="4" t="s">
        <v>29</v>
      </c>
      <c r="Q173" s="4" t="s">
        <v>30</v>
      </c>
      <c r="R173" s="4" t="s">
        <v>109</v>
      </c>
      <c r="S173" s="4">
        <v>0</v>
      </c>
      <c r="T173" s="4">
        <v>0</v>
      </c>
      <c r="U173" s="4">
        <v>0</v>
      </c>
      <c r="V173" s="4" t="s">
        <v>32</v>
      </c>
      <c r="W173" s="4" t="s">
        <v>32</v>
      </c>
      <c r="X173" s="4" t="s">
        <v>32</v>
      </c>
      <c r="Y173" s="4" t="s">
        <v>32</v>
      </c>
      <c r="Z173" s="4" t="s">
        <v>32</v>
      </c>
      <c r="AA173" s="4" t="s">
        <v>32</v>
      </c>
    </row>
    <row r="174" s="4" customFormat="1" spans="1:27">
      <c r="A174" s="4" t="s">
        <v>104</v>
      </c>
      <c r="B174" s="4" t="s">
        <v>28</v>
      </c>
      <c r="C174" s="4">
        <v>18572583</v>
      </c>
      <c r="D174" s="19">
        <v>254799242648</v>
      </c>
      <c r="E174" s="21">
        <v>45920.6820717593</v>
      </c>
      <c r="F174" s="4">
        <v>573.89</v>
      </c>
      <c r="G174" s="4">
        <v>0.54</v>
      </c>
      <c r="H174" s="4">
        <v>573.35</v>
      </c>
      <c r="I174" s="4">
        <v>0.58</v>
      </c>
      <c r="J174" s="4">
        <v>0.54</v>
      </c>
      <c r="K174" s="4">
        <v>0.04</v>
      </c>
      <c r="L174" s="4">
        <v>67.87</v>
      </c>
      <c r="M174" s="4">
        <v>9027</v>
      </c>
      <c r="N174" s="4">
        <v>1.44</v>
      </c>
      <c r="O174" s="4">
        <v>190.95</v>
      </c>
      <c r="P174" s="4" t="s">
        <v>29</v>
      </c>
      <c r="Q174" s="4" t="s">
        <v>30</v>
      </c>
      <c r="R174" s="4" t="s">
        <v>109</v>
      </c>
      <c r="S174" s="4">
        <v>0</v>
      </c>
      <c r="T174" s="4">
        <v>10</v>
      </c>
      <c r="U174" s="4">
        <v>0</v>
      </c>
      <c r="V174" s="4" t="s">
        <v>32</v>
      </c>
      <c r="W174" s="4" t="s">
        <v>32</v>
      </c>
      <c r="X174" s="4" t="s">
        <v>32</v>
      </c>
      <c r="Y174" s="4" t="s">
        <v>32</v>
      </c>
      <c r="Z174" s="4" t="s">
        <v>32</v>
      </c>
      <c r="AA174" s="4" t="s">
        <v>32</v>
      </c>
    </row>
    <row r="175" s="4" customFormat="1" spans="1:27">
      <c r="A175" s="4" t="s">
        <v>105</v>
      </c>
      <c r="B175" s="4" t="s">
        <v>28</v>
      </c>
      <c r="C175" s="4">
        <v>16071034</v>
      </c>
      <c r="D175" s="19">
        <v>254110439053</v>
      </c>
      <c r="E175" s="21">
        <v>45744.4406712963</v>
      </c>
      <c r="F175" s="4">
        <v>846.31</v>
      </c>
      <c r="G175" s="4">
        <v>22.34</v>
      </c>
      <c r="H175" s="4">
        <v>823.97</v>
      </c>
      <c r="I175" s="4">
        <v>-18.94</v>
      </c>
      <c r="J175" s="4">
        <v>9.49</v>
      </c>
      <c r="K175" s="4">
        <v>-28.43</v>
      </c>
      <c r="L175" s="4">
        <v>72.65</v>
      </c>
      <c r="M175" s="4">
        <v>9662</v>
      </c>
      <c r="N175" s="4">
        <v>4.92</v>
      </c>
      <c r="O175" s="4">
        <v>654.55</v>
      </c>
      <c r="P175" s="4" t="s">
        <v>34</v>
      </c>
      <c r="Q175" s="4" t="s">
        <v>30</v>
      </c>
      <c r="R175" s="4" t="s">
        <v>109</v>
      </c>
      <c r="S175" s="4">
        <v>0</v>
      </c>
      <c r="T175" s="4">
        <v>30</v>
      </c>
      <c r="U175" s="4">
        <v>0</v>
      </c>
      <c r="V175" s="4" t="s">
        <v>32</v>
      </c>
      <c r="W175" s="4" t="s">
        <v>32</v>
      </c>
      <c r="X175" s="4" t="s">
        <v>32</v>
      </c>
      <c r="Y175" s="4" t="s">
        <v>32</v>
      </c>
      <c r="Z175" s="4" t="s">
        <v>32</v>
      </c>
      <c r="AA175" s="4" t="s">
        <v>32</v>
      </c>
    </row>
    <row r="176" s="4" customFormat="1" spans="1:27">
      <c r="A176" s="4" t="s">
        <v>105</v>
      </c>
      <c r="B176" s="4" t="s">
        <v>28</v>
      </c>
      <c r="C176" s="4">
        <v>4419694</v>
      </c>
      <c r="D176" s="19">
        <v>254111405728</v>
      </c>
      <c r="E176" s="21">
        <v>44315.2230092593</v>
      </c>
      <c r="F176" s="4">
        <v>1066.15</v>
      </c>
      <c r="G176" s="4">
        <v>0</v>
      </c>
      <c r="H176" s="4">
        <v>1066.15</v>
      </c>
      <c r="I176" s="4">
        <v>56.5</v>
      </c>
      <c r="J176" s="4">
        <v>0</v>
      </c>
      <c r="K176" s="4">
        <v>57.25</v>
      </c>
      <c r="L176" s="4">
        <v>144.53</v>
      </c>
      <c r="M176" s="4">
        <v>19222</v>
      </c>
      <c r="N176" s="4">
        <v>55.63</v>
      </c>
      <c r="O176" s="4">
        <v>7398.6</v>
      </c>
      <c r="P176" s="4" t="s">
        <v>29</v>
      </c>
      <c r="Q176" s="4" t="s">
        <v>30</v>
      </c>
      <c r="R176" s="4" t="s">
        <v>109</v>
      </c>
      <c r="S176" s="4">
        <v>0</v>
      </c>
      <c r="T176" s="4">
        <v>370</v>
      </c>
      <c r="U176" s="4">
        <v>0</v>
      </c>
      <c r="V176" s="4" t="s">
        <v>32</v>
      </c>
      <c r="W176" s="4" t="s">
        <v>32</v>
      </c>
      <c r="X176" s="4" t="s">
        <v>32</v>
      </c>
      <c r="Y176" s="4" t="s">
        <v>32</v>
      </c>
      <c r="Z176" s="4" t="s">
        <v>32</v>
      </c>
      <c r="AA176" s="4" t="s">
        <v>32</v>
      </c>
    </row>
    <row r="177" s="4" customFormat="1" spans="1:27">
      <c r="A177" s="4" t="s">
        <v>105</v>
      </c>
      <c r="B177" s="4" t="s">
        <v>28</v>
      </c>
      <c r="C177" s="4">
        <v>13558223</v>
      </c>
      <c r="D177" s="19">
        <v>254112818776</v>
      </c>
      <c r="E177" s="21">
        <v>45535.6946643519</v>
      </c>
      <c r="F177" s="4">
        <v>513.83</v>
      </c>
      <c r="G177" s="4">
        <v>0</v>
      </c>
      <c r="H177" s="4">
        <v>513.83</v>
      </c>
      <c r="I177" s="4">
        <v>14.8</v>
      </c>
      <c r="J177" s="4">
        <v>0</v>
      </c>
      <c r="K177" s="4">
        <v>14.8</v>
      </c>
      <c r="L177" s="4">
        <v>58.77</v>
      </c>
      <c r="M177" s="4">
        <v>7816</v>
      </c>
      <c r="N177" s="4">
        <v>15.14</v>
      </c>
      <c r="O177" s="4">
        <v>2014</v>
      </c>
      <c r="P177" s="4" t="s">
        <v>29</v>
      </c>
      <c r="Q177" s="4" t="s">
        <v>30</v>
      </c>
      <c r="R177" s="4" t="s">
        <v>109</v>
      </c>
      <c r="S177" s="4">
        <v>0</v>
      </c>
      <c r="T177" s="4">
        <v>100</v>
      </c>
      <c r="U177" s="4">
        <v>0</v>
      </c>
      <c r="V177" s="4" t="s">
        <v>32</v>
      </c>
      <c r="W177" s="4" t="s">
        <v>32</v>
      </c>
      <c r="X177" s="4" t="s">
        <v>32</v>
      </c>
      <c r="Y177" s="4" t="s">
        <v>32</v>
      </c>
      <c r="Z177" s="4" t="s">
        <v>32</v>
      </c>
      <c r="AA177" s="4" t="s">
        <v>32</v>
      </c>
    </row>
    <row r="178" s="4" customFormat="1" spans="1:27">
      <c r="A178" s="4" t="s">
        <v>105</v>
      </c>
      <c r="B178" s="4" t="s">
        <v>28</v>
      </c>
      <c r="C178" s="4">
        <v>6270583</v>
      </c>
      <c r="D178" s="19">
        <v>254115642241</v>
      </c>
      <c r="E178" s="21">
        <v>44552.5530208333</v>
      </c>
      <c r="F178" s="4">
        <v>550.07</v>
      </c>
      <c r="G178" s="4">
        <v>0</v>
      </c>
      <c r="H178" s="4">
        <v>550.07</v>
      </c>
      <c r="I178" s="4">
        <v>7.73</v>
      </c>
      <c r="J178" s="4">
        <v>0</v>
      </c>
      <c r="K178" s="4">
        <v>7.73</v>
      </c>
      <c r="L178" s="4">
        <v>51.49</v>
      </c>
      <c r="M178" s="4">
        <v>6848</v>
      </c>
      <c r="N178" s="4">
        <v>0</v>
      </c>
      <c r="O178" s="4">
        <v>0</v>
      </c>
      <c r="P178" s="4" t="s">
        <v>34</v>
      </c>
      <c r="Q178" s="4" t="s">
        <v>30</v>
      </c>
      <c r="R178" s="4" t="s">
        <v>109</v>
      </c>
      <c r="S178" s="4">
        <v>0</v>
      </c>
      <c r="T178" s="4">
        <v>0</v>
      </c>
      <c r="U178" s="4">
        <v>0</v>
      </c>
      <c r="V178" s="4" t="s">
        <v>32</v>
      </c>
      <c r="W178" s="4" t="s">
        <v>32</v>
      </c>
      <c r="X178" s="4" t="s">
        <v>32</v>
      </c>
      <c r="Y178" s="4" t="s">
        <v>32</v>
      </c>
      <c r="Z178" s="4" t="s">
        <v>32</v>
      </c>
      <c r="AA178" s="4" t="s">
        <v>32</v>
      </c>
    </row>
    <row r="179" s="4" customFormat="1" spans="1:27">
      <c r="A179" s="4" t="s">
        <v>105</v>
      </c>
      <c r="B179" s="4" t="s">
        <v>28</v>
      </c>
      <c r="C179" s="4">
        <v>16698234</v>
      </c>
      <c r="D179" s="19">
        <v>254116736717</v>
      </c>
      <c r="E179" s="21">
        <v>45793.5863541667</v>
      </c>
      <c r="F179" s="4">
        <v>247.15</v>
      </c>
      <c r="G179" s="4">
        <v>0</v>
      </c>
      <c r="H179" s="4">
        <v>247.15</v>
      </c>
      <c r="I179" s="4">
        <v>-12.61</v>
      </c>
      <c r="J179" s="4">
        <v>0</v>
      </c>
      <c r="K179" s="4">
        <v>-12.61</v>
      </c>
      <c r="L179" s="4">
        <v>51.67</v>
      </c>
      <c r="M179" s="4">
        <v>6872</v>
      </c>
      <c r="N179" s="4">
        <v>8.57</v>
      </c>
      <c r="O179" s="4">
        <v>1140</v>
      </c>
      <c r="P179" s="4" t="s">
        <v>29</v>
      </c>
      <c r="Q179" s="4" t="s">
        <v>30</v>
      </c>
      <c r="R179" s="4" t="s">
        <v>109</v>
      </c>
      <c r="S179" s="4">
        <v>0</v>
      </c>
      <c r="T179" s="4">
        <v>60</v>
      </c>
      <c r="U179" s="4">
        <v>0</v>
      </c>
      <c r="V179" s="4" t="s">
        <v>32</v>
      </c>
      <c r="W179" s="4" t="s">
        <v>32</v>
      </c>
      <c r="X179" s="4" t="s">
        <v>32</v>
      </c>
      <c r="Y179" s="4" t="s">
        <v>32</v>
      </c>
      <c r="Z179" s="4" t="s">
        <v>32</v>
      </c>
      <c r="AA179" s="4" t="s">
        <v>32</v>
      </c>
    </row>
    <row r="180" s="4" customFormat="1" spans="1:27">
      <c r="A180" s="4" t="s">
        <v>105</v>
      </c>
      <c r="B180" s="4" t="s">
        <v>28</v>
      </c>
      <c r="C180" s="4">
        <v>18793635</v>
      </c>
      <c r="D180" s="19">
        <v>254117413583</v>
      </c>
      <c r="E180" s="21">
        <v>45934.1949537037</v>
      </c>
      <c r="F180" s="4">
        <v>247.34</v>
      </c>
      <c r="G180" s="4">
        <v>160.62</v>
      </c>
      <c r="H180" s="4">
        <v>86.72</v>
      </c>
      <c r="I180" s="4">
        <v>46.74</v>
      </c>
      <c r="J180" s="4">
        <v>32.39</v>
      </c>
      <c r="K180" s="4">
        <v>14.35</v>
      </c>
      <c r="L180" s="4">
        <v>68.5</v>
      </c>
      <c r="M180" s="4">
        <v>9110</v>
      </c>
      <c r="N180" s="4">
        <v>0</v>
      </c>
      <c r="O180" s="4">
        <v>0</v>
      </c>
      <c r="P180" s="4" t="s">
        <v>35</v>
      </c>
      <c r="Q180" s="4" t="s">
        <v>30</v>
      </c>
      <c r="R180" s="4" t="s">
        <v>109</v>
      </c>
      <c r="S180" s="4">
        <v>2000</v>
      </c>
      <c r="T180" s="4">
        <v>0</v>
      </c>
      <c r="U180" s="4">
        <v>0</v>
      </c>
      <c r="V180" s="4" t="s">
        <v>32</v>
      </c>
      <c r="W180" s="4" t="s">
        <v>32</v>
      </c>
      <c r="X180" s="4" t="s">
        <v>32</v>
      </c>
      <c r="Y180" s="4" t="s">
        <v>32</v>
      </c>
      <c r="Z180" s="4" t="s">
        <v>32</v>
      </c>
      <c r="AA180" s="4" t="s">
        <v>32</v>
      </c>
    </row>
    <row r="181" s="4" customFormat="1" spans="1:27">
      <c r="A181" s="4" t="s">
        <v>105</v>
      </c>
      <c r="B181" s="4" t="s">
        <v>28</v>
      </c>
      <c r="C181" s="4">
        <v>15955473</v>
      </c>
      <c r="D181" s="19">
        <v>254117489907</v>
      </c>
      <c r="E181" s="21">
        <v>45721.9474074074</v>
      </c>
      <c r="F181" s="4">
        <v>2229.11</v>
      </c>
      <c r="G181" s="4">
        <v>11.44</v>
      </c>
      <c r="H181" s="4">
        <v>2217.66</v>
      </c>
      <c r="I181" s="4">
        <v>684.41</v>
      </c>
      <c r="J181" s="4">
        <v>8.86</v>
      </c>
      <c r="K181" s="4">
        <v>675.55</v>
      </c>
      <c r="L181" s="4">
        <v>678.72</v>
      </c>
      <c r="M181" s="4">
        <v>90270</v>
      </c>
      <c r="N181" s="4">
        <v>0</v>
      </c>
      <c r="O181" s="4">
        <v>0</v>
      </c>
      <c r="P181" s="4" t="s">
        <v>34</v>
      </c>
      <c r="Q181" s="4" t="s">
        <v>30</v>
      </c>
      <c r="R181" s="4" t="s">
        <v>109</v>
      </c>
      <c r="S181" s="4">
        <v>0</v>
      </c>
      <c r="T181" s="4">
        <v>0</v>
      </c>
      <c r="U181" s="4">
        <v>0</v>
      </c>
      <c r="V181" s="4" t="s">
        <v>32</v>
      </c>
      <c r="W181" s="4" t="s">
        <v>32</v>
      </c>
      <c r="X181" s="4" t="s">
        <v>32</v>
      </c>
      <c r="Y181" s="4" t="s">
        <v>32</v>
      </c>
      <c r="Z181" s="4" t="s">
        <v>32</v>
      </c>
      <c r="AA181" s="4" t="s">
        <v>32</v>
      </c>
    </row>
    <row r="182" s="4" customFormat="1" spans="1:27">
      <c r="A182" s="4" t="s">
        <v>105</v>
      </c>
      <c r="B182" s="4" t="s">
        <v>28</v>
      </c>
      <c r="C182" s="4">
        <v>22950873</v>
      </c>
      <c r="D182" s="19">
        <v>254118609820</v>
      </c>
      <c r="E182" s="21">
        <v>46163.2321990741</v>
      </c>
      <c r="F182" s="4">
        <v>0.75</v>
      </c>
      <c r="G182" s="4">
        <v>0</v>
      </c>
      <c r="H182" s="4">
        <v>0.75</v>
      </c>
      <c r="I182" s="4">
        <v>0.75</v>
      </c>
      <c r="J182" s="4">
        <v>0</v>
      </c>
      <c r="K182" s="4">
        <v>0.75</v>
      </c>
      <c r="L182" s="4">
        <v>375.94</v>
      </c>
      <c r="M182" s="4">
        <v>50000</v>
      </c>
      <c r="N182" s="4">
        <v>357.14</v>
      </c>
      <c r="O182" s="4">
        <v>47500</v>
      </c>
      <c r="P182" s="4" t="s">
        <v>29</v>
      </c>
      <c r="Q182" s="4" t="s">
        <v>30</v>
      </c>
      <c r="R182" s="4" t="s">
        <v>109</v>
      </c>
      <c r="S182" s="4">
        <v>0</v>
      </c>
      <c r="T182" s="4">
        <v>2380</v>
      </c>
      <c r="U182" s="4">
        <v>0</v>
      </c>
      <c r="V182" s="4" t="s">
        <v>32</v>
      </c>
      <c r="W182" s="4" t="s">
        <v>32</v>
      </c>
      <c r="X182" s="4" t="s">
        <v>32</v>
      </c>
      <c r="Y182" s="4" t="s">
        <v>32</v>
      </c>
      <c r="Z182" s="4" t="s">
        <v>32</v>
      </c>
      <c r="AA182" s="4" t="s">
        <v>32</v>
      </c>
    </row>
    <row r="183" s="4" customFormat="1" spans="1:27">
      <c r="A183" s="4" t="s">
        <v>105</v>
      </c>
      <c r="B183" s="4" t="s">
        <v>28</v>
      </c>
      <c r="C183" s="4">
        <v>19999075</v>
      </c>
      <c r="D183" s="19">
        <v>254701411295</v>
      </c>
      <c r="E183" s="21">
        <v>46000.7301388889</v>
      </c>
      <c r="F183" s="4">
        <v>398.04</v>
      </c>
      <c r="G183" s="4">
        <v>1.86</v>
      </c>
      <c r="H183" s="4">
        <v>396.18</v>
      </c>
      <c r="I183" s="4">
        <v>58.2</v>
      </c>
      <c r="J183" s="4">
        <v>1.86</v>
      </c>
      <c r="K183" s="4">
        <v>56.34</v>
      </c>
      <c r="L183" s="4">
        <v>74.62</v>
      </c>
      <c r="M183" s="4">
        <v>9924</v>
      </c>
      <c r="N183" s="4">
        <v>66.6</v>
      </c>
      <c r="O183" s="4">
        <v>8857.8</v>
      </c>
      <c r="P183" s="4" t="s">
        <v>34</v>
      </c>
      <c r="Q183" s="4" t="s">
        <v>30</v>
      </c>
      <c r="R183" s="4" t="s">
        <v>109</v>
      </c>
      <c r="S183" s="4">
        <v>0</v>
      </c>
      <c r="T183" s="4">
        <v>440</v>
      </c>
      <c r="U183" s="4">
        <v>0</v>
      </c>
      <c r="V183" s="4" t="s">
        <v>32</v>
      </c>
      <c r="W183" s="4" t="s">
        <v>32</v>
      </c>
      <c r="X183" s="4" t="s">
        <v>32</v>
      </c>
      <c r="Y183" s="4" t="s">
        <v>32</v>
      </c>
      <c r="Z183" s="4" t="s">
        <v>32</v>
      </c>
      <c r="AA183" s="4" t="s">
        <v>32</v>
      </c>
    </row>
    <row r="184" s="4" customFormat="1" spans="1:27">
      <c r="A184" s="4" t="s">
        <v>105</v>
      </c>
      <c r="B184" s="4" t="s">
        <v>28</v>
      </c>
      <c r="C184" s="4">
        <v>20018173</v>
      </c>
      <c r="D184" s="19">
        <v>254701601466</v>
      </c>
      <c r="E184" s="21">
        <v>46001.6601041667</v>
      </c>
      <c r="F184" s="4">
        <v>1087.28</v>
      </c>
      <c r="G184" s="4">
        <v>0.04</v>
      </c>
      <c r="H184" s="4">
        <v>1087.24</v>
      </c>
      <c r="I184" s="4">
        <v>40.92</v>
      </c>
      <c r="J184" s="4">
        <v>0.02</v>
      </c>
      <c r="K184" s="4">
        <v>40.9</v>
      </c>
      <c r="L184" s="4">
        <v>77.74</v>
      </c>
      <c r="M184" s="4">
        <v>10340</v>
      </c>
      <c r="N184" s="4">
        <v>26.41</v>
      </c>
      <c r="O184" s="4">
        <v>3512.15</v>
      </c>
      <c r="P184" s="4" t="s">
        <v>34</v>
      </c>
      <c r="Q184" s="4" t="s">
        <v>30</v>
      </c>
      <c r="R184" s="4" t="s">
        <v>109</v>
      </c>
      <c r="S184" s="4">
        <v>0</v>
      </c>
      <c r="T184" s="4">
        <v>180</v>
      </c>
      <c r="U184" s="4">
        <v>0</v>
      </c>
      <c r="V184" s="4" t="s">
        <v>32</v>
      </c>
      <c r="W184" s="4" t="s">
        <v>32</v>
      </c>
      <c r="X184" s="4" t="s">
        <v>32</v>
      </c>
      <c r="Y184" s="4" t="s">
        <v>32</v>
      </c>
      <c r="Z184" s="4" t="s">
        <v>32</v>
      </c>
      <c r="AA184" s="4" t="s">
        <v>32</v>
      </c>
    </row>
    <row r="185" s="4" customFormat="1" spans="1:27">
      <c r="A185" s="4" t="s">
        <v>105</v>
      </c>
      <c r="B185" s="4" t="s">
        <v>28</v>
      </c>
      <c r="C185" s="4">
        <v>15885565</v>
      </c>
      <c r="D185" s="19">
        <v>254703415232</v>
      </c>
      <c r="E185" s="21">
        <v>45708.638587963</v>
      </c>
      <c r="F185" s="4">
        <v>3039.63</v>
      </c>
      <c r="G185" s="4">
        <v>1.2</v>
      </c>
      <c r="H185" s="4">
        <v>3038.43</v>
      </c>
      <c r="I185" s="4">
        <v>186.93</v>
      </c>
      <c r="J185" s="4">
        <v>-4.93</v>
      </c>
      <c r="K185" s="4">
        <v>191.86</v>
      </c>
      <c r="L185" s="4">
        <v>784.95</v>
      </c>
      <c r="M185" s="4">
        <v>104399</v>
      </c>
      <c r="N185" s="4">
        <v>152.54</v>
      </c>
      <c r="O185" s="4">
        <v>20288.2</v>
      </c>
      <c r="P185" s="4" t="s">
        <v>34</v>
      </c>
      <c r="Q185" s="4" t="s">
        <v>30</v>
      </c>
      <c r="R185" s="4" t="s">
        <v>109</v>
      </c>
      <c r="S185" s="4">
        <v>0</v>
      </c>
      <c r="T185" s="4">
        <v>1010</v>
      </c>
      <c r="U185" s="4">
        <v>0</v>
      </c>
      <c r="V185" s="4" t="s">
        <v>32</v>
      </c>
      <c r="W185" s="4" t="s">
        <v>32</v>
      </c>
      <c r="X185" s="4" t="s">
        <v>32</v>
      </c>
      <c r="Y185" s="4" t="s">
        <v>32</v>
      </c>
      <c r="Z185" s="4" t="s">
        <v>32</v>
      </c>
      <c r="AA185" s="4" t="s">
        <v>32</v>
      </c>
    </row>
    <row r="186" s="4" customFormat="1" spans="1:27">
      <c r="A186" s="4" t="s">
        <v>105</v>
      </c>
      <c r="B186" s="4" t="s">
        <v>28</v>
      </c>
      <c r="C186" s="4">
        <v>16399345</v>
      </c>
      <c r="D186" s="19">
        <v>254703535313</v>
      </c>
      <c r="E186" s="21">
        <v>45772.4235185185</v>
      </c>
      <c r="F186" s="4">
        <v>501.52</v>
      </c>
      <c r="G186" s="4">
        <v>0.08</v>
      </c>
      <c r="H186" s="4">
        <v>501.43</v>
      </c>
      <c r="I186" s="4">
        <v>3.74</v>
      </c>
      <c r="J186" s="4">
        <v>0.08</v>
      </c>
      <c r="K186" s="4">
        <v>3.66</v>
      </c>
      <c r="L186" s="4">
        <v>87.69</v>
      </c>
      <c r="M186" s="4">
        <v>11663</v>
      </c>
      <c r="N186" s="4">
        <v>33.43</v>
      </c>
      <c r="O186" s="4">
        <v>4446</v>
      </c>
      <c r="P186" s="4" t="s">
        <v>29</v>
      </c>
      <c r="Q186" s="4" t="s">
        <v>30</v>
      </c>
      <c r="R186" s="4" t="s">
        <v>109</v>
      </c>
      <c r="S186" s="4">
        <v>0</v>
      </c>
      <c r="T186" s="4">
        <v>220</v>
      </c>
      <c r="U186" s="4">
        <v>0</v>
      </c>
      <c r="V186" s="4" t="s">
        <v>32</v>
      </c>
      <c r="W186" s="4" t="s">
        <v>32</v>
      </c>
      <c r="X186" s="4" t="s">
        <v>32</v>
      </c>
      <c r="Y186" s="4" t="s">
        <v>32</v>
      </c>
      <c r="Z186" s="4" t="s">
        <v>32</v>
      </c>
      <c r="AA186" s="4" t="s">
        <v>32</v>
      </c>
    </row>
    <row r="187" s="4" customFormat="1" spans="1:27">
      <c r="A187" s="4" t="s">
        <v>105</v>
      </c>
      <c r="B187" s="4" t="s">
        <v>28</v>
      </c>
      <c r="C187" s="4">
        <v>2965003</v>
      </c>
      <c r="D187" s="19">
        <v>254704910520</v>
      </c>
      <c r="E187" s="21">
        <v>44128.407025463</v>
      </c>
      <c r="F187" s="4">
        <v>1032.81</v>
      </c>
      <c r="G187" s="4">
        <v>1.39</v>
      </c>
      <c r="H187" s="4">
        <v>1031.42</v>
      </c>
      <c r="I187" s="4">
        <v>138.72</v>
      </c>
      <c r="J187" s="4">
        <v>1.39</v>
      </c>
      <c r="K187" s="4">
        <v>137.33</v>
      </c>
      <c r="L187" s="4">
        <v>205.11</v>
      </c>
      <c r="M187" s="4">
        <v>27280</v>
      </c>
      <c r="N187" s="4">
        <v>188.79</v>
      </c>
      <c r="O187" s="4">
        <v>25108.5</v>
      </c>
      <c r="P187" s="4" t="s">
        <v>34</v>
      </c>
      <c r="Q187" s="4" t="s">
        <v>30</v>
      </c>
      <c r="R187" s="4" t="s">
        <v>109</v>
      </c>
      <c r="S187" s="4">
        <v>0</v>
      </c>
      <c r="T187" s="4">
        <v>1260</v>
      </c>
      <c r="U187" s="4">
        <v>0</v>
      </c>
      <c r="V187" s="4" t="s">
        <v>32</v>
      </c>
      <c r="W187" s="4" t="s">
        <v>32</v>
      </c>
      <c r="X187" s="4" t="s">
        <v>32</v>
      </c>
      <c r="Y187" s="4" t="s">
        <v>32</v>
      </c>
      <c r="Z187" s="4" t="s">
        <v>32</v>
      </c>
      <c r="AA187" s="4" t="s">
        <v>32</v>
      </c>
    </row>
    <row r="188" s="4" customFormat="1" spans="1:27">
      <c r="A188" s="4" t="s">
        <v>105</v>
      </c>
      <c r="B188" s="4" t="s">
        <v>28</v>
      </c>
      <c r="C188" s="4">
        <v>15973943</v>
      </c>
      <c r="D188" s="19">
        <v>254706846716</v>
      </c>
      <c r="E188" s="21">
        <v>45725.6182291667</v>
      </c>
      <c r="F188" s="4">
        <v>1385.25</v>
      </c>
      <c r="G188" s="4">
        <v>0</v>
      </c>
      <c r="H188" s="4">
        <v>1385.25</v>
      </c>
      <c r="I188" s="4">
        <v>75.09</v>
      </c>
      <c r="J188" s="4">
        <v>0</v>
      </c>
      <c r="K188" s="4">
        <v>75.09</v>
      </c>
      <c r="L188" s="4">
        <v>137.75</v>
      </c>
      <c r="M188" s="4">
        <v>18321</v>
      </c>
      <c r="N188" s="4">
        <v>24.44</v>
      </c>
      <c r="O188" s="4">
        <v>3250.9</v>
      </c>
      <c r="P188" s="4" t="s">
        <v>29</v>
      </c>
      <c r="Q188" s="4" t="s">
        <v>30</v>
      </c>
      <c r="R188" s="4" t="s">
        <v>109</v>
      </c>
      <c r="S188" s="4">
        <v>0</v>
      </c>
      <c r="T188" s="4">
        <v>160</v>
      </c>
      <c r="U188" s="4">
        <v>0</v>
      </c>
      <c r="V188" s="4" t="s">
        <v>32</v>
      </c>
      <c r="W188" s="4" t="s">
        <v>32</v>
      </c>
      <c r="X188" s="4" t="s">
        <v>32</v>
      </c>
      <c r="Y188" s="4" t="s">
        <v>32</v>
      </c>
      <c r="Z188" s="4" t="s">
        <v>32</v>
      </c>
      <c r="AA188" s="4" t="s">
        <v>32</v>
      </c>
    </row>
    <row r="189" s="4" customFormat="1" spans="1:27">
      <c r="A189" s="4" t="s">
        <v>105</v>
      </c>
      <c r="B189" s="4" t="s">
        <v>28</v>
      </c>
      <c r="C189" s="4">
        <v>3099563</v>
      </c>
      <c r="D189" s="19">
        <v>254711272267</v>
      </c>
      <c r="E189" s="21">
        <v>44138.6279166667</v>
      </c>
      <c r="F189" s="4">
        <v>108.11</v>
      </c>
      <c r="G189" s="4">
        <v>0</v>
      </c>
      <c r="H189" s="4">
        <v>108.11</v>
      </c>
      <c r="I189" s="4">
        <v>35.01</v>
      </c>
      <c r="J189" s="4">
        <v>0</v>
      </c>
      <c r="K189" s="4">
        <v>35.01</v>
      </c>
      <c r="L189" s="4">
        <v>50.98</v>
      </c>
      <c r="M189" s="4">
        <v>6780</v>
      </c>
      <c r="N189" s="4">
        <v>48.43</v>
      </c>
      <c r="O189" s="4">
        <v>6441</v>
      </c>
      <c r="P189" s="4" t="s">
        <v>29</v>
      </c>
      <c r="Q189" s="4" t="s">
        <v>30</v>
      </c>
      <c r="R189" s="4" t="s">
        <v>109</v>
      </c>
      <c r="S189" s="4">
        <v>0</v>
      </c>
      <c r="T189" s="4">
        <v>320</v>
      </c>
      <c r="U189" s="4">
        <v>0</v>
      </c>
      <c r="V189" s="4" t="s">
        <v>32</v>
      </c>
      <c r="W189" s="4" t="s">
        <v>32</v>
      </c>
      <c r="X189" s="4" t="s">
        <v>32</v>
      </c>
      <c r="Y189" s="4" t="s">
        <v>32</v>
      </c>
      <c r="Z189" s="4" t="s">
        <v>32</v>
      </c>
      <c r="AA189" s="4" t="s">
        <v>32</v>
      </c>
    </row>
    <row r="190" s="4" customFormat="1" spans="1:27">
      <c r="A190" s="4" t="s">
        <v>105</v>
      </c>
      <c r="B190" s="4" t="s">
        <v>28</v>
      </c>
      <c r="C190" s="4">
        <v>12962984</v>
      </c>
      <c r="D190" s="19">
        <v>254711372359</v>
      </c>
      <c r="E190" s="21">
        <v>45423.3142013889</v>
      </c>
      <c r="F190" s="4">
        <v>952.21</v>
      </c>
      <c r="G190" s="4">
        <v>0.02</v>
      </c>
      <c r="H190" s="4">
        <v>952.19</v>
      </c>
      <c r="I190" s="4">
        <v>39.18</v>
      </c>
      <c r="J190" s="4">
        <v>0.02</v>
      </c>
      <c r="K190" s="4">
        <v>39.16</v>
      </c>
      <c r="L190" s="4">
        <v>68.74</v>
      </c>
      <c r="M190" s="4">
        <v>9143</v>
      </c>
      <c r="N190" s="4">
        <v>65.31</v>
      </c>
      <c r="O190" s="4">
        <v>8685.85</v>
      </c>
      <c r="P190" s="4" t="s">
        <v>29</v>
      </c>
      <c r="Q190" s="4" t="s">
        <v>30</v>
      </c>
      <c r="R190" s="4" t="s">
        <v>109</v>
      </c>
      <c r="S190" s="4">
        <v>0</v>
      </c>
      <c r="T190" s="4">
        <v>430</v>
      </c>
      <c r="U190" s="4">
        <v>0</v>
      </c>
      <c r="V190" s="4" t="s">
        <v>32</v>
      </c>
      <c r="W190" s="4" t="s">
        <v>32</v>
      </c>
      <c r="X190" s="4" t="s">
        <v>32</v>
      </c>
      <c r="Y190" s="4" t="s">
        <v>32</v>
      </c>
      <c r="Z190" s="4" t="s">
        <v>32</v>
      </c>
      <c r="AA190" s="4" t="s">
        <v>32</v>
      </c>
    </row>
    <row r="191" s="4" customFormat="1" spans="1:27">
      <c r="A191" s="4" t="s">
        <v>105</v>
      </c>
      <c r="B191" s="4" t="s">
        <v>28</v>
      </c>
      <c r="C191" s="4">
        <v>22181223</v>
      </c>
      <c r="D191" s="19">
        <v>254711527455</v>
      </c>
      <c r="E191" s="21">
        <v>46112.7176967593</v>
      </c>
      <c r="F191" s="4">
        <v>404.84</v>
      </c>
      <c r="G191" s="4">
        <v>0</v>
      </c>
      <c r="H191" s="4">
        <v>404.84</v>
      </c>
      <c r="I191" s="4">
        <v>-27.29</v>
      </c>
      <c r="J191" s="4">
        <v>-0.35</v>
      </c>
      <c r="K191" s="4">
        <v>-26.94</v>
      </c>
      <c r="L191" s="4">
        <v>130.29</v>
      </c>
      <c r="M191" s="4">
        <v>17329</v>
      </c>
      <c r="N191" s="4">
        <v>123.78</v>
      </c>
      <c r="O191" s="4">
        <v>16462.55</v>
      </c>
      <c r="P191" s="4" t="s">
        <v>29</v>
      </c>
      <c r="Q191" s="4" t="s">
        <v>30</v>
      </c>
      <c r="R191" s="4" t="s">
        <v>109</v>
      </c>
      <c r="S191" s="4">
        <v>0</v>
      </c>
      <c r="T191" s="4">
        <v>820</v>
      </c>
      <c r="U191" s="4">
        <v>0</v>
      </c>
      <c r="V191" s="4" t="s">
        <v>32</v>
      </c>
      <c r="W191" s="4" t="s">
        <v>32</v>
      </c>
      <c r="X191" s="4" t="s">
        <v>32</v>
      </c>
      <c r="Y191" s="4" t="s">
        <v>32</v>
      </c>
      <c r="Z191" s="4" t="s">
        <v>32</v>
      </c>
      <c r="AA191" s="4" t="s">
        <v>32</v>
      </c>
    </row>
    <row r="192" s="4" customFormat="1" spans="1:27">
      <c r="A192" s="4" t="s">
        <v>105</v>
      </c>
      <c r="B192" s="4" t="s">
        <v>28</v>
      </c>
      <c r="C192" s="4">
        <v>16048585</v>
      </c>
      <c r="D192" s="19">
        <v>254711610938</v>
      </c>
      <c r="E192" s="21">
        <v>45739.8791666667</v>
      </c>
      <c r="F192" s="4">
        <v>415.04</v>
      </c>
      <c r="G192" s="4">
        <v>0.58</v>
      </c>
      <c r="H192" s="4">
        <v>414.46</v>
      </c>
      <c r="I192" s="4">
        <v>-9.34</v>
      </c>
      <c r="J192" s="4">
        <v>0.57</v>
      </c>
      <c r="K192" s="4">
        <v>-9.91</v>
      </c>
      <c r="L192" s="4">
        <v>53.68</v>
      </c>
      <c r="M192" s="4">
        <v>7139</v>
      </c>
      <c r="N192" s="4">
        <v>0</v>
      </c>
      <c r="O192" s="4">
        <v>0</v>
      </c>
      <c r="P192" s="4" t="s">
        <v>29</v>
      </c>
      <c r="Q192" s="4" t="s">
        <v>30</v>
      </c>
      <c r="R192" s="4" t="s">
        <v>109</v>
      </c>
      <c r="S192" s="4">
        <v>0</v>
      </c>
      <c r="T192" s="4">
        <v>0</v>
      </c>
      <c r="U192" s="4">
        <v>0</v>
      </c>
      <c r="V192" s="4" t="s">
        <v>32</v>
      </c>
      <c r="W192" s="4" t="s">
        <v>32</v>
      </c>
      <c r="X192" s="4" t="s">
        <v>32</v>
      </c>
      <c r="Y192" s="4" t="s">
        <v>32</v>
      </c>
      <c r="Z192" s="4" t="s">
        <v>32</v>
      </c>
      <c r="AA192" s="4" t="s">
        <v>32</v>
      </c>
    </row>
    <row r="193" s="4" customFormat="1" spans="1:27">
      <c r="A193" s="4" t="s">
        <v>105</v>
      </c>
      <c r="B193" s="4" t="s">
        <v>28</v>
      </c>
      <c r="C193" s="4">
        <v>9267114</v>
      </c>
      <c r="D193" s="19">
        <v>254711653713</v>
      </c>
      <c r="E193" s="21">
        <v>44919.4845023148</v>
      </c>
      <c r="F193" s="4">
        <v>7334.47</v>
      </c>
      <c r="G193" s="4">
        <v>5.8</v>
      </c>
      <c r="H193" s="4">
        <v>7328.66</v>
      </c>
      <c r="I193" s="4">
        <v>398.83</v>
      </c>
      <c r="J193" s="4">
        <v>5.8</v>
      </c>
      <c r="K193" s="4">
        <v>393.03</v>
      </c>
      <c r="L193" s="4">
        <v>2751.14</v>
      </c>
      <c r="M193" s="4">
        <v>365901</v>
      </c>
      <c r="N193" s="4">
        <v>550</v>
      </c>
      <c r="O193" s="4">
        <v>73150</v>
      </c>
      <c r="P193" s="4" t="s">
        <v>34</v>
      </c>
      <c r="Q193" s="4" t="s">
        <v>33</v>
      </c>
      <c r="R193" s="4" t="s">
        <v>109</v>
      </c>
      <c r="S193" s="4">
        <v>0</v>
      </c>
      <c r="T193" s="4">
        <v>3660</v>
      </c>
      <c r="U193" s="4">
        <v>0</v>
      </c>
      <c r="V193" s="4" t="s">
        <v>32</v>
      </c>
      <c r="W193" s="4" t="s">
        <v>32</v>
      </c>
      <c r="X193" s="4" t="s">
        <v>32</v>
      </c>
      <c r="Y193" s="4" t="s">
        <v>32</v>
      </c>
      <c r="Z193" s="4" t="s">
        <v>32</v>
      </c>
      <c r="AA193" s="4" t="s">
        <v>32</v>
      </c>
    </row>
    <row r="194" s="4" customFormat="1" spans="1:27">
      <c r="A194" s="4" t="s">
        <v>105</v>
      </c>
      <c r="B194" s="4" t="s">
        <v>28</v>
      </c>
      <c r="C194" s="4">
        <v>10820164</v>
      </c>
      <c r="D194" s="19">
        <v>254713760811</v>
      </c>
      <c r="E194" s="21">
        <v>45198.3397222222</v>
      </c>
      <c r="F194" s="4">
        <v>3553.76</v>
      </c>
      <c r="G194" s="4">
        <v>0.08</v>
      </c>
      <c r="H194" s="4">
        <v>3553.69</v>
      </c>
      <c r="I194" s="4">
        <v>-64.87</v>
      </c>
      <c r="J194" s="4">
        <v>0</v>
      </c>
      <c r="K194" s="4">
        <v>-64.87</v>
      </c>
      <c r="L194" s="4">
        <v>368.81</v>
      </c>
      <c r="M194" s="4">
        <v>49052</v>
      </c>
      <c r="N194" s="4">
        <v>122.46</v>
      </c>
      <c r="O194" s="4">
        <v>16287.75</v>
      </c>
      <c r="P194" s="4" t="s">
        <v>34</v>
      </c>
      <c r="Q194" s="4" t="s">
        <v>30</v>
      </c>
      <c r="R194" s="4" t="s">
        <v>109</v>
      </c>
      <c r="S194" s="4">
        <v>0</v>
      </c>
      <c r="T194" s="4">
        <v>810</v>
      </c>
      <c r="U194" s="4">
        <v>0</v>
      </c>
      <c r="V194" s="4" t="s">
        <v>32</v>
      </c>
      <c r="W194" s="4" t="s">
        <v>32</v>
      </c>
      <c r="X194" s="4" t="s">
        <v>32</v>
      </c>
      <c r="Y194" s="4" t="s">
        <v>32</v>
      </c>
      <c r="Z194" s="4" t="s">
        <v>32</v>
      </c>
      <c r="AA194" s="4" t="s">
        <v>32</v>
      </c>
    </row>
    <row r="195" s="4" customFormat="1" spans="1:27">
      <c r="A195" s="4" t="s">
        <v>105</v>
      </c>
      <c r="B195" s="4" t="s">
        <v>28</v>
      </c>
      <c r="C195" s="4">
        <v>17160984</v>
      </c>
      <c r="D195" s="19">
        <v>254714141551</v>
      </c>
      <c r="E195" s="21">
        <v>45834.8708564815</v>
      </c>
      <c r="F195" s="4">
        <v>594.65</v>
      </c>
      <c r="G195" s="4">
        <v>0.06</v>
      </c>
      <c r="H195" s="4">
        <v>594.59</v>
      </c>
      <c r="I195" s="4">
        <v>29.27</v>
      </c>
      <c r="J195" s="4">
        <v>0.06</v>
      </c>
      <c r="K195" s="4">
        <v>29.21</v>
      </c>
      <c r="L195" s="4">
        <v>113.89</v>
      </c>
      <c r="M195" s="4">
        <v>15147</v>
      </c>
      <c r="N195" s="4">
        <v>4.55</v>
      </c>
      <c r="O195" s="4">
        <v>605.15</v>
      </c>
      <c r="P195" s="4" t="s">
        <v>29</v>
      </c>
      <c r="Q195" s="4" t="s">
        <v>30</v>
      </c>
      <c r="R195" s="4" t="s">
        <v>109</v>
      </c>
      <c r="S195" s="4">
        <v>0</v>
      </c>
      <c r="T195" s="4">
        <v>30</v>
      </c>
      <c r="U195" s="4">
        <v>0</v>
      </c>
      <c r="V195" s="4" t="s">
        <v>32</v>
      </c>
      <c r="W195" s="4" t="s">
        <v>32</v>
      </c>
      <c r="X195" s="4" t="s">
        <v>32</v>
      </c>
      <c r="Y195" s="4" t="s">
        <v>32</v>
      </c>
      <c r="Z195" s="4" t="s">
        <v>32</v>
      </c>
      <c r="AA195" s="4" t="s">
        <v>32</v>
      </c>
    </row>
    <row r="196" s="4" customFormat="1" spans="1:27">
      <c r="A196" s="4" t="s">
        <v>105</v>
      </c>
      <c r="B196" s="4" t="s">
        <v>28</v>
      </c>
      <c r="C196" s="4">
        <v>6424465</v>
      </c>
      <c r="D196" s="19">
        <v>254714853664</v>
      </c>
      <c r="E196" s="21">
        <v>44568.7355324074</v>
      </c>
      <c r="F196" s="4">
        <v>413.2</v>
      </c>
      <c r="G196" s="4">
        <v>0</v>
      </c>
      <c r="H196" s="4">
        <v>413.2</v>
      </c>
      <c r="I196" s="4">
        <v>62.87</v>
      </c>
      <c r="J196" s="4">
        <v>0</v>
      </c>
      <c r="K196" s="4">
        <v>62.87</v>
      </c>
      <c r="L196" s="4">
        <v>91.13</v>
      </c>
      <c r="M196" s="4">
        <v>12120</v>
      </c>
      <c r="N196" s="4">
        <v>80.86</v>
      </c>
      <c r="O196" s="4">
        <v>10754</v>
      </c>
      <c r="P196" s="4" t="s">
        <v>34</v>
      </c>
      <c r="Q196" s="4" t="s">
        <v>30</v>
      </c>
      <c r="R196" s="4" t="s">
        <v>109</v>
      </c>
      <c r="S196" s="4">
        <v>0</v>
      </c>
      <c r="T196" s="4">
        <v>540</v>
      </c>
      <c r="U196" s="4">
        <v>0</v>
      </c>
      <c r="V196" s="4" t="s">
        <v>32</v>
      </c>
      <c r="W196" s="4" t="s">
        <v>32</v>
      </c>
      <c r="X196" s="4" t="s">
        <v>32</v>
      </c>
      <c r="Y196" s="4" t="s">
        <v>32</v>
      </c>
      <c r="Z196" s="4" t="s">
        <v>32</v>
      </c>
      <c r="AA196" s="4" t="s">
        <v>32</v>
      </c>
    </row>
    <row r="197" s="4" customFormat="1" spans="1:27">
      <c r="A197" s="4" t="s">
        <v>105</v>
      </c>
      <c r="B197" s="4" t="s">
        <v>28</v>
      </c>
      <c r="C197" s="4">
        <v>14238133</v>
      </c>
      <c r="D197" s="19">
        <v>254715312854</v>
      </c>
      <c r="E197" s="21">
        <v>45588.2073726852</v>
      </c>
      <c r="F197" s="4">
        <v>499.97</v>
      </c>
      <c r="G197" s="4">
        <v>0</v>
      </c>
      <c r="H197" s="4">
        <v>499.97</v>
      </c>
      <c r="I197" s="4">
        <v>37.59</v>
      </c>
      <c r="J197" s="4">
        <v>0</v>
      </c>
      <c r="K197" s="4">
        <v>37.59</v>
      </c>
      <c r="L197" s="4">
        <v>275.24</v>
      </c>
      <c r="M197" s="4">
        <v>36607</v>
      </c>
      <c r="N197" s="4">
        <v>29.29</v>
      </c>
      <c r="O197" s="4">
        <v>3895</v>
      </c>
      <c r="P197" s="4" t="s">
        <v>29</v>
      </c>
      <c r="Q197" s="4" t="s">
        <v>30</v>
      </c>
      <c r="R197" s="4" t="s">
        <v>109</v>
      </c>
      <c r="S197" s="4">
        <v>0</v>
      </c>
      <c r="T197" s="4">
        <v>190</v>
      </c>
      <c r="U197" s="4">
        <v>0</v>
      </c>
      <c r="V197" s="4" t="s">
        <v>32</v>
      </c>
      <c r="W197" s="4" t="s">
        <v>32</v>
      </c>
      <c r="X197" s="4" t="s">
        <v>32</v>
      </c>
      <c r="Y197" s="4" t="s">
        <v>32</v>
      </c>
      <c r="Z197" s="4" t="s">
        <v>32</v>
      </c>
      <c r="AA197" s="4" t="s">
        <v>32</v>
      </c>
    </row>
    <row r="198" s="4" customFormat="1" spans="1:27">
      <c r="A198" s="4" t="s">
        <v>105</v>
      </c>
      <c r="B198" s="4" t="s">
        <v>28</v>
      </c>
      <c r="C198" s="4">
        <v>22083363</v>
      </c>
      <c r="D198" s="19">
        <v>254715847755</v>
      </c>
      <c r="E198" s="21">
        <v>46106.6835069444</v>
      </c>
      <c r="F198" s="4">
        <v>525.37</v>
      </c>
      <c r="G198" s="4">
        <v>54.3</v>
      </c>
      <c r="H198" s="4">
        <v>471.07</v>
      </c>
      <c r="I198" s="4">
        <v>56.51</v>
      </c>
      <c r="J198" s="4">
        <v>33.67</v>
      </c>
      <c r="K198" s="4">
        <v>22.84</v>
      </c>
      <c r="L198" s="4">
        <v>205.47</v>
      </c>
      <c r="M198" s="4">
        <v>27327</v>
      </c>
      <c r="N198" s="4">
        <v>195.19</v>
      </c>
      <c r="O198" s="4">
        <v>25960.65</v>
      </c>
      <c r="P198" s="4" t="s">
        <v>35</v>
      </c>
      <c r="Q198" s="4" t="s">
        <v>30</v>
      </c>
      <c r="R198" s="4" t="s">
        <v>109</v>
      </c>
      <c r="S198" s="4">
        <v>2000</v>
      </c>
      <c r="T198" s="4">
        <v>650</v>
      </c>
      <c r="U198" s="4">
        <v>0</v>
      </c>
      <c r="V198" s="4" t="s">
        <v>32</v>
      </c>
      <c r="W198" s="4" t="s">
        <v>32</v>
      </c>
      <c r="X198" s="4" t="s">
        <v>32</v>
      </c>
      <c r="Y198" s="4" t="s">
        <v>32</v>
      </c>
      <c r="Z198" s="4" t="s">
        <v>32</v>
      </c>
      <c r="AA198" s="4" t="s">
        <v>32</v>
      </c>
    </row>
    <row r="199" s="4" customFormat="1" spans="1:27">
      <c r="A199" s="4" t="s">
        <v>105</v>
      </c>
      <c r="B199" s="4" t="s">
        <v>28</v>
      </c>
      <c r="C199" s="4">
        <v>15832454</v>
      </c>
      <c r="D199" s="19">
        <v>254716141688</v>
      </c>
      <c r="E199" s="21">
        <v>45699.6536805556</v>
      </c>
      <c r="F199" s="4">
        <v>578.53</v>
      </c>
      <c r="G199" s="4">
        <v>0.56</v>
      </c>
      <c r="H199" s="4">
        <v>577.96</v>
      </c>
      <c r="I199" s="4">
        <v>47</v>
      </c>
      <c r="J199" s="4">
        <v>0.56</v>
      </c>
      <c r="K199" s="4">
        <v>46.44</v>
      </c>
      <c r="L199" s="4">
        <v>171.58</v>
      </c>
      <c r="M199" s="4">
        <v>22820</v>
      </c>
      <c r="N199" s="4">
        <v>5.16</v>
      </c>
      <c r="O199" s="4">
        <v>685.9</v>
      </c>
      <c r="P199" s="4" t="s">
        <v>29</v>
      </c>
      <c r="Q199" s="4" t="s">
        <v>30</v>
      </c>
      <c r="R199" s="4" t="s">
        <v>109</v>
      </c>
      <c r="S199" s="4">
        <v>0</v>
      </c>
      <c r="T199" s="4">
        <v>30</v>
      </c>
      <c r="U199" s="4">
        <v>0</v>
      </c>
      <c r="V199" s="4" t="s">
        <v>32</v>
      </c>
      <c r="W199" s="4" t="s">
        <v>32</v>
      </c>
      <c r="X199" s="4" t="s">
        <v>32</v>
      </c>
      <c r="Y199" s="4" t="s">
        <v>32</v>
      </c>
      <c r="Z199" s="4" t="s">
        <v>32</v>
      </c>
      <c r="AA199" s="4" t="s">
        <v>32</v>
      </c>
    </row>
    <row r="200" s="4" customFormat="1" spans="1:27">
      <c r="A200" s="4" t="s">
        <v>105</v>
      </c>
      <c r="B200" s="4" t="s">
        <v>28</v>
      </c>
      <c r="C200" s="4">
        <v>15045393</v>
      </c>
      <c r="D200" s="19">
        <v>254716222368</v>
      </c>
      <c r="E200" s="21">
        <v>45639.3956018519</v>
      </c>
      <c r="F200" s="4">
        <v>379.35</v>
      </c>
      <c r="G200" s="4">
        <v>0.65</v>
      </c>
      <c r="H200" s="4">
        <v>378.7</v>
      </c>
      <c r="I200" s="4">
        <v>-0.14</v>
      </c>
      <c r="J200" s="4">
        <v>0.65</v>
      </c>
      <c r="K200" s="4">
        <v>-0.79</v>
      </c>
      <c r="L200" s="4">
        <v>84.96</v>
      </c>
      <c r="M200" s="4">
        <v>11300</v>
      </c>
      <c r="N200" s="4">
        <v>9.29</v>
      </c>
      <c r="O200" s="4">
        <v>1235</v>
      </c>
      <c r="P200" s="4" t="s">
        <v>34</v>
      </c>
      <c r="Q200" s="4" t="s">
        <v>30</v>
      </c>
      <c r="R200" s="4" t="s">
        <v>109</v>
      </c>
      <c r="S200" s="4">
        <v>0</v>
      </c>
      <c r="T200" s="4">
        <v>60</v>
      </c>
      <c r="U200" s="4">
        <v>0</v>
      </c>
      <c r="V200" s="4" t="s">
        <v>32</v>
      </c>
      <c r="W200" s="4" t="s">
        <v>32</v>
      </c>
      <c r="X200" s="4" t="s">
        <v>32</v>
      </c>
      <c r="Y200" s="4" t="s">
        <v>32</v>
      </c>
      <c r="Z200" s="4" t="s">
        <v>32</v>
      </c>
      <c r="AA200" s="4" t="s">
        <v>32</v>
      </c>
    </row>
    <row r="201" s="4" customFormat="1" spans="1:27">
      <c r="A201" s="4" t="s">
        <v>105</v>
      </c>
      <c r="B201" s="4" t="s">
        <v>28</v>
      </c>
      <c r="C201" s="4">
        <v>21201134</v>
      </c>
      <c r="D201" s="19">
        <v>254717832293</v>
      </c>
      <c r="E201" s="21">
        <v>46060.7817361111</v>
      </c>
      <c r="F201" s="4">
        <v>1060.38</v>
      </c>
      <c r="G201" s="4">
        <v>0</v>
      </c>
      <c r="H201" s="4">
        <v>1060.38</v>
      </c>
      <c r="I201" s="4">
        <v>32.59</v>
      </c>
      <c r="J201" s="4">
        <v>0</v>
      </c>
      <c r="K201" s="4">
        <v>32.59</v>
      </c>
      <c r="L201" s="4">
        <v>144.34</v>
      </c>
      <c r="M201" s="4">
        <v>19197</v>
      </c>
      <c r="N201" s="4">
        <v>14.45</v>
      </c>
      <c r="O201" s="4">
        <v>1921.85</v>
      </c>
      <c r="P201" s="4" t="s">
        <v>29</v>
      </c>
      <c r="Q201" s="4" t="s">
        <v>30</v>
      </c>
      <c r="R201" s="4" t="s">
        <v>109</v>
      </c>
      <c r="S201" s="4">
        <v>0</v>
      </c>
      <c r="T201" s="4">
        <v>100</v>
      </c>
      <c r="U201" s="4">
        <v>0</v>
      </c>
      <c r="V201" s="4" t="s">
        <v>32</v>
      </c>
      <c r="W201" s="4" t="s">
        <v>32</v>
      </c>
      <c r="X201" s="4" t="s">
        <v>32</v>
      </c>
      <c r="Y201" s="4" t="s">
        <v>32</v>
      </c>
      <c r="Z201" s="4" t="s">
        <v>32</v>
      </c>
      <c r="AA201" s="4" t="s">
        <v>32</v>
      </c>
    </row>
    <row r="202" s="4" customFormat="1" spans="1:27">
      <c r="A202" s="4" t="s">
        <v>105</v>
      </c>
      <c r="B202" s="4" t="s">
        <v>28</v>
      </c>
      <c r="C202" s="4">
        <v>19114123</v>
      </c>
      <c r="D202" s="19">
        <v>254718136423</v>
      </c>
      <c r="E202" s="21">
        <v>45955.2519444444</v>
      </c>
      <c r="F202" s="4">
        <v>842.43</v>
      </c>
      <c r="G202" s="4">
        <v>0.01</v>
      </c>
      <c r="H202" s="4">
        <v>842.42</v>
      </c>
      <c r="I202" s="4">
        <v>28.43</v>
      </c>
      <c r="J202" s="4">
        <v>0</v>
      </c>
      <c r="K202" s="4">
        <v>28.43</v>
      </c>
      <c r="L202" s="4">
        <v>126.08</v>
      </c>
      <c r="M202" s="4">
        <v>16769</v>
      </c>
      <c r="N202" s="4">
        <v>59.17</v>
      </c>
      <c r="O202" s="4">
        <v>7869.8</v>
      </c>
      <c r="P202" s="4" t="s">
        <v>29</v>
      </c>
      <c r="Q202" s="4" t="s">
        <v>30</v>
      </c>
      <c r="R202" s="4" t="s">
        <v>109</v>
      </c>
      <c r="S202" s="4">
        <v>0</v>
      </c>
      <c r="T202" s="4">
        <v>390</v>
      </c>
      <c r="U202" s="4">
        <v>0</v>
      </c>
      <c r="V202" s="4" t="s">
        <v>32</v>
      </c>
      <c r="W202" s="4" t="s">
        <v>32</v>
      </c>
      <c r="X202" s="4" t="s">
        <v>32</v>
      </c>
      <c r="Y202" s="4" t="s">
        <v>32</v>
      </c>
      <c r="Z202" s="4" t="s">
        <v>32</v>
      </c>
      <c r="AA202" s="4" t="s">
        <v>32</v>
      </c>
    </row>
    <row r="203" s="4" customFormat="1" spans="1:27">
      <c r="A203" s="4" t="s">
        <v>105</v>
      </c>
      <c r="B203" s="4" t="s">
        <v>28</v>
      </c>
      <c r="C203" s="4">
        <v>19000334</v>
      </c>
      <c r="D203" s="19">
        <v>254718780705</v>
      </c>
      <c r="E203" s="21">
        <v>45947.8937037037</v>
      </c>
      <c r="F203" s="4">
        <v>738.65</v>
      </c>
      <c r="G203" s="4">
        <v>0.11</v>
      </c>
      <c r="H203" s="4">
        <v>738.53</v>
      </c>
      <c r="I203" s="4">
        <v>13.52</v>
      </c>
      <c r="J203" s="4">
        <v>0.11</v>
      </c>
      <c r="K203" s="4">
        <v>13.41</v>
      </c>
      <c r="L203" s="4">
        <v>88.2</v>
      </c>
      <c r="M203" s="4">
        <v>11731</v>
      </c>
      <c r="N203" s="4">
        <v>1.31</v>
      </c>
      <c r="O203" s="4">
        <v>174.8</v>
      </c>
      <c r="P203" s="4" t="s">
        <v>34</v>
      </c>
      <c r="Q203" s="4" t="s">
        <v>30</v>
      </c>
      <c r="R203" s="4" t="s">
        <v>109</v>
      </c>
      <c r="S203" s="4">
        <v>0</v>
      </c>
      <c r="T203" s="4">
        <v>10</v>
      </c>
      <c r="U203" s="4">
        <v>0</v>
      </c>
      <c r="V203" s="4" t="s">
        <v>32</v>
      </c>
      <c r="W203" s="4" t="s">
        <v>32</v>
      </c>
      <c r="X203" s="4" t="s">
        <v>32</v>
      </c>
      <c r="Y203" s="4" t="s">
        <v>32</v>
      </c>
      <c r="Z203" s="4" t="s">
        <v>32</v>
      </c>
      <c r="AA203" s="4" t="s">
        <v>32</v>
      </c>
    </row>
    <row r="204" s="4" customFormat="1" spans="1:27">
      <c r="A204" s="4" t="s">
        <v>105</v>
      </c>
      <c r="B204" s="4" t="s">
        <v>28</v>
      </c>
      <c r="C204" s="4">
        <v>20725143</v>
      </c>
      <c r="D204" s="19">
        <v>254719185161</v>
      </c>
      <c r="E204" s="21">
        <v>46035.2344212963</v>
      </c>
      <c r="F204" s="4">
        <v>12601.18</v>
      </c>
      <c r="G204" s="4">
        <v>0</v>
      </c>
      <c r="H204" s="4">
        <v>12601.18</v>
      </c>
      <c r="I204" s="4">
        <v>725.14</v>
      </c>
      <c r="J204" s="4">
        <v>0</v>
      </c>
      <c r="K204" s="4">
        <v>725.14</v>
      </c>
      <c r="L204" s="4">
        <v>1745.75</v>
      </c>
      <c r="M204" s="4">
        <v>232185</v>
      </c>
      <c r="N204" s="4">
        <v>1622.39</v>
      </c>
      <c r="O204" s="4">
        <v>215778.25</v>
      </c>
      <c r="P204" s="4" t="s">
        <v>29</v>
      </c>
      <c r="Q204" s="4" t="s">
        <v>33</v>
      </c>
      <c r="R204" s="4" t="s">
        <v>109</v>
      </c>
      <c r="S204" s="4">
        <v>0</v>
      </c>
      <c r="T204" s="4">
        <v>10790</v>
      </c>
      <c r="U204" s="4">
        <v>0</v>
      </c>
      <c r="V204" s="4" t="s">
        <v>32</v>
      </c>
      <c r="W204" s="4" t="s">
        <v>32</v>
      </c>
      <c r="X204" s="4" t="s">
        <v>32</v>
      </c>
      <c r="Y204" s="4" t="s">
        <v>32</v>
      </c>
      <c r="Z204" s="4" t="s">
        <v>32</v>
      </c>
      <c r="AA204" s="4" t="s">
        <v>32</v>
      </c>
    </row>
    <row r="205" s="4" customFormat="1" spans="1:27">
      <c r="A205" s="4" t="s">
        <v>105</v>
      </c>
      <c r="B205" s="4" t="s">
        <v>28</v>
      </c>
      <c r="C205" s="4">
        <v>10793114</v>
      </c>
      <c r="D205" s="19">
        <v>254719742052</v>
      </c>
      <c r="E205" s="21">
        <v>45195.3941087963</v>
      </c>
      <c r="F205" s="4">
        <v>1041.54</v>
      </c>
      <c r="G205" s="4">
        <v>0.05</v>
      </c>
      <c r="H205" s="4">
        <v>1041.49</v>
      </c>
      <c r="I205" s="4">
        <v>55.76</v>
      </c>
      <c r="J205" s="4">
        <v>0.02</v>
      </c>
      <c r="K205" s="4">
        <v>55.74</v>
      </c>
      <c r="L205" s="4">
        <v>441.06</v>
      </c>
      <c r="M205" s="4">
        <v>58661</v>
      </c>
      <c r="N205" s="4">
        <v>184.54</v>
      </c>
      <c r="O205" s="4">
        <v>24543.25</v>
      </c>
      <c r="P205" s="4" t="s">
        <v>34</v>
      </c>
      <c r="Q205" s="4" t="s">
        <v>30</v>
      </c>
      <c r="R205" s="4" t="s">
        <v>109</v>
      </c>
      <c r="S205" s="4">
        <v>0</v>
      </c>
      <c r="T205" s="4">
        <v>1230</v>
      </c>
      <c r="U205" s="4">
        <v>0</v>
      </c>
      <c r="V205" s="4" t="s">
        <v>32</v>
      </c>
      <c r="W205" s="4" t="s">
        <v>32</v>
      </c>
      <c r="X205" s="4" t="s">
        <v>32</v>
      </c>
      <c r="Y205" s="4" t="s">
        <v>32</v>
      </c>
      <c r="Z205" s="4" t="s">
        <v>32</v>
      </c>
      <c r="AA205" s="4" t="s">
        <v>32</v>
      </c>
    </row>
    <row r="206" s="4" customFormat="1" spans="1:27">
      <c r="A206" s="4" t="s">
        <v>105</v>
      </c>
      <c r="B206" s="4" t="s">
        <v>28</v>
      </c>
      <c r="C206" s="4">
        <v>12952075</v>
      </c>
      <c r="D206" s="19">
        <v>254720233801</v>
      </c>
      <c r="E206" s="21">
        <v>45421.8971527778</v>
      </c>
      <c r="F206" s="4">
        <v>420.75</v>
      </c>
      <c r="G206" s="4">
        <v>0</v>
      </c>
      <c r="H206" s="4">
        <v>420.75</v>
      </c>
      <c r="I206" s="4">
        <v>0.17</v>
      </c>
      <c r="J206" s="4">
        <v>0</v>
      </c>
      <c r="K206" s="4">
        <v>0.17</v>
      </c>
      <c r="L206" s="4">
        <v>88.03</v>
      </c>
      <c r="M206" s="4">
        <v>11708</v>
      </c>
      <c r="N206" s="4">
        <v>1.21</v>
      </c>
      <c r="O206" s="4">
        <v>160.55</v>
      </c>
      <c r="P206" s="4" t="s">
        <v>29</v>
      </c>
      <c r="Q206" s="4" t="s">
        <v>30</v>
      </c>
      <c r="R206" s="4" t="s">
        <v>109</v>
      </c>
      <c r="S206" s="4">
        <v>0</v>
      </c>
      <c r="T206" s="4">
        <v>10</v>
      </c>
      <c r="U206" s="4">
        <v>0</v>
      </c>
      <c r="V206" s="4" t="s">
        <v>32</v>
      </c>
      <c r="W206" s="4" t="s">
        <v>32</v>
      </c>
      <c r="X206" s="4" t="s">
        <v>32</v>
      </c>
      <c r="Y206" s="4" t="s">
        <v>32</v>
      </c>
      <c r="Z206" s="4" t="s">
        <v>32</v>
      </c>
      <c r="AA206" s="4" t="s">
        <v>32</v>
      </c>
    </row>
    <row r="207" s="4" customFormat="1" spans="1:27">
      <c r="A207" s="4" t="s">
        <v>105</v>
      </c>
      <c r="B207" s="4" t="s">
        <v>28</v>
      </c>
      <c r="C207" s="4">
        <v>21953575</v>
      </c>
      <c r="D207" s="19">
        <v>254720626864</v>
      </c>
      <c r="E207" s="21">
        <v>46099.3474884259</v>
      </c>
      <c r="F207" s="4">
        <v>784.24</v>
      </c>
      <c r="G207" s="4">
        <v>0</v>
      </c>
      <c r="H207" s="4">
        <v>784.24</v>
      </c>
      <c r="I207" s="4">
        <v>4.73</v>
      </c>
      <c r="J207" s="4">
        <v>-0.27</v>
      </c>
      <c r="K207" s="4">
        <v>5</v>
      </c>
      <c r="L207" s="4">
        <v>71.6</v>
      </c>
      <c r="M207" s="4">
        <v>9523</v>
      </c>
      <c r="N207" s="4">
        <v>68.02</v>
      </c>
      <c r="O207" s="4">
        <v>9046.85</v>
      </c>
      <c r="P207" s="4" t="s">
        <v>29</v>
      </c>
      <c r="Q207" s="4" t="s">
        <v>30</v>
      </c>
      <c r="R207" s="4" t="s">
        <v>109</v>
      </c>
      <c r="S207" s="4">
        <v>0</v>
      </c>
      <c r="T207" s="4">
        <v>450</v>
      </c>
      <c r="U207" s="4">
        <v>0</v>
      </c>
      <c r="V207" s="4" t="s">
        <v>32</v>
      </c>
      <c r="W207" s="4" t="s">
        <v>32</v>
      </c>
      <c r="X207" s="4" t="s">
        <v>32</v>
      </c>
      <c r="Y207" s="4" t="s">
        <v>32</v>
      </c>
      <c r="Z207" s="4" t="s">
        <v>32</v>
      </c>
      <c r="AA207" s="4" t="s">
        <v>32</v>
      </c>
    </row>
    <row r="208" s="4" customFormat="1" spans="1:27">
      <c r="A208" s="4" t="s">
        <v>105</v>
      </c>
      <c r="B208" s="4" t="s">
        <v>28</v>
      </c>
      <c r="C208" s="4">
        <v>19174513</v>
      </c>
      <c r="D208" s="19">
        <v>254720805522</v>
      </c>
      <c r="E208" s="21">
        <v>45959.5062615741</v>
      </c>
      <c r="F208" s="4">
        <v>560.59</v>
      </c>
      <c r="G208" s="4">
        <v>0.8</v>
      </c>
      <c r="H208" s="4">
        <v>559.79</v>
      </c>
      <c r="I208" s="4">
        <v>24.94</v>
      </c>
      <c r="J208" s="4">
        <v>0.35</v>
      </c>
      <c r="K208" s="4">
        <v>24.59</v>
      </c>
      <c r="L208" s="4">
        <v>85.53</v>
      </c>
      <c r="M208" s="4">
        <v>11375</v>
      </c>
      <c r="N208" s="4">
        <v>12.32</v>
      </c>
      <c r="O208" s="4">
        <v>1638.75</v>
      </c>
      <c r="P208" s="4" t="s">
        <v>34</v>
      </c>
      <c r="Q208" s="4" t="s">
        <v>30</v>
      </c>
      <c r="R208" s="4" t="s">
        <v>109</v>
      </c>
      <c r="S208" s="4">
        <v>0</v>
      </c>
      <c r="T208" s="4">
        <v>80</v>
      </c>
      <c r="U208" s="4">
        <v>0</v>
      </c>
      <c r="V208" s="4" t="s">
        <v>32</v>
      </c>
      <c r="W208" s="4" t="s">
        <v>32</v>
      </c>
      <c r="X208" s="4" t="s">
        <v>32</v>
      </c>
      <c r="Y208" s="4" t="s">
        <v>32</v>
      </c>
      <c r="Z208" s="4" t="s">
        <v>32</v>
      </c>
      <c r="AA208" s="4" t="s">
        <v>32</v>
      </c>
    </row>
    <row r="209" s="4" customFormat="1" spans="1:27">
      <c r="A209" s="4" t="s">
        <v>105</v>
      </c>
      <c r="B209" s="4" t="s">
        <v>28</v>
      </c>
      <c r="C209" s="4">
        <v>839904</v>
      </c>
      <c r="D209" s="19">
        <v>254721687733</v>
      </c>
      <c r="E209" s="21">
        <v>43970.6092708333</v>
      </c>
      <c r="F209" s="4">
        <v>1268.49</v>
      </c>
      <c r="G209" s="4">
        <v>0.23</v>
      </c>
      <c r="H209" s="4">
        <v>1268.26</v>
      </c>
      <c r="I209" s="4">
        <v>82.68</v>
      </c>
      <c r="J209" s="4">
        <v>0.23</v>
      </c>
      <c r="K209" s="4">
        <v>82.45</v>
      </c>
      <c r="L209" s="4">
        <v>359.17</v>
      </c>
      <c r="M209" s="4">
        <v>47769</v>
      </c>
      <c r="N209" s="4">
        <v>69.29</v>
      </c>
      <c r="O209" s="4">
        <v>9215</v>
      </c>
      <c r="P209" s="4" t="s">
        <v>34</v>
      </c>
      <c r="Q209" s="4" t="s">
        <v>30</v>
      </c>
      <c r="R209" s="4" t="s">
        <v>109</v>
      </c>
      <c r="S209" s="4">
        <v>0</v>
      </c>
      <c r="T209" s="4">
        <v>460</v>
      </c>
      <c r="U209" s="4">
        <v>0</v>
      </c>
      <c r="V209" s="4" t="s">
        <v>32</v>
      </c>
      <c r="W209" s="4" t="s">
        <v>32</v>
      </c>
      <c r="X209" s="4" t="s">
        <v>32</v>
      </c>
      <c r="Y209" s="4" t="s">
        <v>32</v>
      </c>
      <c r="Z209" s="4" t="s">
        <v>32</v>
      </c>
      <c r="AA209" s="4" t="s">
        <v>32</v>
      </c>
    </row>
    <row r="210" s="4" customFormat="1" spans="1:27">
      <c r="A210" s="4" t="s">
        <v>105</v>
      </c>
      <c r="B210" s="4" t="s">
        <v>28</v>
      </c>
      <c r="C210" s="4">
        <v>12911873</v>
      </c>
      <c r="D210" s="19">
        <v>254724227265</v>
      </c>
      <c r="E210" s="21">
        <v>45417.7223263889</v>
      </c>
      <c r="F210" s="4">
        <v>410.53</v>
      </c>
      <c r="G210" s="4">
        <v>0</v>
      </c>
      <c r="H210" s="4">
        <v>410.53</v>
      </c>
      <c r="I210" s="4">
        <v>32.59</v>
      </c>
      <c r="J210" s="4">
        <v>0</v>
      </c>
      <c r="K210" s="4">
        <v>32.59</v>
      </c>
      <c r="L210" s="4">
        <v>54.36</v>
      </c>
      <c r="M210" s="4">
        <v>7230</v>
      </c>
      <c r="N210" s="4">
        <v>51.64</v>
      </c>
      <c r="O210" s="4">
        <v>6868.5</v>
      </c>
      <c r="P210" s="4" t="s">
        <v>29</v>
      </c>
      <c r="Q210" s="4" t="s">
        <v>30</v>
      </c>
      <c r="R210" s="4" t="s">
        <v>109</v>
      </c>
      <c r="S210" s="4">
        <v>0</v>
      </c>
      <c r="T210" s="4">
        <v>340</v>
      </c>
      <c r="U210" s="4">
        <v>0</v>
      </c>
      <c r="V210" s="4" t="s">
        <v>32</v>
      </c>
      <c r="W210" s="4" t="s">
        <v>32</v>
      </c>
      <c r="X210" s="4" t="s">
        <v>32</v>
      </c>
      <c r="Y210" s="4" t="s">
        <v>32</v>
      </c>
      <c r="Z210" s="4" t="s">
        <v>32</v>
      </c>
      <c r="AA210" s="4" t="s">
        <v>32</v>
      </c>
    </row>
    <row r="211" s="4" customFormat="1" spans="1:27">
      <c r="A211" s="4" t="s">
        <v>105</v>
      </c>
      <c r="B211" s="4" t="s">
        <v>28</v>
      </c>
      <c r="C211" s="4">
        <v>18906535</v>
      </c>
      <c r="D211" s="19">
        <v>254725146609</v>
      </c>
      <c r="E211" s="21">
        <v>45941.778587963</v>
      </c>
      <c r="F211" s="4">
        <v>368.53</v>
      </c>
      <c r="G211" s="4">
        <v>3.62</v>
      </c>
      <c r="H211" s="4">
        <v>364.91</v>
      </c>
      <c r="I211" s="4">
        <v>28.27</v>
      </c>
      <c r="J211" s="4">
        <v>-3.81</v>
      </c>
      <c r="K211" s="4">
        <v>32.09</v>
      </c>
      <c r="L211" s="4">
        <v>116.41</v>
      </c>
      <c r="M211" s="4">
        <v>15483</v>
      </c>
      <c r="N211" s="4">
        <v>8.57</v>
      </c>
      <c r="O211" s="4">
        <v>1140</v>
      </c>
      <c r="P211" s="4" t="s">
        <v>34</v>
      </c>
      <c r="Q211" s="4" t="s">
        <v>30</v>
      </c>
      <c r="R211" s="4" t="s">
        <v>109</v>
      </c>
      <c r="S211" s="4">
        <v>0</v>
      </c>
      <c r="T211" s="4">
        <v>60</v>
      </c>
      <c r="U211" s="4">
        <v>0</v>
      </c>
      <c r="V211" s="4" t="s">
        <v>32</v>
      </c>
      <c r="W211" s="4" t="s">
        <v>32</v>
      </c>
      <c r="X211" s="4" t="s">
        <v>32</v>
      </c>
      <c r="Y211" s="4" t="s">
        <v>32</v>
      </c>
      <c r="Z211" s="4" t="s">
        <v>32</v>
      </c>
      <c r="AA211" s="4" t="s">
        <v>32</v>
      </c>
    </row>
    <row r="212" s="4" customFormat="1" spans="1:27">
      <c r="A212" s="4" t="s">
        <v>105</v>
      </c>
      <c r="B212" s="4" t="s">
        <v>28</v>
      </c>
      <c r="C212" s="4">
        <v>21863975</v>
      </c>
      <c r="D212" s="19">
        <v>254725217853</v>
      </c>
      <c r="E212" s="21">
        <v>46093.8771527778</v>
      </c>
      <c r="F212" s="4">
        <v>593.29</v>
      </c>
      <c r="G212" s="4">
        <v>0</v>
      </c>
      <c r="H212" s="4">
        <v>593.29</v>
      </c>
      <c r="I212" s="4">
        <v>29.56</v>
      </c>
      <c r="J212" s="4">
        <v>0</v>
      </c>
      <c r="K212" s="4">
        <v>29.56</v>
      </c>
      <c r="L212" s="4">
        <v>75.69</v>
      </c>
      <c r="M212" s="4">
        <v>10067</v>
      </c>
      <c r="N212" s="4">
        <v>71.91</v>
      </c>
      <c r="O212" s="4">
        <v>9563.65</v>
      </c>
      <c r="P212" s="4" t="s">
        <v>29</v>
      </c>
      <c r="Q212" s="4" t="s">
        <v>30</v>
      </c>
      <c r="R212" s="4" t="s">
        <v>109</v>
      </c>
      <c r="S212" s="4">
        <v>0</v>
      </c>
      <c r="T212" s="4">
        <v>480</v>
      </c>
      <c r="U212" s="4">
        <v>0</v>
      </c>
      <c r="V212" s="4" t="s">
        <v>32</v>
      </c>
      <c r="W212" s="4" t="s">
        <v>32</v>
      </c>
      <c r="X212" s="4" t="s">
        <v>32</v>
      </c>
      <c r="Y212" s="4" t="s">
        <v>32</v>
      </c>
      <c r="Z212" s="4" t="s">
        <v>32</v>
      </c>
      <c r="AA212" s="4" t="s">
        <v>32</v>
      </c>
    </row>
    <row r="213" s="4" customFormat="1" spans="1:27">
      <c r="A213" s="4" t="s">
        <v>105</v>
      </c>
      <c r="B213" s="4" t="s">
        <v>28</v>
      </c>
      <c r="C213" s="4">
        <v>3675633</v>
      </c>
      <c r="D213" s="19">
        <v>254725520354</v>
      </c>
      <c r="E213" s="21">
        <v>44254.4286689815</v>
      </c>
      <c r="F213" s="4">
        <v>175.33</v>
      </c>
      <c r="G213" s="4">
        <v>44.94</v>
      </c>
      <c r="H213" s="4">
        <v>130.39</v>
      </c>
      <c r="I213" s="4">
        <v>4.18</v>
      </c>
      <c r="J213" s="4">
        <v>-2.53</v>
      </c>
      <c r="K213" s="4">
        <v>6.71</v>
      </c>
      <c r="L213" s="4">
        <v>57.62</v>
      </c>
      <c r="M213" s="4">
        <v>7664</v>
      </c>
      <c r="N213" s="4">
        <v>9.16</v>
      </c>
      <c r="O213" s="4">
        <v>1217.9</v>
      </c>
      <c r="P213" s="4" t="s">
        <v>35</v>
      </c>
      <c r="Q213" s="4" t="s">
        <v>30</v>
      </c>
      <c r="R213" s="4" t="s">
        <v>109</v>
      </c>
      <c r="S213" s="4">
        <v>2000</v>
      </c>
      <c r="T213" s="4">
        <v>30</v>
      </c>
      <c r="U213" s="4">
        <v>0</v>
      </c>
      <c r="V213" s="4" t="s">
        <v>32</v>
      </c>
      <c r="W213" s="4" t="s">
        <v>32</v>
      </c>
      <c r="X213" s="4" t="s">
        <v>32</v>
      </c>
      <c r="Y213" s="4" t="s">
        <v>32</v>
      </c>
      <c r="Z213" s="4" t="s">
        <v>32</v>
      </c>
      <c r="AA213" s="4" t="s">
        <v>32</v>
      </c>
    </row>
    <row r="214" s="4" customFormat="1" spans="1:27">
      <c r="A214" s="4" t="s">
        <v>105</v>
      </c>
      <c r="B214" s="4" t="s">
        <v>28</v>
      </c>
      <c r="C214" s="4">
        <v>2571273</v>
      </c>
      <c r="D214" s="19">
        <v>254726529512</v>
      </c>
      <c r="E214" s="21">
        <v>44093.6137384259</v>
      </c>
      <c r="F214" s="4">
        <v>7216.65</v>
      </c>
      <c r="G214" s="4">
        <v>9.32</v>
      </c>
      <c r="H214" s="4">
        <v>7207.34</v>
      </c>
      <c r="I214" s="4">
        <v>175.49</v>
      </c>
      <c r="J214" s="4">
        <v>7.5</v>
      </c>
      <c r="K214" s="4">
        <v>167.99</v>
      </c>
      <c r="L214" s="4">
        <v>1104.37</v>
      </c>
      <c r="M214" s="4">
        <v>146881</v>
      </c>
      <c r="N214" s="4">
        <v>306.29</v>
      </c>
      <c r="O214" s="4">
        <v>40736.95</v>
      </c>
      <c r="P214" s="4" t="s">
        <v>34</v>
      </c>
      <c r="Q214" s="4" t="s">
        <v>33</v>
      </c>
      <c r="R214" s="4" t="s">
        <v>109</v>
      </c>
      <c r="S214" s="4">
        <v>0</v>
      </c>
      <c r="T214" s="4">
        <v>2040</v>
      </c>
      <c r="U214" s="4">
        <v>0</v>
      </c>
      <c r="V214" s="4" t="s">
        <v>32</v>
      </c>
      <c r="W214" s="4" t="s">
        <v>32</v>
      </c>
      <c r="X214" s="4" t="s">
        <v>32</v>
      </c>
      <c r="Y214" s="4" t="s">
        <v>32</v>
      </c>
      <c r="Z214" s="4" t="s">
        <v>32</v>
      </c>
      <c r="AA214" s="4" t="s">
        <v>32</v>
      </c>
    </row>
    <row r="215" s="4" customFormat="1" spans="1:27">
      <c r="A215" s="4" t="s">
        <v>105</v>
      </c>
      <c r="B215" s="4" t="s">
        <v>28</v>
      </c>
      <c r="C215" s="4">
        <v>12131424</v>
      </c>
      <c r="D215" s="19">
        <v>254726597215</v>
      </c>
      <c r="E215" s="21">
        <v>45314.8054976852</v>
      </c>
      <c r="F215" s="4">
        <v>104.06</v>
      </c>
      <c r="G215" s="4">
        <v>0</v>
      </c>
      <c r="H215" s="4">
        <v>104.06</v>
      </c>
      <c r="I215" s="4">
        <v>7.1</v>
      </c>
      <c r="J215" s="4">
        <v>0</v>
      </c>
      <c r="K215" s="4">
        <v>7.1</v>
      </c>
      <c r="L215" s="4">
        <v>52.78</v>
      </c>
      <c r="M215" s="4">
        <v>7020</v>
      </c>
      <c r="N215" s="4">
        <v>8.57</v>
      </c>
      <c r="O215" s="4">
        <v>1140</v>
      </c>
      <c r="P215" s="4" t="s">
        <v>29</v>
      </c>
      <c r="Q215" s="4" t="s">
        <v>30</v>
      </c>
      <c r="R215" s="4" t="s">
        <v>109</v>
      </c>
      <c r="S215" s="4">
        <v>0</v>
      </c>
      <c r="T215" s="4">
        <v>60</v>
      </c>
      <c r="U215" s="4">
        <v>0</v>
      </c>
      <c r="V215" s="4" t="s">
        <v>32</v>
      </c>
      <c r="W215" s="4" t="s">
        <v>32</v>
      </c>
      <c r="X215" s="4" t="s">
        <v>32</v>
      </c>
      <c r="Y215" s="4" t="s">
        <v>32</v>
      </c>
      <c r="Z215" s="4" t="s">
        <v>32</v>
      </c>
      <c r="AA215" s="4" t="s">
        <v>32</v>
      </c>
    </row>
    <row r="216" s="4" customFormat="1" spans="1:27">
      <c r="A216" s="4" t="s">
        <v>105</v>
      </c>
      <c r="B216" s="4" t="s">
        <v>28</v>
      </c>
      <c r="C216" s="4">
        <v>13122184</v>
      </c>
      <c r="D216" s="19">
        <v>254727787380</v>
      </c>
      <c r="E216" s="21">
        <v>45448.6689583333</v>
      </c>
      <c r="F216" s="4">
        <v>2266.51</v>
      </c>
      <c r="G216" s="4">
        <v>1.94</v>
      </c>
      <c r="H216" s="4">
        <v>2264.57</v>
      </c>
      <c r="I216" s="4">
        <v>418.14</v>
      </c>
      <c r="J216" s="4">
        <v>1.36</v>
      </c>
      <c r="K216" s="4">
        <v>416.78</v>
      </c>
      <c r="L216" s="4">
        <v>786.05</v>
      </c>
      <c r="M216" s="4">
        <v>104544</v>
      </c>
      <c r="N216" s="4">
        <v>210.76</v>
      </c>
      <c r="O216" s="4">
        <v>28031.65</v>
      </c>
      <c r="P216" s="4" t="s">
        <v>29</v>
      </c>
      <c r="Q216" s="4" t="s">
        <v>30</v>
      </c>
      <c r="R216" s="4" t="s">
        <v>109</v>
      </c>
      <c r="S216" s="4">
        <v>0</v>
      </c>
      <c r="T216" s="4">
        <v>1400</v>
      </c>
      <c r="U216" s="4">
        <v>0</v>
      </c>
      <c r="V216" s="4" t="s">
        <v>32</v>
      </c>
      <c r="W216" s="4" t="s">
        <v>32</v>
      </c>
      <c r="X216" s="4" t="s">
        <v>32</v>
      </c>
      <c r="Y216" s="4" t="s">
        <v>32</v>
      </c>
      <c r="Z216" s="4" t="s">
        <v>32</v>
      </c>
      <c r="AA216" s="4" t="s">
        <v>32</v>
      </c>
    </row>
    <row r="217" s="4" customFormat="1" spans="1:27">
      <c r="A217" s="4" t="s">
        <v>105</v>
      </c>
      <c r="B217" s="4" t="s">
        <v>28</v>
      </c>
      <c r="C217" s="4">
        <v>20242025</v>
      </c>
      <c r="D217" s="19">
        <v>254732201694</v>
      </c>
      <c r="E217" s="21">
        <v>46012.4705555556</v>
      </c>
      <c r="F217" s="4">
        <v>420.42</v>
      </c>
      <c r="G217" s="4">
        <v>4.47</v>
      </c>
      <c r="H217" s="4">
        <v>415.96</v>
      </c>
      <c r="I217" s="4">
        <v>11.91</v>
      </c>
      <c r="J217" s="4">
        <v>2.8</v>
      </c>
      <c r="K217" s="4">
        <v>9.11</v>
      </c>
      <c r="L217" s="4">
        <v>82.92</v>
      </c>
      <c r="M217" s="4">
        <v>11028</v>
      </c>
      <c r="N217" s="4">
        <v>52.89</v>
      </c>
      <c r="O217" s="4">
        <v>7034.75</v>
      </c>
      <c r="P217" s="4" t="s">
        <v>34</v>
      </c>
      <c r="Q217" s="4" t="s">
        <v>30</v>
      </c>
      <c r="R217" s="4" t="s">
        <v>109</v>
      </c>
      <c r="S217" s="4">
        <v>0</v>
      </c>
      <c r="T217" s="4">
        <v>350</v>
      </c>
      <c r="U217" s="4">
        <v>0</v>
      </c>
      <c r="V217" s="4" t="s">
        <v>32</v>
      </c>
      <c r="W217" s="4" t="s">
        <v>32</v>
      </c>
      <c r="X217" s="4" t="s">
        <v>32</v>
      </c>
      <c r="Y217" s="4" t="s">
        <v>32</v>
      </c>
      <c r="Z217" s="4" t="s">
        <v>32</v>
      </c>
      <c r="AA217" s="4" t="s">
        <v>32</v>
      </c>
    </row>
    <row r="218" s="4" customFormat="1" spans="1:27">
      <c r="A218" s="4" t="s">
        <v>105</v>
      </c>
      <c r="B218" s="4" t="s">
        <v>28</v>
      </c>
      <c r="C218" s="4">
        <v>22794284</v>
      </c>
      <c r="D218" s="19">
        <v>254740369754</v>
      </c>
      <c r="E218" s="21">
        <v>46151.2200115741</v>
      </c>
      <c r="F218" s="4">
        <v>244.91</v>
      </c>
      <c r="G218" s="4">
        <v>0.08</v>
      </c>
      <c r="H218" s="4">
        <v>244.83</v>
      </c>
      <c r="I218" s="4">
        <v>3.08</v>
      </c>
      <c r="J218" s="4">
        <v>0.08</v>
      </c>
      <c r="K218" s="4">
        <v>3</v>
      </c>
      <c r="L218" s="4">
        <v>58.11</v>
      </c>
      <c r="M218" s="4">
        <v>7729</v>
      </c>
      <c r="N218" s="4">
        <v>55.21</v>
      </c>
      <c r="O218" s="4">
        <v>7342.55</v>
      </c>
      <c r="P218" s="4" t="s">
        <v>34</v>
      </c>
      <c r="Q218" s="4" t="s">
        <v>30</v>
      </c>
      <c r="R218" s="4" t="s">
        <v>109</v>
      </c>
      <c r="S218" s="4">
        <v>0</v>
      </c>
      <c r="T218" s="4">
        <v>370</v>
      </c>
      <c r="U218" s="4">
        <v>0</v>
      </c>
      <c r="V218" s="4" t="s">
        <v>32</v>
      </c>
      <c r="W218" s="4" t="s">
        <v>32</v>
      </c>
      <c r="X218" s="4" t="s">
        <v>32</v>
      </c>
      <c r="Y218" s="4" t="s">
        <v>32</v>
      </c>
      <c r="Z218" s="4" t="s">
        <v>32</v>
      </c>
      <c r="AA218" s="4" t="s">
        <v>32</v>
      </c>
    </row>
    <row r="219" s="4" customFormat="1" spans="1:27">
      <c r="A219" s="4" t="s">
        <v>105</v>
      </c>
      <c r="B219" s="4" t="s">
        <v>28</v>
      </c>
      <c r="C219" s="4">
        <v>17310683</v>
      </c>
      <c r="D219" s="19">
        <v>254746389478</v>
      </c>
      <c r="E219" s="21">
        <v>45845.5415856481</v>
      </c>
      <c r="F219" s="4">
        <v>193.33</v>
      </c>
      <c r="G219" s="4">
        <v>0.28</v>
      </c>
      <c r="H219" s="4">
        <v>193.05</v>
      </c>
      <c r="I219" s="4">
        <v>11.16</v>
      </c>
      <c r="J219" s="4">
        <v>0.02</v>
      </c>
      <c r="K219" s="4">
        <v>11.14</v>
      </c>
      <c r="L219" s="4">
        <v>54.5</v>
      </c>
      <c r="M219" s="4">
        <v>7248</v>
      </c>
      <c r="N219" s="4">
        <v>1.34</v>
      </c>
      <c r="O219" s="4">
        <v>178.6</v>
      </c>
      <c r="P219" s="4" t="s">
        <v>29</v>
      </c>
      <c r="Q219" s="4" t="s">
        <v>30</v>
      </c>
      <c r="R219" s="4" t="s">
        <v>109</v>
      </c>
      <c r="S219" s="4">
        <v>0</v>
      </c>
      <c r="T219" s="4">
        <v>10</v>
      </c>
      <c r="U219" s="4">
        <v>0</v>
      </c>
      <c r="V219" s="4" t="s">
        <v>32</v>
      </c>
      <c r="W219" s="4" t="s">
        <v>32</v>
      </c>
      <c r="X219" s="4" t="s">
        <v>32</v>
      </c>
      <c r="Y219" s="4" t="s">
        <v>32</v>
      </c>
      <c r="Z219" s="4" t="s">
        <v>32</v>
      </c>
      <c r="AA219" s="4" t="s">
        <v>32</v>
      </c>
    </row>
    <row r="220" s="4" customFormat="1" spans="1:27">
      <c r="A220" s="4" t="s">
        <v>105</v>
      </c>
      <c r="B220" s="4" t="s">
        <v>28</v>
      </c>
      <c r="C220" s="4">
        <v>19650313</v>
      </c>
      <c r="D220" s="19">
        <v>254748947818</v>
      </c>
      <c r="E220" s="21">
        <v>45983.8138541667</v>
      </c>
      <c r="F220" s="4">
        <v>2759.3</v>
      </c>
      <c r="G220" s="4">
        <v>0.02</v>
      </c>
      <c r="H220" s="4">
        <v>2759.29</v>
      </c>
      <c r="I220" s="4">
        <v>92.18</v>
      </c>
      <c r="J220" s="4">
        <v>-0.26</v>
      </c>
      <c r="K220" s="4">
        <v>92.43</v>
      </c>
      <c r="L220" s="4">
        <v>703.64</v>
      </c>
      <c r="M220" s="4">
        <v>93584</v>
      </c>
      <c r="N220" s="4">
        <v>286.78</v>
      </c>
      <c r="O220" s="4">
        <v>38141.55</v>
      </c>
      <c r="P220" s="4" t="s">
        <v>29</v>
      </c>
      <c r="Q220" s="4" t="s">
        <v>30</v>
      </c>
      <c r="R220" s="4" t="s">
        <v>109</v>
      </c>
      <c r="S220" s="4">
        <v>0</v>
      </c>
      <c r="T220" s="4">
        <v>1910</v>
      </c>
      <c r="U220" s="4">
        <v>0</v>
      </c>
      <c r="V220" s="4" t="s">
        <v>32</v>
      </c>
      <c r="W220" s="4" t="s">
        <v>32</v>
      </c>
      <c r="X220" s="4" t="s">
        <v>32</v>
      </c>
      <c r="Y220" s="4" t="s">
        <v>32</v>
      </c>
      <c r="Z220" s="4" t="s">
        <v>32</v>
      </c>
      <c r="AA220" s="4" t="s">
        <v>32</v>
      </c>
    </row>
    <row r="221" s="4" customFormat="1" spans="1:27">
      <c r="A221" s="4" t="s">
        <v>105</v>
      </c>
      <c r="B221" s="4" t="s">
        <v>28</v>
      </c>
      <c r="C221" s="4">
        <v>14539073</v>
      </c>
      <c r="D221" s="19">
        <v>254757931091</v>
      </c>
      <c r="E221" s="21">
        <v>45604.7687037037</v>
      </c>
      <c r="F221" s="4">
        <v>1932.05</v>
      </c>
      <c r="G221" s="4">
        <v>19.29</v>
      </c>
      <c r="H221" s="4">
        <v>1912.76</v>
      </c>
      <c r="I221" s="4">
        <v>79.97</v>
      </c>
      <c r="J221" s="4">
        <v>9.77</v>
      </c>
      <c r="K221" s="4">
        <v>70.19</v>
      </c>
      <c r="L221" s="4">
        <v>431.9</v>
      </c>
      <c r="M221" s="4">
        <v>57443</v>
      </c>
      <c r="N221" s="4">
        <v>0</v>
      </c>
      <c r="O221" s="4">
        <v>0</v>
      </c>
      <c r="P221" s="4" t="s">
        <v>29</v>
      </c>
      <c r="Q221" s="4" t="s">
        <v>30</v>
      </c>
      <c r="R221" s="4" t="s">
        <v>109</v>
      </c>
      <c r="S221" s="4">
        <v>0</v>
      </c>
      <c r="T221" s="4">
        <v>0</v>
      </c>
      <c r="U221" s="4">
        <v>0</v>
      </c>
      <c r="V221" s="4" t="s">
        <v>32</v>
      </c>
      <c r="W221" s="4" t="s">
        <v>32</v>
      </c>
      <c r="X221" s="4" t="s">
        <v>32</v>
      </c>
      <c r="Y221" s="4" t="s">
        <v>32</v>
      </c>
      <c r="Z221" s="4" t="s">
        <v>32</v>
      </c>
      <c r="AA221" s="4" t="s">
        <v>32</v>
      </c>
    </row>
    <row r="222" s="4" customFormat="1" spans="1:27">
      <c r="A222" s="4" t="s">
        <v>105</v>
      </c>
      <c r="B222" s="4" t="s">
        <v>28</v>
      </c>
      <c r="C222" s="4">
        <v>11459634</v>
      </c>
      <c r="D222" s="19">
        <v>254769504823</v>
      </c>
      <c r="E222" s="21">
        <v>45254.4764351852</v>
      </c>
      <c r="F222" s="4">
        <v>2429.55</v>
      </c>
      <c r="G222" s="4">
        <v>0</v>
      </c>
      <c r="H222" s="4">
        <v>2429.55</v>
      </c>
      <c r="I222" s="4">
        <v>155.35</v>
      </c>
      <c r="J222" s="4">
        <v>0</v>
      </c>
      <c r="K222" s="4">
        <v>155.35</v>
      </c>
      <c r="L222" s="4">
        <v>855.11</v>
      </c>
      <c r="M222" s="4">
        <v>113729</v>
      </c>
      <c r="N222" s="4">
        <v>263.32</v>
      </c>
      <c r="O222" s="4">
        <v>35021.75</v>
      </c>
      <c r="P222" s="4" t="s">
        <v>29</v>
      </c>
      <c r="Q222" s="4" t="s">
        <v>30</v>
      </c>
      <c r="R222" s="4" t="s">
        <v>109</v>
      </c>
      <c r="S222" s="4">
        <v>0</v>
      </c>
      <c r="T222" s="4">
        <v>1750</v>
      </c>
      <c r="U222" s="4">
        <v>0</v>
      </c>
      <c r="V222" s="4" t="s">
        <v>32</v>
      </c>
      <c r="W222" s="4" t="s">
        <v>32</v>
      </c>
      <c r="X222" s="4" t="s">
        <v>32</v>
      </c>
      <c r="Y222" s="4" t="s">
        <v>32</v>
      </c>
      <c r="Z222" s="4" t="s">
        <v>32</v>
      </c>
      <c r="AA222" s="4" t="s">
        <v>32</v>
      </c>
    </row>
    <row r="223" s="4" customFormat="1" spans="1:27">
      <c r="A223" s="4" t="s">
        <v>105</v>
      </c>
      <c r="B223" s="4" t="s">
        <v>28</v>
      </c>
      <c r="C223" s="4">
        <v>13179533</v>
      </c>
      <c r="D223" s="19">
        <v>254791867838</v>
      </c>
      <c r="E223" s="21">
        <v>45460.7396759259</v>
      </c>
      <c r="F223" s="4">
        <v>11794.26</v>
      </c>
      <c r="G223" s="4">
        <v>15.65</v>
      </c>
      <c r="H223" s="4">
        <v>11778.61</v>
      </c>
      <c r="I223" s="4">
        <v>819.61</v>
      </c>
      <c r="J223" s="4">
        <v>12.51</v>
      </c>
      <c r="K223" s="4">
        <v>807.25</v>
      </c>
      <c r="L223" s="4">
        <v>3139.33</v>
      </c>
      <c r="M223" s="4">
        <v>417531</v>
      </c>
      <c r="N223" s="4">
        <v>502.91</v>
      </c>
      <c r="O223" s="4">
        <v>66886.65</v>
      </c>
      <c r="P223" s="4" t="s">
        <v>34</v>
      </c>
      <c r="Q223" s="4" t="s">
        <v>33</v>
      </c>
      <c r="R223" s="4" t="s">
        <v>109</v>
      </c>
      <c r="S223" s="4">
        <v>0</v>
      </c>
      <c r="T223" s="4">
        <v>3340</v>
      </c>
      <c r="U223" s="4">
        <v>0</v>
      </c>
      <c r="V223" s="4" t="s">
        <v>32</v>
      </c>
      <c r="W223" s="4" t="s">
        <v>32</v>
      </c>
      <c r="X223" s="4" t="s">
        <v>32</v>
      </c>
      <c r="Y223" s="4" t="s">
        <v>32</v>
      </c>
      <c r="Z223" s="4" t="s">
        <v>32</v>
      </c>
      <c r="AA223" s="4" t="s">
        <v>32</v>
      </c>
    </row>
    <row r="224" s="4" customFormat="1" spans="1:27">
      <c r="A224" s="4" t="s">
        <v>105</v>
      </c>
      <c r="B224" s="4" t="s">
        <v>28</v>
      </c>
      <c r="C224" s="4">
        <v>16057383</v>
      </c>
      <c r="D224" s="19">
        <v>254793041030</v>
      </c>
      <c r="E224" s="21">
        <v>45741.7146527778</v>
      </c>
      <c r="F224" s="4">
        <v>166.71</v>
      </c>
      <c r="G224" s="4">
        <v>24.53</v>
      </c>
      <c r="H224" s="4">
        <v>142.18</v>
      </c>
      <c r="I224" s="4">
        <v>4.66</v>
      </c>
      <c r="J224" s="4">
        <v>5.38</v>
      </c>
      <c r="K224" s="4">
        <v>0.04</v>
      </c>
      <c r="L224" s="4">
        <v>70.55</v>
      </c>
      <c r="M224" s="4">
        <v>9383</v>
      </c>
      <c r="N224" s="4">
        <v>19.29</v>
      </c>
      <c r="O224" s="4">
        <v>2565</v>
      </c>
      <c r="P224" s="4" t="s">
        <v>35</v>
      </c>
      <c r="Q224" s="4" t="s">
        <v>30</v>
      </c>
      <c r="R224" s="4" t="s">
        <v>109</v>
      </c>
      <c r="S224" s="4">
        <v>2000</v>
      </c>
      <c r="T224" s="4">
        <v>60</v>
      </c>
      <c r="U224" s="4">
        <v>0</v>
      </c>
      <c r="V224" s="4" t="s">
        <v>32</v>
      </c>
      <c r="W224" s="4" t="s">
        <v>32</v>
      </c>
      <c r="X224" s="4" t="s">
        <v>32</v>
      </c>
      <c r="Y224" s="4" t="s">
        <v>32</v>
      </c>
      <c r="Z224" s="4" t="s">
        <v>32</v>
      </c>
      <c r="AA224" s="4" t="s">
        <v>32</v>
      </c>
    </row>
    <row r="225" s="4" customFormat="1" spans="1:27">
      <c r="A225" s="4" t="s">
        <v>105</v>
      </c>
      <c r="B225" s="4" t="s">
        <v>28</v>
      </c>
      <c r="C225" s="4">
        <v>3400334</v>
      </c>
      <c r="D225" s="19">
        <v>254793546989</v>
      </c>
      <c r="E225" s="21">
        <v>44205.4690046296</v>
      </c>
      <c r="F225" s="4">
        <v>3165.32</v>
      </c>
      <c r="G225" s="4">
        <v>0.42</v>
      </c>
      <c r="H225" s="4">
        <v>3164.9</v>
      </c>
      <c r="I225" s="4">
        <v>-45.5</v>
      </c>
      <c r="J225" s="4">
        <v>0.42</v>
      </c>
      <c r="K225" s="4">
        <v>-45.92</v>
      </c>
      <c r="L225" s="4">
        <v>206.38</v>
      </c>
      <c r="M225" s="4">
        <v>27448</v>
      </c>
      <c r="N225" s="4">
        <v>0</v>
      </c>
      <c r="O225" s="4">
        <v>0</v>
      </c>
      <c r="P225" s="4" t="s">
        <v>34</v>
      </c>
      <c r="Q225" s="4" t="s">
        <v>30</v>
      </c>
      <c r="R225" s="4" t="s">
        <v>109</v>
      </c>
      <c r="S225" s="4">
        <v>0</v>
      </c>
      <c r="T225" s="4">
        <v>0</v>
      </c>
      <c r="U225" s="4">
        <v>0</v>
      </c>
      <c r="V225" s="4" t="s">
        <v>32</v>
      </c>
      <c r="W225" s="4" t="s">
        <v>32</v>
      </c>
      <c r="X225" s="4" t="s">
        <v>32</v>
      </c>
      <c r="Y225" s="4" t="s">
        <v>32</v>
      </c>
      <c r="Z225" s="4" t="s">
        <v>32</v>
      </c>
      <c r="AA225" s="4" t="s">
        <v>32</v>
      </c>
    </row>
    <row r="226" s="4" customFormat="1" spans="1:27">
      <c r="A226" s="4" t="s">
        <v>105</v>
      </c>
      <c r="B226" s="4" t="s">
        <v>28</v>
      </c>
      <c r="C226" s="4">
        <v>12107544</v>
      </c>
      <c r="D226" s="19">
        <v>254795057999</v>
      </c>
      <c r="E226" s="21">
        <v>45312.5627314815</v>
      </c>
      <c r="F226" s="4">
        <v>3027.19</v>
      </c>
      <c r="G226" s="4">
        <v>0.89</v>
      </c>
      <c r="H226" s="4">
        <v>3026.31</v>
      </c>
      <c r="I226" s="4">
        <v>58.78</v>
      </c>
      <c r="J226" s="4">
        <v>0.89</v>
      </c>
      <c r="K226" s="4">
        <v>57.9</v>
      </c>
      <c r="L226" s="4">
        <v>186.33</v>
      </c>
      <c r="M226" s="4">
        <v>24782</v>
      </c>
      <c r="N226" s="4">
        <v>52.19</v>
      </c>
      <c r="O226" s="4">
        <v>6940.7</v>
      </c>
      <c r="P226" s="4" t="s">
        <v>29</v>
      </c>
      <c r="Q226" s="4" t="s">
        <v>30</v>
      </c>
      <c r="R226" s="4" t="s">
        <v>109</v>
      </c>
      <c r="S226" s="4">
        <v>0</v>
      </c>
      <c r="T226" s="4">
        <v>350</v>
      </c>
      <c r="U226" s="4">
        <v>0</v>
      </c>
      <c r="V226" s="4" t="s">
        <v>32</v>
      </c>
      <c r="W226" s="4" t="s">
        <v>32</v>
      </c>
      <c r="X226" s="4" t="s">
        <v>32</v>
      </c>
      <c r="Y226" s="4" t="s">
        <v>32</v>
      </c>
      <c r="Z226" s="4" t="s">
        <v>32</v>
      </c>
      <c r="AA226" s="4" t="s">
        <v>32</v>
      </c>
    </row>
    <row r="227" s="4" customFormat="1" spans="1:27">
      <c r="A227" s="4" t="s">
        <v>105</v>
      </c>
      <c r="B227" s="4" t="s">
        <v>28</v>
      </c>
      <c r="C227" s="4">
        <v>19681763</v>
      </c>
      <c r="D227" s="19">
        <v>254795697389</v>
      </c>
      <c r="E227" s="21">
        <v>45985.5733796296</v>
      </c>
      <c r="F227" s="4">
        <v>350.47</v>
      </c>
      <c r="G227" s="4">
        <v>0</v>
      </c>
      <c r="H227" s="4">
        <v>350.47</v>
      </c>
      <c r="I227" s="4">
        <v>25.94</v>
      </c>
      <c r="J227" s="4">
        <v>0</v>
      </c>
      <c r="K227" s="4">
        <v>25.94</v>
      </c>
      <c r="L227" s="4">
        <v>51.05</v>
      </c>
      <c r="M227" s="4">
        <v>6790</v>
      </c>
      <c r="N227" s="4">
        <v>3.15</v>
      </c>
      <c r="O227" s="4">
        <v>418.95</v>
      </c>
      <c r="P227" s="4" t="s">
        <v>29</v>
      </c>
      <c r="Q227" s="4" t="s">
        <v>30</v>
      </c>
      <c r="R227" s="4" t="s">
        <v>109</v>
      </c>
      <c r="S227" s="4">
        <v>0</v>
      </c>
      <c r="T227" s="4">
        <v>20</v>
      </c>
      <c r="U227" s="4">
        <v>0</v>
      </c>
      <c r="V227" s="4" t="s">
        <v>32</v>
      </c>
      <c r="W227" s="4" t="s">
        <v>32</v>
      </c>
      <c r="X227" s="4" t="s">
        <v>32</v>
      </c>
      <c r="Y227" s="4" t="s">
        <v>32</v>
      </c>
      <c r="Z227" s="4" t="s">
        <v>32</v>
      </c>
      <c r="AA227" s="4" t="s">
        <v>32</v>
      </c>
    </row>
    <row r="228" s="4" customFormat="1" spans="1:27">
      <c r="A228" s="4" t="s">
        <v>105</v>
      </c>
      <c r="B228" s="4" t="s">
        <v>28</v>
      </c>
      <c r="C228" s="4">
        <v>22404723</v>
      </c>
      <c r="D228" s="19">
        <v>254796090519</v>
      </c>
      <c r="E228" s="21">
        <v>46125.3424074074</v>
      </c>
      <c r="F228" s="4">
        <v>390.04</v>
      </c>
      <c r="G228" s="4">
        <v>0</v>
      </c>
      <c r="H228" s="4">
        <v>390.04</v>
      </c>
      <c r="I228" s="4">
        <v>13.66</v>
      </c>
      <c r="J228" s="4">
        <v>0</v>
      </c>
      <c r="K228" s="4">
        <v>13.66</v>
      </c>
      <c r="L228" s="4">
        <v>67.7</v>
      </c>
      <c r="M228" s="4">
        <v>9004</v>
      </c>
      <c r="N228" s="4">
        <v>64.31</v>
      </c>
      <c r="O228" s="4">
        <v>8553.8</v>
      </c>
      <c r="P228" s="4" t="s">
        <v>34</v>
      </c>
      <c r="Q228" s="4" t="s">
        <v>30</v>
      </c>
      <c r="R228" s="4" t="s">
        <v>109</v>
      </c>
      <c r="S228" s="4">
        <v>0</v>
      </c>
      <c r="T228" s="4">
        <v>430</v>
      </c>
      <c r="U228" s="4">
        <v>0</v>
      </c>
      <c r="V228" s="4" t="s">
        <v>32</v>
      </c>
      <c r="W228" s="4" t="s">
        <v>32</v>
      </c>
      <c r="X228" s="4" t="s">
        <v>32</v>
      </c>
      <c r="Y228" s="4" t="s">
        <v>32</v>
      </c>
      <c r="Z228" s="4" t="s">
        <v>32</v>
      </c>
      <c r="AA228" s="4" t="s">
        <v>32</v>
      </c>
    </row>
    <row r="229" s="4" customFormat="1" spans="1:27">
      <c r="A229" s="4" t="s">
        <v>105</v>
      </c>
      <c r="B229" s="4" t="s">
        <v>28</v>
      </c>
      <c r="C229" s="4">
        <v>16022724</v>
      </c>
      <c r="D229" s="19">
        <v>254796118828</v>
      </c>
      <c r="E229" s="21">
        <v>45735.0184837963</v>
      </c>
      <c r="F229" s="4">
        <v>2060.01</v>
      </c>
      <c r="G229" s="4">
        <v>0</v>
      </c>
      <c r="H229" s="4">
        <v>2060.01</v>
      </c>
      <c r="I229" s="4">
        <v>27.6</v>
      </c>
      <c r="J229" s="4">
        <v>0</v>
      </c>
      <c r="K229" s="4">
        <v>27.6</v>
      </c>
      <c r="L229" s="4">
        <v>689.6</v>
      </c>
      <c r="M229" s="4">
        <v>91717</v>
      </c>
      <c r="N229" s="4">
        <v>116.85</v>
      </c>
      <c r="O229" s="4">
        <v>15541.05</v>
      </c>
      <c r="P229" s="4" t="s">
        <v>29</v>
      </c>
      <c r="Q229" s="4" t="s">
        <v>30</v>
      </c>
      <c r="R229" s="4" t="s">
        <v>109</v>
      </c>
      <c r="S229" s="4">
        <v>0</v>
      </c>
      <c r="T229" s="4">
        <v>780</v>
      </c>
      <c r="U229" s="4">
        <v>0</v>
      </c>
      <c r="V229" s="4" t="s">
        <v>32</v>
      </c>
      <c r="W229" s="4" t="s">
        <v>32</v>
      </c>
      <c r="X229" s="4" t="s">
        <v>32</v>
      </c>
      <c r="Y229" s="4" t="s">
        <v>32</v>
      </c>
      <c r="Z229" s="4" t="s">
        <v>32</v>
      </c>
      <c r="AA229" s="4" t="s">
        <v>32</v>
      </c>
    </row>
    <row r="230" s="4" customFormat="1" spans="1:27">
      <c r="A230" s="4" t="s">
        <v>105</v>
      </c>
      <c r="B230" s="4" t="s">
        <v>28</v>
      </c>
      <c r="C230" s="4">
        <v>12223263</v>
      </c>
      <c r="D230" s="19">
        <v>254796731601</v>
      </c>
      <c r="E230" s="21">
        <v>45323.59125</v>
      </c>
      <c r="F230" s="4">
        <v>1349.95</v>
      </c>
      <c r="G230" s="4">
        <v>2.41</v>
      </c>
      <c r="H230" s="4">
        <v>1347.54</v>
      </c>
      <c r="I230" s="4">
        <v>72.67</v>
      </c>
      <c r="J230" s="4">
        <v>-20.64</v>
      </c>
      <c r="K230" s="4">
        <v>93.31</v>
      </c>
      <c r="L230" s="4">
        <v>430.56</v>
      </c>
      <c r="M230" s="4">
        <v>57265</v>
      </c>
      <c r="N230" s="4">
        <v>0</v>
      </c>
      <c r="O230" s="4">
        <v>0</v>
      </c>
      <c r="P230" s="4" t="s">
        <v>34</v>
      </c>
      <c r="Q230" s="4" t="s">
        <v>30</v>
      </c>
      <c r="R230" s="4" t="s">
        <v>109</v>
      </c>
      <c r="S230" s="4">
        <v>0</v>
      </c>
      <c r="T230" s="4">
        <v>0</v>
      </c>
      <c r="U230" s="4">
        <v>0</v>
      </c>
      <c r="V230" s="4" t="s">
        <v>32</v>
      </c>
      <c r="W230" s="4" t="s">
        <v>32</v>
      </c>
      <c r="X230" s="4" t="s">
        <v>32</v>
      </c>
      <c r="Y230" s="4" t="s">
        <v>32</v>
      </c>
      <c r="Z230" s="4" t="s">
        <v>32</v>
      </c>
      <c r="AA230" s="4" t="s">
        <v>32</v>
      </c>
    </row>
    <row r="231" s="4" customFormat="1" spans="1:27">
      <c r="A231" s="4" t="s">
        <v>105</v>
      </c>
      <c r="B231" s="4" t="s">
        <v>28</v>
      </c>
      <c r="C231" s="4">
        <v>5187625</v>
      </c>
      <c r="D231" s="19">
        <v>254797871683</v>
      </c>
      <c r="E231" s="21">
        <v>44424.4534143518</v>
      </c>
      <c r="F231" s="4">
        <v>430.2</v>
      </c>
      <c r="G231" s="4">
        <v>0.4</v>
      </c>
      <c r="H231" s="4">
        <v>429.8</v>
      </c>
      <c r="I231" s="4">
        <v>31.46</v>
      </c>
      <c r="J231" s="4">
        <v>0.4</v>
      </c>
      <c r="K231" s="4">
        <v>31.06</v>
      </c>
      <c r="L231" s="4">
        <v>81.49</v>
      </c>
      <c r="M231" s="4">
        <v>10838</v>
      </c>
      <c r="N231" s="4">
        <v>37.31</v>
      </c>
      <c r="O231" s="4">
        <v>4962.8</v>
      </c>
      <c r="P231" s="4" t="s">
        <v>29</v>
      </c>
      <c r="Q231" s="4" t="s">
        <v>30</v>
      </c>
      <c r="R231" s="4" t="s">
        <v>109</v>
      </c>
      <c r="S231" s="4">
        <v>0</v>
      </c>
      <c r="T231" s="4">
        <v>250</v>
      </c>
      <c r="U231" s="4">
        <v>0</v>
      </c>
      <c r="V231" s="4" t="s">
        <v>32</v>
      </c>
      <c r="W231" s="4" t="s">
        <v>32</v>
      </c>
      <c r="X231" s="4" t="s">
        <v>32</v>
      </c>
      <c r="Y231" s="4" t="s">
        <v>32</v>
      </c>
      <c r="Z231" s="4" t="s">
        <v>32</v>
      </c>
      <c r="AA231" s="4" t="s">
        <v>32</v>
      </c>
    </row>
    <row r="232" s="4" customFormat="1" spans="1:27">
      <c r="A232" s="4" t="s">
        <v>106</v>
      </c>
      <c r="B232" s="4" t="s">
        <v>28</v>
      </c>
      <c r="C232" s="4">
        <v>16216364</v>
      </c>
      <c r="D232" s="19">
        <v>254111419377</v>
      </c>
      <c r="E232" s="21">
        <v>45759.7277546296</v>
      </c>
      <c r="F232" s="4">
        <v>201.06</v>
      </c>
      <c r="G232" s="4">
        <v>0.07</v>
      </c>
      <c r="H232" s="4">
        <v>201</v>
      </c>
      <c r="I232" s="4">
        <v>20.87</v>
      </c>
      <c r="J232" s="4">
        <v>0.07</v>
      </c>
      <c r="K232" s="4">
        <v>20.8</v>
      </c>
      <c r="L232" s="4">
        <v>62.33</v>
      </c>
      <c r="M232" s="4">
        <v>8290</v>
      </c>
      <c r="N232" s="4">
        <v>5.79</v>
      </c>
      <c r="O232" s="4">
        <v>769.5</v>
      </c>
      <c r="P232" s="4" t="s">
        <v>29</v>
      </c>
      <c r="Q232" s="4" t="s">
        <v>30</v>
      </c>
      <c r="R232" s="4" t="s">
        <v>109</v>
      </c>
      <c r="S232" s="4">
        <v>0</v>
      </c>
      <c r="T232" s="4">
        <v>40</v>
      </c>
      <c r="U232" s="4">
        <v>0</v>
      </c>
      <c r="V232" s="4" t="s">
        <v>32</v>
      </c>
      <c r="W232" s="4" t="s">
        <v>32</v>
      </c>
      <c r="X232" s="4" t="s">
        <v>32</v>
      </c>
      <c r="Y232" s="4" t="s">
        <v>32</v>
      </c>
      <c r="Z232" s="4" t="s">
        <v>32</v>
      </c>
      <c r="AA232" s="4" t="s">
        <v>32</v>
      </c>
    </row>
    <row r="233" s="4" customFormat="1" spans="1:27">
      <c r="A233" s="4" t="s">
        <v>106</v>
      </c>
      <c r="B233" s="4" t="s">
        <v>28</v>
      </c>
      <c r="C233" s="4">
        <v>13643505</v>
      </c>
      <c r="D233" s="19">
        <v>254113327323</v>
      </c>
      <c r="E233" s="21">
        <v>45544.6137731482</v>
      </c>
      <c r="F233" s="4">
        <v>536.07</v>
      </c>
      <c r="G233" s="4">
        <v>0.05</v>
      </c>
      <c r="H233" s="4">
        <v>536.02</v>
      </c>
      <c r="I233" s="4">
        <v>-6.72</v>
      </c>
      <c r="J233" s="4">
        <v>0.05</v>
      </c>
      <c r="K233" s="4">
        <v>-6.77</v>
      </c>
      <c r="L233" s="4">
        <v>98.26</v>
      </c>
      <c r="M233" s="4">
        <v>13068</v>
      </c>
      <c r="N233" s="4">
        <v>0.18</v>
      </c>
      <c r="O233" s="4">
        <v>23.75</v>
      </c>
      <c r="P233" s="4" t="s">
        <v>29</v>
      </c>
      <c r="Q233" s="4" t="s">
        <v>30</v>
      </c>
      <c r="R233" s="4" t="s">
        <v>109</v>
      </c>
      <c r="S233" s="4">
        <v>0</v>
      </c>
      <c r="T233" s="4">
        <v>0</v>
      </c>
      <c r="U233" s="4">
        <v>0</v>
      </c>
      <c r="V233" s="4" t="s">
        <v>32</v>
      </c>
      <c r="W233" s="4" t="s">
        <v>32</v>
      </c>
      <c r="X233" s="4" t="s">
        <v>32</v>
      </c>
      <c r="Y233" s="4" t="s">
        <v>32</v>
      </c>
      <c r="Z233" s="4" t="s">
        <v>32</v>
      </c>
      <c r="AA233" s="4" t="s">
        <v>32</v>
      </c>
    </row>
    <row r="234" s="4" customFormat="1" spans="1:27">
      <c r="A234" s="4" t="s">
        <v>106</v>
      </c>
      <c r="B234" s="4" t="s">
        <v>28</v>
      </c>
      <c r="C234" s="4">
        <v>9019994</v>
      </c>
      <c r="D234" s="19">
        <v>254114095907</v>
      </c>
      <c r="E234" s="21">
        <v>44877.3743981482</v>
      </c>
      <c r="F234" s="4">
        <v>788.01</v>
      </c>
      <c r="G234" s="4">
        <v>0</v>
      </c>
      <c r="H234" s="4">
        <v>788.01</v>
      </c>
      <c r="I234" s="4">
        <v>65.75</v>
      </c>
      <c r="J234" s="4">
        <v>0</v>
      </c>
      <c r="K234" s="4">
        <v>65.75</v>
      </c>
      <c r="L234" s="4">
        <v>379.7</v>
      </c>
      <c r="M234" s="4">
        <v>50500</v>
      </c>
      <c r="N234" s="4">
        <v>0</v>
      </c>
      <c r="O234" s="4">
        <v>0</v>
      </c>
      <c r="P234" s="4" t="s">
        <v>29</v>
      </c>
      <c r="Q234" s="4" t="s">
        <v>30</v>
      </c>
      <c r="R234" s="4" t="s">
        <v>109</v>
      </c>
      <c r="S234" s="4">
        <v>0</v>
      </c>
      <c r="T234" s="4">
        <v>0</v>
      </c>
      <c r="U234" s="4">
        <v>0</v>
      </c>
      <c r="V234" s="4" t="s">
        <v>32</v>
      </c>
      <c r="W234" s="4" t="s">
        <v>32</v>
      </c>
      <c r="X234" s="4" t="s">
        <v>32</v>
      </c>
      <c r="Y234" s="4" t="s">
        <v>32</v>
      </c>
      <c r="Z234" s="4" t="s">
        <v>32</v>
      </c>
      <c r="AA234" s="4" t="s">
        <v>32</v>
      </c>
    </row>
    <row r="235" s="4" customFormat="1" spans="1:27">
      <c r="A235" s="4" t="s">
        <v>106</v>
      </c>
      <c r="B235" s="4" t="s">
        <v>28</v>
      </c>
      <c r="C235" s="4">
        <v>21154874</v>
      </c>
      <c r="D235" s="19">
        <v>254114263301</v>
      </c>
      <c r="E235" s="21">
        <v>46058.38875</v>
      </c>
      <c r="F235" s="4">
        <v>1312.69</v>
      </c>
      <c r="G235" s="4">
        <v>0</v>
      </c>
      <c r="H235" s="4">
        <v>1312.69</v>
      </c>
      <c r="I235" s="4">
        <v>21.92</v>
      </c>
      <c r="J235" s="4">
        <v>0</v>
      </c>
      <c r="K235" s="4">
        <v>21.92</v>
      </c>
      <c r="L235" s="4">
        <v>327.11</v>
      </c>
      <c r="M235" s="4">
        <v>43505</v>
      </c>
      <c r="N235" s="4">
        <v>307.34</v>
      </c>
      <c r="O235" s="4">
        <v>40876.6</v>
      </c>
      <c r="P235" s="4" t="s">
        <v>34</v>
      </c>
      <c r="Q235" s="4" t="s">
        <v>30</v>
      </c>
      <c r="R235" s="4" t="s">
        <v>109</v>
      </c>
      <c r="S235" s="4">
        <v>0</v>
      </c>
      <c r="T235" s="4">
        <v>2040</v>
      </c>
      <c r="U235" s="4">
        <v>0</v>
      </c>
      <c r="V235" s="4" t="s">
        <v>32</v>
      </c>
      <c r="W235" s="4" t="s">
        <v>32</v>
      </c>
      <c r="X235" s="4" t="s">
        <v>32</v>
      </c>
      <c r="Y235" s="4" t="s">
        <v>32</v>
      </c>
      <c r="Z235" s="4" t="s">
        <v>32</v>
      </c>
      <c r="AA235" s="4" t="s">
        <v>32</v>
      </c>
    </row>
    <row r="236" s="4" customFormat="1" spans="1:27">
      <c r="A236" s="4" t="s">
        <v>106</v>
      </c>
      <c r="B236" s="4" t="s">
        <v>28</v>
      </c>
      <c r="C236" s="4">
        <v>20806344</v>
      </c>
      <c r="D236" s="19">
        <v>254116896777</v>
      </c>
      <c r="E236" s="21">
        <v>46039.4284722222</v>
      </c>
      <c r="F236" s="4">
        <v>8.52</v>
      </c>
      <c r="G236" s="4">
        <v>4.55</v>
      </c>
      <c r="H236" s="4">
        <v>3.97</v>
      </c>
      <c r="I236" s="4">
        <v>4.22</v>
      </c>
      <c r="J236" s="4">
        <v>3.44</v>
      </c>
      <c r="K236" s="4">
        <v>0.78</v>
      </c>
      <c r="L236" s="4">
        <v>80.44</v>
      </c>
      <c r="M236" s="4">
        <v>10699</v>
      </c>
      <c r="N236" s="4">
        <v>3.56</v>
      </c>
      <c r="O236" s="4">
        <v>474.05</v>
      </c>
      <c r="P236" s="4" t="s">
        <v>35</v>
      </c>
      <c r="Q236" s="4" t="s">
        <v>30</v>
      </c>
      <c r="R236" s="4" t="s">
        <v>109</v>
      </c>
      <c r="S236" s="4">
        <v>2000</v>
      </c>
      <c r="T236" s="4">
        <v>10</v>
      </c>
      <c r="U236" s="4">
        <v>0</v>
      </c>
      <c r="V236" s="4" t="s">
        <v>32</v>
      </c>
      <c r="W236" s="4" t="s">
        <v>32</v>
      </c>
      <c r="X236" s="4" t="s">
        <v>32</v>
      </c>
      <c r="Y236" s="4" t="s">
        <v>32</v>
      </c>
      <c r="Z236" s="4" t="s">
        <v>32</v>
      </c>
      <c r="AA236" s="4" t="s">
        <v>32</v>
      </c>
    </row>
    <row r="237" s="4" customFormat="1" spans="1:27">
      <c r="A237" s="4" t="s">
        <v>106</v>
      </c>
      <c r="B237" s="4" t="s">
        <v>28</v>
      </c>
      <c r="C237" s="4">
        <v>18589755</v>
      </c>
      <c r="D237" s="19">
        <v>254117520289</v>
      </c>
      <c r="E237" s="21">
        <v>45921.6683912037</v>
      </c>
      <c r="F237" s="4">
        <v>273.86</v>
      </c>
      <c r="G237" s="4">
        <v>0.02</v>
      </c>
      <c r="H237" s="4">
        <v>273.85</v>
      </c>
      <c r="I237" s="4">
        <v>0.29</v>
      </c>
      <c r="J237" s="4">
        <v>-0.42</v>
      </c>
      <c r="K237" s="4">
        <v>0.72</v>
      </c>
      <c r="L237" s="4">
        <v>55.34</v>
      </c>
      <c r="M237" s="4">
        <v>7360</v>
      </c>
      <c r="N237" s="4">
        <v>30.36</v>
      </c>
      <c r="O237" s="4">
        <v>4037.5</v>
      </c>
      <c r="P237" s="4" t="s">
        <v>34</v>
      </c>
      <c r="Q237" s="4" t="s">
        <v>30</v>
      </c>
      <c r="R237" s="4" t="s">
        <v>109</v>
      </c>
      <c r="S237" s="4">
        <v>0</v>
      </c>
      <c r="T237" s="4">
        <v>200</v>
      </c>
      <c r="U237" s="4">
        <v>0</v>
      </c>
      <c r="V237" s="4" t="s">
        <v>32</v>
      </c>
      <c r="W237" s="4" t="s">
        <v>32</v>
      </c>
      <c r="X237" s="4" t="s">
        <v>32</v>
      </c>
      <c r="Y237" s="4" t="s">
        <v>32</v>
      </c>
      <c r="Z237" s="4" t="s">
        <v>32</v>
      </c>
      <c r="AA237" s="4" t="s">
        <v>32</v>
      </c>
    </row>
    <row r="238" s="4" customFormat="1" spans="1:27">
      <c r="A238" s="4" t="s">
        <v>106</v>
      </c>
      <c r="B238" s="4" t="s">
        <v>28</v>
      </c>
      <c r="C238" s="4">
        <v>21244825</v>
      </c>
      <c r="D238" s="19">
        <v>254117684396</v>
      </c>
      <c r="E238" s="21">
        <v>46063.4165046296</v>
      </c>
      <c r="F238" s="4">
        <v>1025.32</v>
      </c>
      <c r="G238" s="4">
        <v>5.1</v>
      </c>
      <c r="H238" s="4">
        <v>1020.22</v>
      </c>
      <c r="I238" s="4">
        <v>57.45</v>
      </c>
      <c r="J238" s="4">
        <v>3.74</v>
      </c>
      <c r="K238" s="4">
        <v>53.71</v>
      </c>
      <c r="L238" s="4">
        <v>235.53</v>
      </c>
      <c r="M238" s="4">
        <v>31325</v>
      </c>
      <c r="N238" s="4">
        <v>3.04</v>
      </c>
      <c r="O238" s="4">
        <v>403.75</v>
      </c>
      <c r="P238" s="4" t="s">
        <v>29</v>
      </c>
      <c r="Q238" s="4" t="s">
        <v>30</v>
      </c>
      <c r="R238" s="4" t="s">
        <v>109</v>
      </c>
      <c r="S238" s="4">
        <v>0</v>
      </c>
      <c r="T238" s="4">
        <v>20</v>
      </c>
      <c r="U238" s="4">
        <v>0</v>
      </c>
      <c r="V238" s="4" t="s">
        <v>32</v>
      </c>
      <c r="W238" s="4" t="s">
        <v>32</v>
      </c>
      <c r="X238" s="4" t="s">
        <v>32</v>
      </c>
      <c r="Y238" s="4" t="s">
        <v>32</v>
      </c>
      <c r="Z238" s="4" t="s">
        <v>32</v>
      </c>
      <c r="AA238" s="4" t="s">
        <v>32</v>
      </c>
    </row>
    <row r="239" s="4" customFormat="1" spans="1:27">
      <c r="A239" s="4" t="s">
        <v>106</v>
      </c>
      <c r="B239" s="4" t="s">
        <v>28</v>
      </c>
      <c r="C239" s="4">
        <v>21338893</v>
      </c>
      <c r="D239" s="19">
        <v>254118763150</v>
      </c>
      <c r="E239" s="21">
        <v>46068.1672337963</v>
      </c>
      <c r="F239" s="4">
        <v>1243.32</v>
      </c>
      <c r="G239" s="4">
        <v>0.13</v>
      </c>
      <c r="H239" s="4">
        <v>1243.2</v>
      </c>
      <c r="I239" s="4">
        <v>24.77</v>
      </c>
      <c r="J239" s="4">
        <v>0.13</v>
      </c>
      <c r="K239" s="4">
        <v>24.64</v>
      </c>
      <c r="L239" s="4">
        <v>309.7</v>
      </c>
      <c r="M239" s="4">
        <v>41190</v>
      </c>
      <c r="N239" s="4">
        <v>160.61</v>
      </c>
      <c r="O239" s="4">
        <v>21360.75</v>
      </c>
      <c r="P239" s="4" t="s">
        <v>34</v>
      </c>
      <c r="Q239" s="4" t="s">
        <v>30</v>
      </c>
      <c r="R239" s="4" t="s">
        <v>109</v>
      </c>
      <c r="S239" s="4">
        <v>0</v>
      </c>
      <c r="T239" s="4">
        <v>1070</v>
      </c>
      <c r="U239" s="4">
        <v>0</v>
      </c>
      <c r="V239" s="4" t="s">
        <v>32</v>
      </c>
      <c r="W239" s="4" t="s">
        <v>32</v>
      </c>
      <c r="X239" s="4" t="s">
        <v>32</v>
      </c>
      <c r="Y239" s="4" t="s">
        <v>32</v>
      </c>
      <c r="Z239" s="4" t="s">
        <v>32</v>
      </c>
      <c r="AA239" s="4" t="s">
        <v>32</v>
      </c>
    </row>
    <row r="240" s="4" customFormat="1" spans="1:27">
      <c r="A240" s="4" t="s">
        <v>106</v>
      </c>
      <c r="B240" s="4" t="s">
        <v>28</v>
      </c>
      <c r="C240" s="4">
        <v>22537535</v>
      </c>
      <c r="D240" s="19">
        <v>254118981065</v>
      </c>
      <c r="E240" s="21">
        <v>46133.79875</v>
      </c>
      <c r="F240" s="4">
        <v>147.88</v>
      </c>
      <c r="G240" s="4">
        <v>0</v>
      </c>
      <c r="H240" s="4">
        <v>147.88</v>
      </c>
      <c r="I240" s="4">
        <v>44.82</v>
      </c>
      <c r="J240" s="4">
        <v>0</v>
      </c>
      <c r="K240" s="4">
        <v>44.82</v>
      </c>
      <c r="L240" s="4">
        <v>66.99</v>
      </c>
      <c r="M240" s="4">
        <v>8910</v>
      </c>
      <c r="N240" s="4">
        <v>63.64</v>
      </c>
      <c r="O240" s="4">
        <v>8464.5</v>
      </c>
      <c r="P240" s="4" t="s">
        <v>29</v>
      </c>
      <c r="Q240" s="4" t="s">
        <v>30</v>
      </c>
      <c r="R240" s="4" t="s">
        <v>109</v>
      </c>
      <c r="S240" s="4">
        <v>0</v>
      </c>
      <c r="T240" s="4">
        <v>420</v>
      </c>
      <c r="U240" s="4">
        <v>0</v>
      </c>
      <c r="V240" s="4" t="s">
        <v>32</v>
      </c>
      <c r="W240" s="4" t="s">
        <v>32</v>
      </c>
      <c r="X240" s="4" t="s">
        <v>32</v>
      </c>
      <c r="Y240" s="4" t="s">
        <v>32</v>
      </c>
      <c r="Z240" s="4" t="s">
        <v>32</v>
      </c>
      <c r="AA240" s="4" t="s">
        <v>32</v>
      </c>
    </row>
    <row r="241" s="4" customFormat="1" spans="1:27">
      <c r="A241" s="4" t="s">
        <v>106</v>
      </c>
      <c r="B241" s="4" t="s">
        <v>28</v>
      </c>
      <c r="C241" s="4">
        <v>22745693</v>
      </c>
      <c r="D241" s="19">
        <v>254140239603</v>
      </c>
      <c r="E241" s="21">
        <v>46148.4241782407</v>
      </c>
      <c r="F241" s="4">
        <v>1996.85</v>
      </c>
      <c r="G241" s="4">
        <v>0</v>
      </c>
      <c r="H241" s="4">
        <v>1996.85</v>
      </c>
      <c r="I241" s="4">
        <v>-23.18</v>
      </c>
      <c r="J241" s="4">
        <v>0</v>
      </c>
      <c r="K241" s="4">
        <v>-23.18</v>
      </c>
      <c r="L241" s="4">
        <v>254.33</v>
      </c>
      <c r="M241" s="4">
        <v>33826</v>
      </c>
      <c r="N241" s="4">
        <v>241.61</v>
      </c>
      <c r="O241" s="4">
        <v>32134.7</v>
      </c>
      <c r="P241" s="4" t="s">
        <v>29</v>
      </c>
      <c r="Q241" s="4" t="s">
        <v>30</v>
      </c>
      <c r="R241" s="4" t="s">
        <v>109</v>
      </c>
      <c r="S241" s="4">
        <v>0</v>
      </c>
      <c r="T241" s="4">
        <v>1610</v>
      </c>
      <c r="U241" s="4">
        <v>0</v>
      </c>
      <c r="V241" s="4" t="s">
        <v>32</v>
      </c>
      <c r="W241" s="4" t="s">
        <v>32</v>
      </c>
      <c r="X241" s="4" t="s">
        <v>32</v>
      </c>
      <c r="Y241" s="4" t="s">
        <v>32</v>
      </c>
      <c r="Z241" s="4" t="s">
        <v>32</v>
      </c>
      <c r="AA241" s="4" t="s">
        <v>32</v>
      </c>
    </row>
    <row r="242" s="4" customFormat="1" spans="1:27">
      <c r="A242" s="4" t="s">
        <v>106</v>
      </c>
      <c r="B242" s="4" t="s">
        <v>28</v>
      </c>
      <c r="C242" s="4">
        <v>22994004</v>
      </c>
      <c r="D242" s="19">
        <v>254140970743</v>
      </c>
      <c r="E242" s="21">
        <v>46165.5453935185</v>
      </c>
      <c r="F242" s="4">
        <v>0.08</v>
      </c>
      <c r="G242" s="4">
        <v>0</v>
      </c>
      <c r="H242" s="4">
        <v>0.08</v>
      </c>
      <c r="I242" s="4">
        <v>0.08</v>
      </c>
      <c r="J242" s="4">
        <v>0</v>
      </c>
      <c r="K242" s="4">
        <v>0.08</v>
      </c>
      <c r="L242" s="4">
        <v>225.56</v>
      </c>
      <c r="M242" s="4">
        <v>30000</v>
      </c>
      <c r="N242" s="4">
        <v>214.29</v>
      </c>
      <c r="O242" s="4">
        <v>28500</v>
      </c>
      <c r="P242" s="4" t="s">
        <v>29</v>
      </c>
      <c r="Q242" s="4" t="s">
        <v>30</v>
      </c>
      <c r="R242" s="4" t="s">
        <v>109</v>
      </c>
      <c r="S242" s="4">
        <v>0</v>
      </c>
      <c r="T242" s="4">
        <v>1420</v>
      </c>
      <c r="U242" s="4">
        <v>0</v>
      </c>
      <c r="V242" s="4" t="s">
        <v>32</v>
      </c>
      <c r="W242" s="4" t="s">
        <v>32</v>
      </c>
      <c r="X242" s="4" t="s">
        <v>32</v>
      </c>
      <c r="Y242" s="4" t="s">
        <v>32</v>
      </c>
      <c r="Z242" s="4" t="s">
        <v>32</v>
      </c>
      <c r="AA242" s="4" t="s">
        <v>32</v>
      </c>
    </row>
    <row r="243" s="4" customFormat="1" spans="1:27">
      <c r="A243" s="4" t="s">
        <v>106</v>
      </c>
      <c r="B243" s="4" t="s">
        <v>28</v>
      </c>
      <c r="C243" s="4">
        <v>852113</v>
      </c>
      <c r="D243" s="19">
        <v>254700203450</v>
      </c>
      <c r="E243" s="21">
        <v>43972.7309722222</v>
      </c>
      <c r="F243" s="4">
        <v>1601.62</v>
      </c>
      <c r="G243" s="4">
        <v>0</v>
      </c>
      <c r="H243" s="4">
        <v>1601.62</v>
      </c>
      <c r="I243" s="4">
        <v>155.22</v>
      </c>
      <c r="J243" s="4">
        <v>0</v>
      </c>
      <c r="K243" s="4">
        <v>155.22</v>
      </c>
      <c r="L243" s="4">
        <v>192.48</v>
      </c>
      <c r="M243" s="4">
        <v>25600</v>
      </c>
      <c r="N243" s="4">
        <v>182.86</v>
      </c>
      <c r="O243" s="4">
        <v>24320</v>
      </c>
      <c r="P243" s="4" t="s">
        <v>29</v>
      </c>
      <c r="Q243" s="4" t="s">
        <v>30</v>
      </c>
      <c r="R243" s="4" t="s">
        <v>109</v>
      </c>
      <c r="S243" s="4">
        <v>0</v>
      </c>
      <c r="T243" s="4">
        <v>1220</v>
      </c>
      <c r="U243" s="4">
        <v>0</v>
      </c>
      <c r="V243" s="4" t="s">
        <v>32</v>
      </c>
      <c r="W243" s="4" t="s">
        <v>32</v>
      </c>
      <c r="X243" s="4" t="s">
        <v>32</v>
      </c>
      <c r="Y243" s="4" t="s">
        <v>32</v>
      </c>
      <c r="Z243" s="4" t="s">
        <v>32</v>
      </c>
      <c r="AA243" s="4" t="s">
        <v>32</v>
      </c>
    </row>
    <row r="244" s="4" customFormat="1" spans="1:27">
      <c r="A244" s="4" t="s">
        <v>106</v>
      </c>
      <c r="B244" s="4" t="s">
        <v>28</v>
      </c>
      <c r="C244" s="4">
        <v>12305124</v>
      </c>
      <c r="D244" s="19">
        <v>254700675968</v>
      </c>
      <c r="E244" s="21">
        <v>45337.2799189815</v>
      </c>
      <c r="F244" s="4">
        <v>4100.65</v>
      </c>
      <c r="G244" s="4">
        <v>2.38</v>
      </c>
      <c r="H244" s="4">
        <v>4098.27</v>
      </c>
      <c r="I244" s="4">
        <v>138.73</v>
      </c>
      <c r="J244" s="4">
        <v>0.26</v>
      </c>
      <c r="K244" s="4">
        <v>138.47</v>
      </c>
      <c r="L244" s="4">
        <v>452.63</v>
      </c>
      <c r="M244" s="4">
        <v>60200</v>
      </c>
      <c r="N244" s="4">
        <v>202.36</v>
      </c>
      <c r="O244" s="4">
        <v>26913.5</v>
      </c>
      <c r="P244" s="4" t="s">
        <v>34</v>
      </c>
      <c r="Q244" s="4" t="s">
        <v>30</v>
      </c>
      <c r="R244" s="4" t="s">
        <v>109</v>
      </c>
      <c r="S244" s="4">
        <v>0</v>
      </c>
      <c r="T244" s="4">
        <v>1350</v>
      </c>
      <c r="U244" s="4">
        <v>0</v>
      </c>
      <c r="V244" s="4" t="s">
        <v>32</v>
      </c>
      <c r="W244" s="4" t="s">
        <v>32</v>
      </c>
      <c r="X244" s="4" t="s">
        <v>32</v>
      </c>
      <c r="Y244" s="4" t="s">
        <v>32</v>
      </c>
      <c r="Z244" s="4" t="s">
        <v>32</v>
      </c>
      <c r="AA244" s="4" t="s">
        <v>32</v>
      </c>
    </row>
    <row r="245" s="4" customFormat="1" spans="1:27">
      <c r="A245" s="4" t="s">
        <v>106</v>
      </c>
      <c r="B245" s="4" t="s">
        <v>28</v>
      </c>
      <c r="C245" s="4">
        <v>2370075</v>
      </c>
      <c r="D245" s="19">
        <v>254701123038</v>
      </c>
      <c r="E245" s="21">
        <v>44074.2671180556</v>
      </c>
      <c r="F245" s="4">
        <v>273</v>
      </c>
      <c r="G245" s="4">
        <v>0.01</v>
      </c>
      <c r="H245" s="4">
        <v>272.99</v>
      </c>
      <c r="I245" s="4">
        <v>12.99</v>
      </c>
      <c r="J245" s="4">
        <v>0.01</v>
      </c>
      <c r="K245" s="4">
        <v>12.99</v>
      </c>
      <c r="L245" s="4">
        <v>72.41</v>
      </c>
      <c r="M245" s="4">
        <v>9630</v>
      </c>
      <c r="N245" s="4">
        <v>61.64</v>
      </c>
      <c r="O245" s="4">
        <v>8198.5</v>
      </c>
      <c r="P245" s="4" t="s">
        <v>29</v>
      </c>
      <c r="Q245" s="4" t="s">
        <v>30</v>
      </c>
      <c r="R245" s="4" t="s">
        <v>109</v>
      </c>
      <c r="S245" s="4">
        <v>0</v>
      </c>
      <c r="T245" s="4">
        <v>410</v>
      </c>
      <c r="U245" s="4">
        <v>0</v>
      </c>
      <c r="V245" s="4" t="s">
        <v>32</v>
      </c>
      <c r="W245" s="4" t="s">
        <v>32</v>
      </c>
      <c r="X245" s="4" t="s">
        <v>32</v>
      </c>
      <c r="Y245" s="4" t="s">
        <v>32</v>
      </c>
      <c r="Z245" s="4" t="s">
        <v>32</v>
      </c>
      <c r="AA245" s="4" t="s">
        <v>32</v>
      </c>
    </row>
    <row r="246" s="4" customFormat="1" spans="1:27">
      <c r="A246" s="4" t="s">
        <v>106</v>
      </c>
      <c r="B246" s="4" t="s">
        <v>28</v>
      </c>
      <c r="C246" s="4">
        <v>20797044</v>
      </c>
      <c r="D246" s="19">
        <v>254702056464</v>
      </c>
      <c r="E246" s="21">
        <v>46038.8506944445</v>
      </c>
      <c r="F246" s="4">
        <v>595.85</v>
      </c>
      <c r="G246" s="4">
        <v>0</v>
      </c>
      <c r="H246" s="4">
        <v>595.85</v>
      </c>
      <c r="I246" s="4">
        <v>54.55</v>
      </c>
      <c r="J246" s="4">
        <v>0</v>
      </c>
      <c r="K246" s="4">
        <v>54.55</v>
      </c>
      <c r="L246" s="4">
        <v>113.98</v>
      </c>
      <c r="M246" s="4">
        <v>15160</v>
      </c>
      <c r="N246" s="4">
        <v>71.36</v>
      </c>
      <c r="O246" s="4">
        <v>9490.5</v>
      </c>
      <c r="P246" s="4" t="s">
        <v>29</v>
      </c>
      <c r="Q246" s="4" t="s">
        <v>30</v>
      </c>
      <c r="R246" s="4" t="s">
        <v>109</v>
      </c>
      <c r="S246" s="4">
        <v>0</v>
      </c>
      <c r="T246" s="4">
        <v>470</v>
      </c>
      <c r="U246" s="4">
        <v>0</v>
      </c>
      <c r="V246" s="4" t="s">
        <v>32</v>
      </c>
      <c r="W246" s="4" t="s">
        <v>32</v>
      </c>
      <c r="X246" s="4" t="s">
        <v>32</v>
      </c>
      <c r="Y246" s="4" t="s">
        <v>32</v>
      </c>
      <c r="Z246" s="4" t="s">
        <v>32</v>
      </c>
      <c r="AA246" s="4" t="s">
        <v>32</v>
      </c>
    </row>
    <row r="247" s="4" customFormat="1" spans="1:27">
      <c r="A247" s="4" t="s">
        <v>106</v>
      </c>
      <c r="B247" s="4" t="s">
        <v>28</v>
      </c>
      <c r="C247" s="4">
        <v>13298664</v>
      </c>
      <c r="D247" s="19">
        <v>254702122708</v>
      </c>
      <c r="E247" s="21">
        <v>45484.8270023148</v>
      </c>
      <c r="F247" s="4">
        <v>1084.86</v>
      </c>
      <c r="G247" s="4">
        <v>4.11</v>
      </c>
      <c r="H247" s="4">
        <v>1080.75</v>
      </c>
      <c r="I247" s="4">
        <v>64.78</v>
      </c>
      <c r="J247" s="4">
        <v>-0.45</v>
      </c>
      <c r="K247" s="4">
        <v>65.23</v>
      </c>
      <c r="L247" s="4">
        <v>64.86</v>
      </c>
      <c r="M247" s="4">
        <v>8626</v>
      </c>
      <c r="N247" s="4">
        <v>0.71</v>
      </c>
      <c r="O247" s="4">
        <v>95</v>
      </c>
      <c r="P247" s="4" t="s">
        <v>29</v>
      </c>
      <c r="Q247" s="4" t="s">
        <v>30</v>
      </c>
      <c r="R247" s="4" t="s">
        <v>109</v>
      </c>
      <c r="S247" s="4">
        <v>0</v>
      </c>
      <c r="T247" s="4">
        <v>0</v>
      </c>
      <c r="U247" s="4">
        <v>0</v>
      </c>
      <c r="V247" s="4" t="s">
        <v>32</v>
      </c>
      <c r="W247" s="4" t="s">
        <v>32</v>
      </c>
      <c r="X247" s="4" t="s">
        <v>32</v>
      </c>
      <c r="Y247" s="4" t="s">
        <v>32</v>
      </c>
      <c r="Z247" s="4" t="s">
        <v>32</v>
      </c>
      <c r="AA247" s="4" t="s">
        <v>32</v>
      </c>
    </row>
    <row r="248" s="4" customFormat="1" spans="1:27">
      <c r="A248" s="4" t="s">
        <v>106</v>
      </c>
      <c r="B248" s="4" t="s">
        <v>28</v>
      </c>
      <c r="C248" s="4">
        <v>10708724</v>
      </c>
      <c r="D248" s="19">
        <v>254703337149</v>
      </c>
      <c r="E248" s="21">
        <v>45186.6447337963</v>
      </c>
      <c r="F248" s="4">
        <v>462.24</v>
      </c>
      <c r="G248" s="4">
        <v>27.07</v>
      </c>
      <c r="H248" s="4">
        <v>435.17</v>
      </c>
      <c r="I248" s="4">
        <v>35.45</v>
      </c>
      <c r="J248" s="4">
        <v>24.42</v>
      </c>
      <c r="K248" s="4">
        <v>11.03</v>
      </c>
      <c r="L248" s="4">
        <v>67.87</v>
      </c>
      <c r="M248" s="4">
        <v>9027</v>
      </c>
      <c r="N248" s="4">
        <v>7.91</v>
      </c>
      <c r="O248" s="4">
        <v>1051.65</v>
      </c>
      <c r="P248" s="4" t="s">
        <v>29</v>
      </c>
      <c r="Q248" s="4" t="s">
        <v>30</v>
      </c>
      <c r="R248" s="4" t="s">
        <v>109</v>
      </c>
      <c r="S248" s="4">
        <v>0</v>
      </c>
      <c r="T248" s="4">
        <v>50</v>
      </c>
      <c r="U248" s="4">
        <v>0</v>
      </c>
      <c r="V248" s="4" t="s">
        <v>32</v>
      </c>
      <c r="W248" s="4" t="s">
        <v>32</v>
      </c>
      <c r="X248" s="4" t="s">
        <v>32</v>
      </c>
      <c r="Y248" s="4" t="s">
        <v>32</v>
      </c>
      <c r="Z248" s="4" t="s">
        <v>32</v>
      </c>
      <c r="AA248" s="4" t="s">
        <v>32</v>
      </c>
    </row>
    <row r="249" s="4" customFormat="1" spans="1:27">
      <c r="A249" s="4" t="s">
        <v>106</v>
      </c>
      <c r="B249" s="4" t="s">
        <v>28</v>
      </c>
      <c r="C249" s="4">
        <v>22205465</v>
      </c>
      <c r="D249" s="19">
        <v>254705784139</v>
      </c>
      <c r="E249" s="21">
        <v>46114.3346296296</v>
      </c>
      <c r="F249" s="4">
        <v>661.38</v>
      </c>
      <c r="G249" s="4">
        <v>0</v>
      </c>
      <c r="H249" s="4">
        <v>661.38</v>
      </c>
      <c r="I249" s="4">
        <v>26.22</v>
      </c>
      <c r="J249" s="4">
        <v>-0.3</v>
      </c>
      <c r="K249" s="4">
        <v>26.52</v>
      </c>
      <c r="L249" s="4">
        <v>119.88</v>
      </c>
      <c r="M249" s="4">
        <v>15944</v>
      </c>
      <c r="N249" s="4">
        <v>113.89</v>
      </c>
      <c r="O249" s="4">
        <v>15146.8</v>
      </c>
      <c r="P249" s="4" t="s">
        <v>29</v>
      </c>
      <c r="Q249" s="4" t="s">
        <v>30</v>
      </c>
      <c r="R249" s="4" t="s">
        <v>109</v>
      </c>
      <c r="S249" s="4">
        <v>0</v>
      </c>
      <c r="T249" s="4">
        <v>760</v>
      </c>
      <c r="U249" s="4">
        <v>0</v>
      </c>
      <c r="V249" s="4" t="s">
        <v>32</v>
      </c>
      <c r="W249" s="4" t="s">
        <v>32</v>
      </c>
      <c r="X249" s="4" t="s">
        <v>32</v>
      </c>
      <c r="Y249" s="4" t="s">
        <v>32</v>
      </c>
      <c r="Z249" s="4" t="s">
        <v>32</v>
      </c>
      <c r="AA249" s="4" t="s">
        <v>32</v>
      </c>
    </row>
    <row r="250" s="4" customFormat="1" spans="1:27">
      <c r="A250" s="4" t="s">
        <v>106</v>
      </c>
      <c r="B250" s="4" t="s">
        <v>28</v>
      </c>
      <c r="C250" s="4">
        <v>22406714</v>
      </c>
      <c r="D250" s="19">
        <v>254706403045</v>
      </c>
      <c r="E250" s="21">
        <v>46125.4383796296</v>
      </c>
      <c r="F250" s="4">
        <v>815.01</v>
      </c>
      <c r="G250" s="4">
        <v>0.02</v>
      </c>
      <c r="H250" s="4">
        <v>815</v>
      </c>
      <c r="I250" s="4">
        <v>-0.39</v>
      </c>
      <c r="J250" s="4">
        <v>0</v>
      </c>
      <c r="K250" s="4">
        <v>-0.38</v>
      </c>
      <c r="L250" s="4">
        <v>121.21</v>
      </c>
      <c r="M250" s="4">
        <v>16121</v>
      </c>
      <c r="N250" s="4">
        <v>115.15</v>
      </c>
      <c r="O250" s="4">
        <v>15314.95</v>
      </c>
      <c r="P250" s="4" t="s">
        <v>34</v>
      </c>
      <c r="Q250" s="4" t="s">
        <v>30</v>
      </c>
      <c r="R250" s="4" t="s">
        <v>109</v>
      </c>
      <c r="S250" s="4">
        <v>0</v>
      </c>
      <c r="T250" s="4">
        <v>770</v>
      </c>
      <c r="U250" s="4">
        <v>0</v>
      </c>
      <c r="V250" s="4" t="s">
        <v>32</v>
      </c>
      <c r="W250" s="4" t="s">
        <v>32</v>
      </c>
      <c r="X250" s="4" t="s">
        <v>32</v>
      </c>
      <c r="Y250" s="4" t="s">
        <v>32</v>
      </c>
      <c r="Z250" s="4" t="s">
        <v>32</v>
      </c>
      <c r="AA250" s="4" t="s">
        <v>32</v>
      </c>
    </row>
    <row r="251" s="4" customFormat="1" spans="1:27">
      <c r="A251" s="4" t="s">
        <v>106</v>
      </c>
      <c r="B251" s="4" t="s">
        <v>28</v>
      </c>
      <c r="C251" s="4">
        <v>17279043</v>
      </c>
      <c r="D251" s="19">
        <v>254706611810</v>
      </c>
      <c r="E251" s="21">
        <v>45843.4740046296</v>
      </c>
      <c r="F251" s="4">
        <v>716.63</v>
      </c>
      <c r="G251" s="4">
        <v>0.9</v>
      </c>
      <c r="H251" s="4">
        <v>715.73</v>
      </c>
      <c r="I251" s="4">
        <v>27.64</v>
      </c>
      <c r="J251" s="4">
        <v>0.87</v>
      </c>
      <c r="K251" s="4">
        <v>26.77</v>
      </c>
      <c r="L251" s="4">
        <v>128.7</v>
      </c>
      <c r="M251" s="4">
        <v>17117</v>
      </c>
      <c r="N251" s="4">
        <v>81.21</v>
      </c>
      <c r="O251" s="4">
        <v>10800.55</v>
      </c>
      <c r="P251" s="4" t="s">
        <v>29</v>
      </c>
      <c r="Q251" s="4" t="s">
        <v>30</v>
      </c>
      <c r="R251" s="4" t="s">
        <v>109</v>
      </c>
      <c r="S251" s="4">
        <v>0</v>
      </c>
      <c r="T251" s="4">
        <v>540</v>
      </c>
      <c r="U251" s="4">
        <v>0</v>
      </c>
      <c r="V251" s="4" t="s">
        <v>32</v>
      </c>
      <c r="W251" s="4" t="s">
        <v>32</v>
      </c>
      <c r="X251" s="4" t="s">
        <v>32</v>
      </c>
      <c r="Y251" s="4" t="s">
        <v>32</v>
      </c>
      <c r="Z251" s="4" t="s">
        <v>32</v>
      </c>
      <c r="AA251" s="4" t="s">
        <v>32</v>
      </c>
    </row>
    <row r="252" s="4" customFormat="1" spans="1:27">
      <c r="A252" s="4" t="s">
        <v>106</v>
      </c>
      <c r="B252" s="4" t="s">
        <v>28</v>
      </c>
      <c r="C252" s="4">
        <v>8688225</v>
      </c>
      <c r="D252" s="19">
        <v>254708559044</v>
      </c>
      <c r="E252" s="21">
        <v>44815.2812615741</v>
      </c>
      <c r="F252" s="4">
        <v>720.03</v>
      </c>
      <c r="G252" s="4">
        <v>0</v>
      </c>
      <c r="H252" s="4">
        <v>720.03</v>
      </c>
      <c r="I252" s="4">
        <v>53</v>
      </c>
      <c r="J252" s="4">
        <v>0</v>
      </c>
      <c r="K252" s="4">
        <v>53</v>
      </c>
      <c r="L252" s="4">
        <v>82.48</v>
      </c>
      <c r="M252" s="4">
        <v>10970</v>
      </c>
      <c r="N252" s="4">
        <v>28.36</v>
      </c>
      <c r="O252" s="4">
        <v>3771.5</v>
      </c>
      <c r="P252" s="4" t="s">
        <v>34</v>
      </c>
      <c r="Q252" s="4" t="s">
        <v>30</v>
      </c>
      <c r="R252" s="4" t="s">
        <v>109</v>
      </c>
      <c r="S252" s="4">
        <v>0</v>
      </c>
      <c r="T252" s="4">
        <v>190</v>
      </c>
      <c r="U252" s="4">
        <v>0</v>
      </c>
      <c r="V252" s="4" t="s">
        <v>32</v>
      </c>
      <c r="W252" s="4" t="s">
        <v>32</v>
      </c>
      <c r="X252" s="4" t="s">
        <v>32</v>
      </c>
      <c r="Y252" s="4" t="s">
        <v>32</v>
      </c>
      <c r="Z252" s="4" t="s">
        <v>32</v>
      </c>
      <c r="AA252" s="4" t="s">
        <v>32</v>
      </c>
    </row>
    <row r="253" s="4" customFormat="1" spans="1:27">
      <c r="A253" s="4" t="s">
        <v>106</v>
      </c>
      <c r="B253" s="4" t="s">
        <v>28</v>
      </c>
      <c r="C253" s="4">
        <v>3152265</v>
      </c>
      <c r="D253" s="19">
        <v>254710929148</v>
      </c>
      <c r="E253" s="21">
        <v>44143.4781134259</v>
      </c>
      <c r="F253" s="4">
        <v>911.72</v>
      </c>
      <c r="G253" s="4">
        <v>0</v>
      </c>
      <c r="H253" s="4">
        <v>911.72</v>
      </c>
      <c r="I253" s="4">
        <v>7.4</v>
      </c>
      <c r="J253" s="4">
        <v>0</v>
      </c>
      <c r="K253" s="4">
        <v>7.4</v>
      </c>
      <c r="L253" s="4">
        <v>94.33</v>
      </c>
      <c r="M253" s="4">
        <v>12546</v>
      </c>
      <c r="N253" s="4">
        <v>38.91</v>
      </c>
      <c r="O253" s="4">
        <v>5174.65</v>
      </c>
      <c r="P253" s="4" t="s">
        <v>29</v>
      </c>
      <c r="Q253" s="4" t="s">
        <v>30</v>
      </c>
      <c r="R253" s="4" t="s">
        <v>109</v>
      </c>
      <c r="S253" s="4">
        <v>0</v>
      </c>
      <c r="T253" s="4">
        <v>260</v>
      </c>
      <c r="U253" s="4">
        <v>0</v>
      </c>
      <c r="V253" s="4" t="s">
        <v>32</v>
      </c>
      <c r="W253" s="4" t="s">
        <v>32</v>
      </c>
      <c r="X253" s="4" t="s">
        <v>32</v>
      </c>
      <c r="Y253" s="4" t="s">
        <v>32</v>
      </c>
      <c r="Z253" s="4" t="s">
        <v>32</v>
      </c>
      <c r="AA253" s="4" t="s">
        <v>32</v>
      </c>
    </row>
    <row r="254" s="4" customFormat="1" spans="1:27">
      <c r="A254" s="4" t="s">
        <v>106</v>
      </c>
      <c r="B254" s="4" t="s">
        <v>28</v>
      </c>
      <c r="C254" s="4">
        <v>7056904</v>
      </c>
      <c r="D254" s="19">
        <v>254710969892</v>
      </c>
      <c r="E254" s="21">
        <v>44631.4692361111</v>
      </c>
      <c r="F254" s="4">
        <v>4119.23</v>
      </c>
      <c r="G254" s="4">
        <v>49.23</v>
      </c>
      <c r="H254" s="4">
        <v>4069.99</v>
      </c>
      <c r="I254" s="4">
        <v>308.4</v>
      </c>
      <c r="J254" s="4">
        <v>2.64</v>
      </c>
      <c r="K254" s="4">
        <v>305.76</v>
      </c>
      <c r="L254" s="4">
        <v>852.2</v>
      </c>
      <c r="M254" s="4">
        <v>113342</v>
      </c>
      <c r="N254" s="4">
        <v>0.5</v>
      </c>
      <c r="O254" s="4">
        <v>66.5</v>
      </c>
      <c r="P254" s="4" t="s">
        <v>34</v>
      </c>
      <c r="Q254" s="4" t="s">
        <v>30</v>
      </c>
      <c r="R254" s="4" t="s">
        <v>109</v>
      </c>
      <c r="S254" s="4">
        <v>0</v>
      </c>
      <c r="T254" s="4">
        <v>0</v>
      </c>
      <c r="U254" s="4">
        <v>0</v>
      </c>
      <c r="V254" s="4" t="s">
        <v>32</v>
      </c>
      <c r="W254" s="4" t="s">
        <v>32</v>
      </c>
      <c r="X254" s="4" t="s">
        <v>32</v>
      </c>
      <c r="Y254" s="4" t="s">
        <v>32</v>
      </c>
      <c r="Z254" s="4" t="s">
        <v>32</v>
      </c>
      <c r="AA254" s="4" t="s">
        <v>32</v>
      </c>
    </row>
    <row r="255" s="4" customFormat="1" spans="1:27">
      <c r="A255" s="4" t="s">
        <v>106</v>
      </c>
      <c r="B255" s="4" t="s">
        <v>28</v>
      </c>
      <c r="C255" s="4">
        <v>14133684</v>
      </c>
      <c r="D255" s="19">
        <v>254711211251</v>
      </c>
      <c r="E255" s="21">
        <v>45579.600462963</v>
      </c>
      <c r="F255" s="4">
        <v>362.48</v>
      </c>
      <c r="G255" s="4">
        <v>0</v>
      </c>
      <c r="H255" s="4">
        <v>362.48</v>
      </c>
      <c r="I255" s="4">
        <v>35.06</v>
      </c>
      <c r="J255" s="4">
        <v>0</v>
      </c>
      <c r="K255" s="4">
        <v>35.06</v>
      </c>
      <c r="L255" s="4">
        <v>84.74</v>
      </c>
      <c r="M255" s="4">
        <v>11270</v>
      </c>
      <c r="N255" s="4">
        <v>1.29</v>
      </c>
      <c r="O255" s="4">
        <v>171</v>
      </c>
      <c r="P255" s="4" t="s">
        <v>29</v>
      </c>
      <c r="Q255" s="4" t="s">
        <v>30</v>
      </c>
      <c r="R255" s="4" t="s">
        <v>109</v>
      </c>
      <c r="S255" s="4">
        <v>0</v>
      </c>
      <c r="T255" s="4">
        <v>10</v>
      </c>
      <c r="U255" s="4">
        <v>0</v>
      </c>
      <c r="V255" s="4" t="s">
        <v>32</v>
      </c>
      <c r="W255" s="4" t="s">
        <v>32</v>
      </c>
      <c r="X255" s="4" t="s">
        <v>32</v>
      </c>
      <c r="Y255" s="4" t="s">
        <v>32</v>
      </c>
      <c r="Z255" s="4" t="s">
        <v>32</v>
      </c>
      <c r="AA255" s="4" t="s">
        <v>32</v>
      </c>
    </row>
    <row r="256" s="4" customFormat="1" spans="1:27">
      <c r="A256" s="4" t="s">
        <v>106</v>
      </c>
      <c r="B256" s="4" t="s">
        <v>28</v>
      </c>
      <c r="C256" s="4">
        <v>16107233</v>
      </c>
      <c r="D256" s="19">
        <v>254711918356</v>
      </c>
      <c r="E256" s="21">
        <v>45750.6121643518</v>
      </c>
      <c r="F256" s="4">
        <v>145.44</v>
      </c>
      <c r="G256" s="4">
        <v>0.35</v>
      </c>
      <c r="H256" s="4">
        <v>145.09</v>
      </c>
      <c r="I256" s="4">
        <v>33.24</v>
      </c>
      <c r="J256" s="4">
        <v>0.3</v>
      </c>
      <c r="K256" s="4">
        <v>32.94</v>
      </c>
      <c r="L256" s="4">
        <v>67.93</v>
      </c>
      <c r="M256" s="4">
        <v>9035</v>
      </c>
      <c r="N256" s="4">
        <v>0</v>
      </c>
      <c r="O256" s="4">
        <v>0</v>
      </c>
      <c r="P256" s="4" t="s">
        <v>29</v>
      </c>
      <c r="Q256" s="4" t="s">
        <v>30</v>
      </c>
      <c r="R256" s="4" t="s">
        <v>109</v>
      </c>
      <c r="S256" s="4">
        <v>0</v>
      </c>
      <c r="T256" s="4">
        <v>0</v>
      </c>
      <c r="U256" s="4">
        <v>0</v>
      </c>
      <c r="V256" s="4" t="s">
        <v>32</v>
      </c>
      <c r="W256" s="4" t="s">
        <v>32</v>
      </c>
      <c r="X256" s="4" t="s">
        <v>32</v>
      </c>
      <c r="Y256" s="4" t="s">
        <v>32</v>
      </c>
      <c r="Z256" s="4" t="s">
        <v>32</v>
      </c>
      <c r="AA256" s="4" t="s">
        <v>32</v>
      </c>
    </row>
    <row r="257" s="4" customFormat="1" spans="1:27">
      <c r="A257" s="4" t="s">
        <v>106</v>
      </c>
      <c r="B257" s="4" t="s">
        <v>28</v>
      </c>
      <c r="C257" s="4">
        <v>105873</v>
      </c>
      <c r="D257" s="19">
        <v>254711927534</v>
      </c>
      <c r="E257" s="21">
        <v>43884.8240162037</v>
      </c>
      <c r="F257" s="4">
        <v>1834.71</v>
      </c>
      <c r="G257" s="4">
        <v>0.12</v>
      </c>
      <c r="H257" s="4">
        <v>1834.59</v>
      </c>
      <c r="I257" s="4">
        <v>55.57</v>
      </c>
      <c r="J257" s="4">
        <v>0.12</v>
      </c>
      <c r="K257" s="4">
        <v>55.45</v>
      </c>
      <c r="L257" s="4">
        <v>209.08</v>
      </c>
      <c r="M257" s="4">
        <v>27808</v>
      </c>
      <c r="N257" s="4">
        <v>34.26</v>
      </c>
      <c r="O257" s="4">
        <v>4556.2</v>
      </c>
      <c r="P257" s="4" t="s">
        <v>34</v>
      </c>
      <c r="Q257" s="4" t="s">
        <v>30</v>
      </c>
      <c r="R257" s="4" t="s">
        <v>109</v>
      </c>
      <c r="S257" s="4">
        <v>0</v>
      </c>
      <c r="T257" s="4">
        <v>230</v>
      </c>
      <c r="U257" s="4">
        <v>0</v>
      </c>
      <c r="V257" s="4" t="s">
        <v>32</v>
      </c>
      <c r="W257" s="4" t="s">
        <v>32</v>
      </c>
      <c r="X257" s="4" t="s">
        <v>32</v>
      </c>
      <c r="Y257" s="4" t="s">
        <v>32</v>
      </c>
      <c r="Z257" s="4" t="s">
        <v>32</v>
      </c>
      <c r="AA257" s="4" t="s">
        <v>32</v>
      </c>
    </row>
    <row r="258" s="4" customFormat="1" spans="1:27">
      <c r="A258" s="4" t="s">
        <v>106</v>
      </c>
      <c r="B258" s="4" t="s">
        <v>28</v>
      </c>
      <c r="C258" s="4">
        <v>3277094</v>
      </c>
      <c r="D258" s="19">
        <v>254712775912</v>
      </c>
      <c r="E258" s="21">
        <v>44162.7918287037</v>
      </c>
      <c r="F258" s="4">
        <v>361.88</v>
      </c>
      <c r="G258" s="4">
        <v>0</v>
      </c>
      <c r="H258" s="4">
        <v>361.88</v>
      </c>
      <c r="I258" s="4">
        <v>-2.95</v>
      </c>
      <c r="J258" s="4">
        <v>0</v>
      </c>
      <c r="K258" s="4">
        <v>-2.2</v>
      </c>
      <c r="L258" s="4">
        <v>69.5</v>
      </c>
      <c r="M258" s="4">
        <v>9244</v>
      </c>
      <c r="N258" s="4">
        <v>66.03</v>
      </c>
      <c r="O258" s="4">
        <v>8781.8</v>
      </c>
      <c r="P258" s="4" t="s">
        <v>29</v>
      </c>
      <c r="Q258" s="4" t="s">
        <v>30</v>
      </c>
      <c r="R258" s="4" t="s">
        <v>109</v>
      </c>
      <c r="S258" s="4">
        <v>0</v>
      </c>
      <c r="T258" s="4">
        <v>440</v>
      </c>
      <c r="U258" s="4">
        <v>0</v>
      </c>
      <c r="V258" s="4" t="s">
        <v>32</v>
      </c>
      <c r="W258" s="4" t="s">
        <v>32</v>
      </c>
      <c r="X258" s="4" t="s">
        <v>32</v>
      </c>
      <c r="Y258" s="4" t="s">
        <v>32</v>
      </c>
      <c r="Z258" s="4" t="s">
        <v>32</v>
      </c>
      <c r="AA258" s="4" t="s">
        <v>32</v>
      </c>
    </row>
    <row r="259" s="4" customFormat="1" spans="1:27">
      <c r="A259" s="4" t="s">
        <v>106</v>
      </c>
      <c r="B259" s="4" t="s">
        <v>28</v>
      </c>
      <c r="C259" s="4">
        <v>16200585</v>
      </c>
      <c r="D259" s="19">
        <v>254715052285</v>
      </c>
      <c r="E259" s="21">
        <v>45758.7620949074</v>
      </c>
      <c r="F259" s="4">
        <v>889.68</v>
      </c>
      <c r="G259" s="4">
        <v>0</v>
      </c>
      <c r="H259" s="4">
        <v>889.68</v>
      </c>
      <c r="I259" s="4">
        <v>19.69</v>
      </c>
      <c r="J259" s="4">
        <v>0</v>
      </c>
      <c r="K259" s="4">
        <v>19.69</v>
      </c>
      <c r="L259" s="4">
        <v>125.33</v>
      </c>
      <c r="M259" s="4">
        <v>16669</v>
      </c>
      <c r="N259" s="4">
        <v>106.81</v>
      </c>
      <c r="O259" s="4">
        <v>14206.3</v>
      </c>
      <c r="P259" s="4" t="s">
        <v>29</v>
      </c>
      <c r="Q259" s="4" t="s">
        <v>30</v>
      </c>
      <c r="R259" s="4" t="s">
        <v>109</v>
      </c>
      <c r="S259" s="4">
        <v>0</v>
      </c>
      <c r="T259" s="4">
        <v>710</v>
      </c>
      <c r="U259" s="4">
        <v>0</v>
      </c>
      <c r="V259" s="4" t="s">
        <v>32</v>
      </c>
      <c r="W259" s="4" t="s">
        <v>32</v>
      </c>
      <c r="X259" s="4" t="s">
        <v>32</v>
      </c>
      <c r="Y259" s="4" t="s">
        <v>32</v>
      </c>
      <c r="Z259" s="4" t="s">
        <v>32</v>
      </c>
      <c r="AA259" s="4" t="s">
        <v>32</v>
      </c>
    </row>
    <row r="260" s="4" customFormat="1" spans="1:27">
      <c r="A260" s="4" t="s">
        <v>106</v>
      </c>
      <c r="B260" s="4" t="s">
        <v>28</v>
      </c>
      <c r="C260" s="4">
        <v>12457845</v>
      </c>
      <c r="D260" s="19">
        <v>254715234937</v>
      </c>
      <c r="E260" s="21">
        <v>45362.3418865741</v>
      </c>
      <c r="F260" s="4">
        <v>834.07</v>
      </c>
      <c r="G260" s="4">
        <v>7.95</v>
      </c>
      <c r="H260" s="4">
        <v>826.13</v>
      </c>
      <c r="I260" s="4">
        <v>51.73</v>
      </c>
      <c r="J260" s="4">
        <v>6.95</v>
      </c>
      <c r="K260" s="4">
        <v>44.78</v>
      </c>
      <c r="L260" s="4">
        <v>145.94</v>
      </c>
      <c r="M260" s="4">
        <v>19410</v>
      </c>
      <c r="N260" s="4">
        <v>3.21</v>
      </c>
      <c r="O260" s="4">
        <v>427.5</v>
      </c>
      <c r="P260" s="4" t="s">
        <v>34</v>
      </c>
      <c r="Q260" s="4" t="s">
        <v>30</v>
      </c>
      <c r="R260" s="4" t="s">
        <v>109</v>
      </c>
      <c r="S260" s="4">
        <v>0</v>
      </c>
      <c r="T260" s="4">
        <v>20</v>
      </c>
      <c r="U260" s="4">
        <v>0</v>
      </c>
      <c r="V260" s="4" t="s">
        <v>32</v>
      </c>
      <c r="W260" s="4" t="s">
        <v>32</v>
      </c>
      <c r="X260" s="4" t="s">
        <v>32</v>
      </c>
      <c r="Y260" s="4" t="s">
        <v>32</v>
      </c>
      <c r="Z260" s="4" t="s">
        <v>32</v>
      </c>
      <c r="AA260" s="4" t="s">
        <v>32</v>
      </c>
    </row>
    <row r="261" s="4" customFormat="1" spans="1:27">
      <c r="A261" s="4" t="s">
        <v>106</v>
      </c>
      <c r="B261" s="4" t="s">
        <v>28</v>
      </c>
      <c r="C261" s="4">
        <v>16082355</v>
      </c>
      <c r="D261" s="19">
        <v>254716247503</v>
      </c>
      <c r="E261" s="21">
        <v>45746.4950694444</v>
      </c>
      <c r="F261" s="4">
        <v>288.07</v>
      </c>
      <c r="G261" s="4">
        <v>0</v>
      </c>
      <c r="H261" s="4">
        <v>288.07</v>
      </c>
      <c r="I261" s="4">
        <v>30.2</v>
      </c>
      <c r="J261" s="4">
        <v>0</v>
      </c>
      <c r="K261" s="4">
        <v>30.2</v>
      </c>
      <c r="L261" s="4">
        <v>65.19</v>
      </c>
      <c r="M261" s="4">
        <v>8670</v>
      </c>
      <c r="N261" s="4">
        <v>0</v>
      </c>
      <c r="O261" s="4">
        <v>0</v>
      </c>
      <c r="P261" s="4" t="s">
        <v>34</v>
      </c>
      <c r="Q261" s="4" t="s">
        <v>30</v>
      </c>
      <c r="R261" s="4" t="s">
        <v>109</v>
      </c>
      <c r="S261" s="4">
        <v>0</v>
      </c>
      <c r="T261" s="4">
        <v>0</v>
      </c>
      <c r="U261" s="4">
        <v>0</v>
      </c>
      <c r="V261" s="4" t="s">
        <v>32</v>
      </c>
      <c r="W261" s="4" t="s">
        <v>32</v>
      </c>
      <c r="X261" s="4" t="s">
        <v>32</v>
      </c>
      <c r="Y261" s="4" t="s">
        <v>32</v>
      </c>
      <c r="Z261" s="4" t="s">
        <v>32</v>
      </c>
      <c r="AA261" s="4" t="s">
        <v>32</v>
      </c>
    </row>
    <row r="262" s="4" customFormat="1" spans="1:27">
      <c r="A262" s="4" t="s">
        <v>106</v>
      </c>
      <c r="B262" s="4" t="s">
        <v>28</v>
      </c>
      <c r="C262" s="4">
        <v>15939514</v>
      </c>
      <c r="D262" s="19">
        <v>254719273656</v>
      </c>
      <c r="E262" s="21">
        <v>45718.5175231481</v>
      </c>
      <c r="F262" s="4">
        <v>453.18</v>
      </c>
      <c r="G262" s="4">
        <v>2.01</v>
      </c>
      <c r="H262" s="4">
        <v>451.18</v>
      </c>
      <c r="I262" s="4">
        <v>-0.19</v>
      </c>
      <c r="J262" s="4">
        <v>2.01</v>
      </c>
      <c r="K262" s="4">
        <v>-2.2</v>
      </c>
      <c r="L262" s="4">
        <v>102.26</v>
      </c>
      <c r="M262" s="4">
        <v>13600</v>
      </c>
      <c r="N262" s="4">
        <v>81.79</v>
      </c>
      <c r="O262" s="4">
        <v>10877.5</v>
      </c>
      <c r="P262" s="4" t="s">
        <v>34</v>
      </c>
      <c r="Q262" s="4" t="s">
        <v>30</v>
      </c>
      <c r="R262" s="4" t="s">
        <v>109</v>
      </c>
      <c r="S262" s="4">
        <v>0</v>
      </c>
      <c r="T262" s="4">
        <v>540</v>
      </c>
      <c r="U262" s="4">
        <v>0</v>
      </c>
      <c r="V262" s="4" t="s">
        <v>32</v>
      </c>
      <c r="W262" s="4" t="s">
        <v>32</v>
      </c>
      <c r="X262" s="4" t="s">
        <v>32</v>
      </c>
      <c r="Y262" s="4" t="s">
        <v>32</v>
      </c>
      <c r="Z262" s="4" t="s">
        <v>32</v>
      </c>
      <c r="AA262" s="4" t="s">
        <v>32</v>
      </c>
    </row>
    <row r="263" s="4" customFormat="1" spans="1:27">
      <c r="A263" s="4" t="s">
        <v>106</v>
      </c>
      <c r="B263" s="4" t="s">
        <v>28</v>
      </c>
      <c r="C263" s="4">
        <v>21840783</v>
      </c>
      <c r="D263" s="19">
        <v>254720941880</v>
      </c>
      <c r="E263" s="21">
        <v>46092.8393287037</v>
      </c>
      <c r="F263" s="4">
        <v>2596.3</v>
      </c>
      <c r="G263" s="4">
        <v>15.29</v>
      </c>
      <c r="H263" s="4">
        <v>2581.01</v>
      </c>
      <c r="I263" s="4">
        <v>116.37</v>
      </c>
      <c r="J263" s="4">
        <v>15.29</v>
      </c>
      <c r="K263" s="4">
        <v>101.08</v>
      </c>
      <c r="L263" s="4">
        <v>466.44</v>
      </c>
      <c r="M263" s="4">
        <v>62036</v>
      </c>
      <c r="N263" s="4">
        <v>443.11</v>
      </c>
      <c r="O263" s="4">
        <v>58934.2</v>
      </c>
      <c r="P263" s="4" t="s">
        <v>34</v>
      </c>
      <c r="Q263" s="4" t="s">
        <v>30</v>
      </c>
      <c r="R263" s="4" t="s">
        <v>109</v>
      </c>
      <c r="S263" s="4">
        <v>0</v>
      </c>
      <c r="T263" s="4">
        <v>2950</v>
      </c>
      <c r="U263" s="4">
        <v>0</v>
      </c>
      <c r="V263" s="4" t="s">
        <v>32</v>
      </c>
      <c r="W263" s="4" t="s">
        <v>32</v>
      </c>
      <c r="X263" s="4" t="s">
        <v>32</v>
      </c>
      <c r="Y263" s="4" t="s">
        <v>32</v>
      </c>
      <c r="Z263" s="4" t="s">
        <v>32</v>
      </c>
      <c r="AA263" s="4" t="s">
        <v>32</v>
      </c>
    </row>
    <row r="264" s="4" customFormat="1" spans="1:27">
      <c r="A264" s="4" t="s">
        <v>106</v>
      </c>
      <c r="B264" s="4" t="s">
        <v>28</v>
      </c>
      <c r="C264" s="4">
        <v>2443613</v>
      </c>
      <c r="D264" s="19">
        <v>254722101251</v>
      </c>
      <c r="E264" s="21">
        <v>44082.3901157407</v>
      </c>
      <c r="F264" s="4">
        <v>96.68</v>
      </c>
      <c r="G264" s="4">
        <v>0</v>
      </c>
      <c r="H264" s="4">
        <v>96.68</v>
      </c>
      <c r="I264" s="4">
        <v>1.92</v>
      </c>
      <c r="J264" s="4">
        <v>0</v>
      </c>
      <c r="K264" s="4">
        <v>1.92</v>
      </c>
      <c r="L264" s="4">
        <v>53.43</v>
      </c>
      <c r="M264" s="4">
        <v>7106</v>
      </c>
      <c r="N264" s="4">
        <v>4.04</v>
      </c>
      <c r="O264" s="4">
        <v>537.7</v>
      </c>
      <c r="P264" s="4" t="s">
        <v>29</v>
      </c>
      <c r="Q264" s="4" t="s">
        <v>30</v>
      </c>
      <c r="R264" s="4" t="s">
        <v>109</v>
      </c>
      <c r="S264" s="4">
        <v>0</v>
      </c>
      <c r="T264" s="4">
        <v>30</v>
      </c>
      <c r="U264" s="4">
        <v>0</v>
      </c>
      <c r="V264" s="4" t="s">
        <v>32</v>
      </c>
      <c r="W264" s="4" t="s">
        <v>32</v>
      </c>
      <c r="X264" s="4" t="s">
        <v>32</v>
      </c>
      <c r="Y264" s="4" t="s">
        <v>32</v>
      </c>
      <c r="Z264" s="4" t="s">
        <v>32</v>
      </c>
      <c r="AA264" s="4" t="s">
        <v>32</v>
      </c>
    </row>
    <row r="265" s="4" customFormat="1" spans="1:27">
      <c r="A265" s="4" t="s">
        <v>106</v>
      </c>
      <c r="B265" s="4" t="s">
        <v>28</v>
      </c>
      <c r="C265" s="4">
        <v>13186955</v>
      </c>
      <c r="D265" s="19">
        <v>254722211214</v>
      </c>
      <c r="E265" s="21">
        <v>45462.3225925926</v>
      </c>
      <c r="F265" s="4">
        <v>2752.01</v>
      </c>
      <c r="G265" s="4">
        <v>0.03</v>
      </c>
      <c r="H265" s="4">
        <v>2751.6</v>
      </c>
      <c r="I265" s="4">
        <v>177.5</v>
      </c>
      <c r="J265" s="4">
        <v>0.02</v>
      </c>
      <c r="K265" s="4">
        <v>177.48</v>
      </c>
      <c r="L265" s="4">
        <v>682.94</v>
      </c>
      <c r="M265" s="4">
        <v>90831</v>
      </c>
      <c r="N265" s="4">
        <v>27.16</v>
      </c>
      <c r="O265" s="4">
        <v>3611.9</v>
      </c>
      <c r="P265" s="4" t="s">
        <v>34</v>
      </c>
      <c r="Q265" s="4" t="s">
        <v>30</v>
      </c>
      <c r="R265" s="4" t="s">
        <v>109</v>
      </c>
      <c r="S265" s="4">
        <v>0</v>
      </c>
      <c r="T265" s="4">
        <v>180</v>
      </c>
      <c r="U265" s="4">
        <v>0</v>
      </c>
      <c r="V265" s="4" t="s">
        <v>32</v>
      </c>
      <c r="W265" s="4" t="s">
        <v>32</v>
      </c>
      <c r="X265" s="4" t="s">
        <v>32</v>
      </c>
      <c r="Y265" s="4" t="s">
        <v>32</v>
      </c>
      <c r="Z265" s="4" t="s">
        <v>32</v>
      </c>
      <c r="AA265" s="4" t="s">
        <v>32</v>
      </c>
    </row>
    <row r="266" s="4" customFormat="1" spans="1:27">
      <c r="A266" s="4" t="s">
        <v>106</v>
      </c>
      <c r="B266" s="4" t="s">
        <v>28</v>
      </c>
      <c r="C266" s="4">
        <v>11217003</v>
      </c>
      <c r="D266" s="19">
        <v>254722239713</v>
      </c>
      <c r="E266" s="21">
        <v>45236.7130671296</v>
      </c>
      <c r="F266" s="4">
        <v>114.73</v>
      </c>
      <c r="G266" s="4">
        <v>2.75</v>
      </c>
      <c r="H266" s="4">
        <v>111.98</v>
      </c>
      <c r="I266" s="4">
        <v>54.71</v>
      </c>
      <c r="J266" s="4">
        <v>2.1</v>
      </c>
      <c r="K266" s="4">
        <v>52.62</v>
      </c>
      <c r="L266" s="4">
        <v>59.02</v>
      </c>
      <c r="M266" s="4">
        <v>7850</v>
      </c>
      <c r="N266" s="4">
        <v>52.5</v>
      </c>
      <c r="O266" s="4">
        <v>6982.5</v>
      </c>
      <c r="P266" s="4" t="s">
        <v>29</v>
      </c>
      <c r="Q266" s="4" t="s">
        <v>30</v>
      </c>
      <c r="R266" s="4" t="s">
        <v>109</v>
      </c>
      <c r="S266" s="4">
        <v>0</v>
      </c>
      <c r="T266" s="4">
        <v>350</v>
      </c>
      <c r="U266" s="4">
        <v>0</v>
      </c>
      <c r="V266" s="4" t="s">
        <v>32</v>
      </c>
      <c r="W266" s="4" t="s">
        <v>32</v>
      </c>
      <c r="X266" s="4" t="s">
        <v>32</v>
      </c>
      <c r="Y266" s="4" t="s">
        <v>32</v>
      </c>
      <c r="Z266" s="4" t="s">
        <v>32</v>
      </c>
      <c r="AA266" s="4" t="s">
        <v>32</v>
      </c>
    </row>
    <row r="267" s="4" customFormat="1" spans="1:27">
      <c r="A267" s="4" t="s">
        <v>106</v>
      </c>
      <c r="B267" s="4" t="s">
        <v>28</v>
      </c>
      <c r="C267" s="4">
        <v>2952264</v>
      </c>
      <c r="D267" s="19">
        <v>254722598963</v>
      </c>
      <c r="E267" s="21">
        <v>44127.3635300926</v>
      </c>
      <c r="F267" s="4">
        <v>280.97</v>
      </c>
      <c r="G267" s="4">
        <v>0</v>
      </c>
      <c r="H267" s="4">
        <v>280.97</v>
      </c>
      <c r="I267" s="4">
        <v>45.21</v>
      </c>
      <c r="J267" s="4">
        <v>0</v>
      </c>
      <c r="K267" s="4">
        <v>45.21</v>
      </c>
      <c r="L267" s="4">
        <v>95.66</v>
      </c>
      <c r="M267" s="4">
        <v>12723</v>
      </c>
      <c r="N267" s="4">
        <v>0</v>
      </c>
      <c r="O267" s="4">
        <v>0</v>
      </c>
      <c r="P267" s="4" t="s">
        <v>34</v>
      </c>
      <c r="Q267" s="4" t="s">
        <v>30</v>
      </c>
      <c r="R267" s="4" t="s">
        <v>109</v>
      </c>
      <c r="S267" s="4">
        <v>0</v>
      </c>
      <c r="T267" s="4">
        <v>0</v>
      </c>
      <c r="U267" s="4">
        <v>0</v>
      </c>
      <c r="V267" s="4" t="s">
        <v>32</v>
      </c>
      <c r="W267" s="4" t="s">
        <v>32</v>
      </c>
      <c r="X267" s="4" t="s">
        <v>32</v>
      </c>
      <c r="Y267" s="4" t="s">
        <v>32</v>
      </c>
      <c r="Z267" s="4" t="s">
        <v>32</v>
      </c>
      <c r="AA267" s="4" t="s">
        <v>32</v>
      </c>
    </row>
    <row r="268" s="4" customFormat="1" spans="1:27">
      <c r="A268" s="4" t="s">
        <v>106</v>
      </c>
      <c r="B268" s="4" t="s">
        <v>28</v>
      </c>
      <c r="C268" s="4">
        <v>18537115</v>
      </c>
      <c r="D268" s="19">
        <v>254722773172</v>
      </c>
      <c r="E268" s="21">
        <v>45918.6579861111</v>
      </c>
      <c r="F268" s="4">
        <v>992.96</v>
      </c>
      <c r="G268" s="4">
        <v>0</v>
      </c>
      <c r="H268" s="4">
        <v>992.96</v>
      </c>
      <c r="I268" s="4">
        <v>46.92</v>
      </c>
      <c r="J268" s="4">
        <v>0</v>
      </c>
      <c r="K268" s="4">
        <v>46.92</v>
      </c>
      <c r="L268" s="4">
        <v>131.95</v>
      </c>
      <c r="M268" s="4">
        <v>17549</v>
      </c>
      <c r="N268" s="4">
        <v>0</v>
      </c>
      <c r="O268" s="4">
        <v>0</v>
      </c>
      <c r="P268" s="4" t="s">
        <v>29</v>
      </c>
      <c r="Q268" s="4" t="s">
        <v>30</v>
      </c>
      <c r="R268" s="4" t="s">
        <v>109</v>
      </c>
      <c r="S268" s="4">
        <v>0</v>
      </c>
      <c r="T268" s="4">
        <v>0</v>
      </c>
      <c r="U268" s="4">
        <v>0</v>
      </c>
      <c r="V268" s="4" t="s">
        <v>32</v>
      </c>
      <c r="W268" s="4" t="s">
        <v>32</v>
      </c>
      <c r="X268" s="4" t="s">
        <v>32</v>
      </c>
      <c r="Y268" s="4" t="s">
        <v>32</v>
      </c>
      <c r="Z268" s="4" t="s">
        <v>32</v>
      </c>
      <c r="AA268" s="4" t="s">
        <v>32</v>
      </c>
    </row>
    <row r="269" s="4" customFormat="1" spans="1:27">
      <c r="A269" s="4" t="s">
        <v>106</v>
      </c>
      <c r="B269" s="4" t="s">
        <v>28</v>
      </c>
      <c r="C269" s="4">
        <v>568343</v>
      </c>
      <c r="D269" s="19">
        <v>254723533837</v>
      </c>
      <c r="E269" s="21">
        <v>43931.7078935185</v>
      </c>
      <c r="F269" s="4">
        <v>2173.34</v>
      </c>
      <c r="G269" s="4">
        <v>57.21</v>
      </c>
      <c r="H269" s="4">
        <v>2116.13</v>
      </c>
      <c r="I269" s="4">
        <v>123.32</v>
      </c>
      <c r="J269" s="4">
        <v>44.15</v>
      </c>
      <c r="K269" s="4">
        <v>79.17</v>
      </c>
      <c r="L269" s="4">
        <v>353.53</v>
      </c>
      <c r="M269" s="4">
        <v>47019</v>
      </c>
      <c r="N269" s="4">
        <v>134.28</v>
      </c>
      <c r="O269" s="4">
        <v>17859.05</v>
      </c>
      <c r="P269" s="4" t="s">
        <v>34</v>
      </c>
      <c r="Q269" s="4" t="s">
        <v>30</v>
      </c>
      <c r="R269" s="4" t="s">
        <v>109</v>
      </c>
      <c r="S269" s="4">
        <v>0</v>
      </c>
      <c r="T269" s="4">
        <v>890</v>
      </c>
      <c r="U269" s="4">
        <v>0</v>
      </c>
      <c r="V269" s="4" t="s">
        <v>32</v>
      </c>
      <c r="W269" s="4" t="s">
        <v>32</v>
      </c>
      <c r="X269" s="4" t="s">
        <v>32</v>
      </c>
      <c r="Y269" s="4" t="s">
        <v>32</v>
      </c>
      <c r="Z269" s="4" t="s">
        <v>32</v>
      </c>
      <c r="AA269" s="4" t="s">
        <v>32</v>
      </c>
    </row>
    <row r="270" s="4" customFormat="1" spans="1:27">
      <c r="A270" s="4" t="s">
        <v>106</v>
      </c>
      <c r="B270" s="4" t="s">
        <v>28</v>
      </c>
      <c r="C270" s="4">
        <v>21326994</v>
      </c>
      <c r="D270" s="19">
        <v>254724250552</v>
      </c>
      <c r="E270" s="21">
        <v>46067.4731481482</v>
      </c>
      <c r="F270" s="4">
        <v>196.29</v>
      </c>
      <c r="G270" s="4">
        <v>0</v>
      </c>
      <c r="H270" s="4">
        <v>196.29</v>
      </c>
      <c r="I270" s="4">
        <v>-17.74</v>
      </c>
      <c r="J270" s="4">
        <v>0</v>
      </c>
      <c r="K270" s="4">
        <v>-17.74</v>
      </c>
      <c r="L270" s="4">
        <v>52.56</v>
      </c>
      <c r="M270" s="4">
        <v>6990</v>
      </c>
      <c r="N270" s="4">
        <v>21.36</v>
      </c>
      <c r="O270" s="4">
        <v>2840.5</v>
      </c>
      <c r="P270" s="4" t="s">
        <v>34</v>
      </c>
      <c r="Q270" s="4" t="s">
        <v>30</v>
      </c>
      <c r="R270" s="4" t="s">
        <v>109</v>
      </c>
      <c r="S270" s="4">
        <v>0</v>
      </c>
      <c r="T270" s="4">
        <v>140</v>
      </c>
      <c r="U270" s="4">
        <v>0</v>
      </c>
      <c r="V270" s="4" t="s">
        <v>32</v>
      </c>
      <c r="W270" s="4" t="s">
        <v>32</v>
      </c>
      <c r="X270" s="4" t="s">
        <v>32</v>
      </c>
      <c r="Y270" s="4" t="s">
        <v>32</v>
      </c>
      <c r="Z270" s="4" t="s">
        <v>32</v>
      </c>
      <c r="AA270" s="4" t="s">
        <v>32</v>
      </c>
    </row>
    <row r="271" s="4" customFormat="1" spans="1:27">
      <c r="A271" s="4" t="s">
        <v>106</v>
      </c>
      <c r="B271" s="4" t="s">
        <v>28</v>
      </c>
      <c r="C271" s="4">
        <v>17723914</v>
      </c>
      <c r="D271" s="19">
        <v>254724845692</v>
      </c>
      <c r="E271" s="21">
        <v>45871.4945949074</v>
      </c>
      <c r="F271" s="4">
        <v>510.11</v>
      </c>
      <c r="G271" s="4">
        <v>264.32</v>
      </c>
      <c r="H271" s="4">
        <v>245.8</v>
      </c>
      <c r="I271" s="4">
        <v>204.23</v>
      </c>
      <c r="J271" s="4">
        <v>215.18</v>
      </c>
      <c r="K271" s="4">
        <v>-10.95</v>
      </c>
      <c r="L271" s="4">
        <v>285.64</v>
      </c>
      <c r="M271" s="4">
        <v>37990</v>
      </c>
      <c r="N271" s="4">
        <v>67.86</v>
      </c>
      <c r="O271" s="4">
        <v>9025</v>
      </c>
      <c r="P271" s="4" t="s">
        <v>35</v>
      </c>
      <c r="Q271" s="4" t="s">
        <v>30</v>
      </c>
      <c r="R271" s="4" t="s">
        <v>109</v>
      </c>
      <c r="S271" s="4">
        <v>2000</v>
      </c>
      <c r="T271" s="4">
        <v>230</v>
      </c>
      <c r="U271" s="4">
        <v>0</v>
      </c>
      <c r="V271" s="4" t="s">
        <v>32</v>
      </c>
      <c r="W271" s="4" t="s">
        <v>32</v>
      </c>
      <c r="X271" s="4" t="s">
        <v>32</v>
      </c>
      <c r="Y271" s="4" t="s">
        <v>32</v>
      </c>
      <c r="Z271" s="4" t="s">
        <v>32</v>
      </c>
      <c r="AA271" s="4" t="s">
        <v>32</v>
      </c>
    </row>
    <row r="272" s="4" customFormat="1" spans="1:27">
      <c r="A272" s="4" t="s">
        <v>106</v>
      </c>
      <c r="B272" s="4" t="s">
        <v>28</v>
      </c>
      <c r="C272" s="4">
        <v>3369245</v>
      </c>
      <c r="D272" s="19">
        <v>254724960622</v>
      </c>
      <c r="E272" s="21">
        <v>44193.4099421296</v>
      </c>
      <c r="F272" s="4">
        <v>268.9</v>
      </c>
      <c r="G272" s="4">
        <v>14.77</v>
      </c>
      <c r="H272" s="4">
        <v>254.14</v>
      </c>
      <c r="I272" s="4">
        <v>-21.75</v>
      </c>
      <c r="J272" s="4">
        <v>6.17</v>
      </c>
      <c r="K272" s="4">
        <v>-27.92</v>
      </c>
      <c r="L272" s="4">
        <v>102.74</v>
      </c>
      <c r="M272" s="4">
        <v>13664</v>
      </c>
      <c r="N272" s="4">
        <v>0.36</v>
      </c>
      <c r="O272" s="4">
        <v>47.5</v>
      </c>
      <c r="P272" s="4" t="s">
        <v>34</v>
      </c>
      <c r="Q272" s="4" t="s">
        <v>30</v>
      </c>
      <c r="R272" s="4" t="s">
        <v>109</v>
      </c>
      <c r="S272" s="4">
        <v>0</v>
      </c>
      <c r="T272" s="4">
        <v>0</v>
      </c>
      <c r="U272" s="4">
        <v>0</v>
      </c>
      <c r="V272" s="4" t="s">
        <v>32</v>
      </c>
      <c r="W272" s="4" t="s">
        <v>32</v>
      </c>
      <c r="X272" s="4" t="s">
        <v>32</v>
      </c>
      <c r="Y272" s="4" t="s">
        <v>32</v>
      </c>
      <c r="Z272" s="4" t="s">
        <v>32</v>
      </c>
      <c r="AA272" s="4" t="s">
        <v>32</v>
      </c>
    </row>
    <row r="273" s="4" customFormat="1" spans="1:27">
      <c r="A273" s="4" t="s">
        <v>106</v>
      </c>
      <c r="B273" s="4" t="s">
        <v>28</v>
      </c>
      <c r="C273" s="4">
        <v>17147624</v>
      </c>
      <c r="D273" s="19">
        <v>254725735446</v>
      </c>
      <c r="E273" s="21">
        <v>45833.7143171296</v>
      </c>
      <c r="F273" s="4">
        <v>10648.75</v>
      </c>
      <c r="G273" s="4">
        <v>0</v>
      </c>
      <c r="H273" s="4">
        <v>10648.75</v>
      </c>
      <c r="I273" s="4">
        <v>607.69</v>
      </c>
      <c r="J273" s="4">
        <v>0</v>
      </c>
      <c r="K273" s="4">
        <v>607.69</v>
      </c>
      <c r="L273" s="4">
        <v>2918.56</v>
      </c>
      <c r="M273" s="4">
        <v>388169</v>
      </c>
      <c r="N273" s="4">
        <v>163.19</v>
      </c>
      <c r="O273" s="4">
        <v>21704.65</v>
      </c>
      <c r="P273" s="4" t="s">
        <v>29</v>
      </c>
      <c r="Q273" s="4" t="s">
        <v>33</v>
      </c>
      <c r="R273" s="4" t="s">
        <v>109</v>
      </c>
      <c r="S273" s="4">
        <v>0</v>
      </c>
      <c r="T273" s="4">
        <v>1090</v>
      </c>
      <c r="U273" s="4">
        <v>0</v>
      </c>
      <c r="V273" s="4" t="s">
        <v>32</v>
      </c>
      <c r="W273" s="4" t="s">
        <v>32</v>
      </c>
      <c r="X273" s="4" t="s">
        <v>32</v>
      </c>
      <c r="Y273" s="4" t="s">
        <v>32</v>
      </c>
      <c r="Z273" s="4" t="s">
        <v>32</v>
      </c>
      <c r="AA273" s="4" t="s">
        <v>32</v>
      </c>
    </row>
    <row r="274" s="4" customFormat="1" spans="1:27">
      <c r="A274" s="4" t="s">
        <v>106</v>
      </c>
      <c r="B274" s="4" t="s">
        <v>28</v>
      </c>
      <c r="C274" s="4">
        <v>859514</v>
      </c>
      <c r="D274" s="19">
        <v>254726155331</v>
      </c>
      <c r="E274" s="21">
        <v>43974.3704398148</v>
      </c>
      <c r="F274" s="4">
        <v>1076.67</v>
      </c>
      <c r="G274" s="4">
        <v>37.11</v>
      </c>
      <c r="H274" s="4">
        <v>1039.56</v>
      </c>
      <c r="I274" s="4">
        <v>218.2</v>
      </c>
      <c r="J274" s="4">
        <v>35.76</v>
      </c>
      <c r="K274" s="4">
        <v>182.44</v>
      </c>
      <c r="L274" s="4">
        <v>288.08</v>
      </c>
      <c r="M274" s="4">
        <v>38315</v>
      </c>
      <c r="N274" s="4">
        <v>18.85</v>
      </c>
      <c r="O274" s="4">
        <v>2507.05</v>
      </c>
      <c r="P274" s="4" t="s">
        <v>34</v>
      </c>
      <c r="Q274" s="4" t="s">
        <v>30</v>
      </c>
      <c r="R274" s="4" t="s">
        <v>109</v>
      </c>
      <c r="S274" s="4">
        <v>0</v>
      </c>
      <c r="T274" s="4">
        <v>130</v>
      </c>
      <c r="U274" s="4">
        <v>0</v>
      </c>
      <c r="V274" s="4" t="s">
        <v>32</v>
      </c>
      <c r="W274" s="4" t="s">
        <v>32</v>
      </c>
      <c r="X274" s="4" t="s">
        <v>32</v>
      </c>
      <c r="Y274" s="4" t="s">
        <v>32</v>
      </c>
      <c r="Z274" s="4" t="s">
        <v>32</v>
      </c>
      <c r="AA274" s="4" t="s">
        <v>32</v>
      </c>
    </row>
    <row r="275" s="4" customFormat="1" spans="1:27">
      <c r="A275" s="4" t="s">
        <v>106</v>
      </c>
      <c r="B275" s="4" t="s">
        <v>28</v>
      </c>
      <c r="C275" s="4">
        <v>19185133</v>
      </c>
      <c r="D275" s="19">
        <v>254726825996</v>
      </c>
      <c r="E275" s="21">
        <v>45960.4725810185</v>
      </c>
      <c r="F275" s="4">
        <v>749.75</v>
      </c>
      <c r="G275" s="4">
        <v>2.59</v>
      </c>
      <c r="H275" s="4">
        <v>747.16</v>
      </c>
      <c r="I275" s="4">
        <v>44.15</v>
      </c>
      <c r="J275" s="4">
        <v>2.59</v>
      </c>
      <c r="K275" s="4">
        <v>41.56</v>
      </c>
      <c r="L275" s="4">
        <v>98.93</v>
      </c>
      <c r="M275" s="4">
        <v>13158</v>
      </c>
      <c r="N275" s="4">
        <v>1.71</v>
      </c>
      <c r="O275" s="4">
        <v>228</v>
      </c>
      <c r="P275" s="4" t="s">
        <v>29</v>
      </c>
      <c r="Q275" s="4" t="s">
        <v>30</v>
      </c>
      <c r="R275" s="4" t="s">
        <v>109</v>
      </c>
      <c r="S275" s="4">
        <v>0</v>
      </c>
      <c r="T275" s="4">
        <v>10</v>
      </c>
      <c r="U275" s="4">
        <v>0</v>
      </c>
      <c r="V275" s="4" t="s">
        <v>32</v>
      </c>
      <c r="W275" s="4" t="s">
        <v>32</v>
      </c>
      <c r="X275" s="4" t="s">
        <v>32</v>
      </c>
      <c r="Y275" s="4" t="s">
        <v>32</v>
      </c>
      <c r="Z275" s="4" t="s">
        <v>32</v>
      </c>
      <c r="AA275" s="4" t="s">
        <v>32</v>
      </c>
    </row>
    <row r="276" s="4" customFormat="1" spans="1:27">
      <c r="A276" s="4" t="s">
        <v>106</v>
      </c>
      <c r="B276" s="4" t="s">
        <v>28</v>
      </c>
      <c r="C276" s="4">
        <v>10381853</v>
      </c>
      <c r="D276" s="19">
        <v>254726918151</v>
      </c>
      <c r="E276" s="21">
        <v>45143.7409259259</v>
      </c>
      <c r="F276" s="4">
        <v>13655.91</v>
      </c>
      <c r="G276" s="4">
        <v>0.02</v>
      </c>
      <c r="H276" s="4">
        <v>13655.89</v>
      </c>
      <c r="I276" s="4">
        <v>472.57</v>
      </c>
      <c r="J276" s="4">
        <v>0.02</v>
      </c>
      <c r="K276" s="4">
        <v>472.56</v>
      </c>
      <c r="L276" s="4">
        <v>1704.77</v>
      </c>
      <c r="M276" s="4">
        <v>226735</v>
      </c>
      <c r="N276" s="4">
        <v>812.33</v>
      </c>
      <c r="O276" s="4">
        <v>108040</v>
      </c>
      <c r="P276" s="4" t="s">
        <v>34</v>
      </c>
      <c r="Q276" s="4" t="s">
        <v>33</v>
      </c>
      <c r="R276" s="4" t="s">
        <v>109</v>
      </c>
      <c r="S276" s="4">
        <v>0</v>
      </c>
      <c r="T276" s="4">
        <v>5400</v>
      </c>
      <c r="U276" s="4">
        <v>1</v>
      </c>
      <c r="V276" s="4">
        <v>1</v>
      </c>
      <c r="W276" s="4" t="s">
        <v>32</v>
      </c>
      <c r="X276" s="4" t="s">
        <v>32</v>
      </c>
      <c r="Y276" s="4" t="s">
        <v>32</v>
      </c>
      <c r="Z276" s="4" t="s">
        <v>32</v>
      </c>
      <c r="AA276" s="4" t="s">
        <v>32</v>
      </c>
    </row>
    <row r="277" s="4" customFormat="1" spans="1:27">
      <c r="A277" s="4" t="s">
        <v>106</v>
      </c>
      <c r="B277" s="4" t="s">
        <v>28</v>
      </c>
      <c r="C277" s="4">
        <v>22433234</v>
      </c>
      <c r="D277" s="19">
        <v>254728075938</v>
      </c>
      <c r="E277" s="21">
        <v>46127.1085416667</v>
      </c>
      <c r="F277" s="4">
        <v>168.38</v>
      </c>
      <c r="G277" s="4">
        <v>0</v>
      </c>
      <c r="H277" s="4">
        <v>168.38</v>
      </c>
      <c r="I277" s="4">
        <v>-51.68</v>
      </c>
      <c r="J277" s="4">
        <v>0</v>
      </c>
      <c r="K277" s="4">
        <v>-51.68</v>
      </c>
      <c r="L277" s="4">
        <v>68.38</v>
      </c>
      <c r="M277" s="4">
        <v>9095</v>
      </c>
      <c r="N277" s="4">
        <v>64.96</v>
      </c>
      <c r="O277" s="4">
        <v>8640.25</v>
      </c>
      <c r="P277" s="4" t="s">
        <v>34</v>
      </c>
      <c r="Q277" s="4" t="s">
        <v>30</v>
      </c>
      <c r="R277" s="4" t="s">
        <v>109</v>
      </c>
      <c r="S277" s="4">
        <v>0</v>
      </c>
      <c r="T277" s="4">
        <v>430</v>
      </c>
      <c r="U277" s="4">
        <v>0</v>
      </c>
      <c r="V277" s="4" t="s">
        <v>32</v>
      </c>
      <c r="W277" s="4" t="s">
        <v>32</v>
      </c>
      <c r="X277" s="4" t="s">
        <v>32</v>
      </c>
      <c r="Y277" s="4" t="s">
        <v>32</v>
      </c>
      <c r="Z277" s="4" t="s">
        <v>32</v>
      </c>
      <c r="AA277" s="4" t="s">
        <v>32</v>
      </c>
    </row>
    <row r="278" s="4" customFormat="1" spans="1:27">
      <c r="A278" s="4" t="s">
        <v>106</v>
      </c>
      <c r="B278" s="4" t="s">
        <v>28</v>
      </c>
      <c r="C278" s="4">
        <v>20261915</v>
      </c>
      <c r="D278" s="19">
        <v>254728667529</v>
      </c>
      <c r="E278" s="21">
        <v>46013.660462963</v>
      </c>
      <c r="F278" s="4">
        <v>694.74</v>
      </c>
      <c r="G278" s="4">
        <v>0</v>
      </c>
      <c r="H278" s="4">
        <v>694.74</v>
      </c>
      <c r="I278" s="4">
        <v>-7.67</v>
      </c>
      <c r="J278" s="4">
        <v>0</v>
      </c>
      <c r="K278" s="4">
        <v>-7.67</v>
      </c>
      <c r="L278" s="4">
        <v>150.98</v>
      </c>
      <c r="M278" s="4">
        <v>20080</v>
      </c>
      <c r="N278" s="4">
        <v>140.57</v>
      </c>
      <c r="O278" s="4">
        <v>18696</v>
      </c>
      <c r="P278" s="4" t="s">
        <v>34</v>
      </c>
      <c r="Q278" s="4" t="s">
        <v>30</v>
      </c>
      <c r="R278" s="4" t="s">
        <v>109</v>
      </c>
      <c r="S278" s="4">
        <v>0</v>
      </c>
      <c r="T278" s="4">
        <v>930</v>
      </c>
      <c r="U278" s="4">
        <v>0</v>
      </c>
      <c r="V278" s="4" t="s">
        <v>32</v>
      </c>
      <c r="W278" s="4" t="s">
        <v>32</v>
      </c>
      <c r="X278" s="4" t="s">
        <v>32</v>
      </c>
      <c r="Y278" s="4" t="s">
        <v>32</v>
      </c>
      <c r="Z278" s="4" t="s">
        <v>32</v>
      </c>
      <c r="AA278" s="4" t="s">
        <v>32</v>
      </c>
    </row>
    <row r="279" s="4" customFormat="1" spans="1:27">
      <c r="A279" s="4" t="s">
        <v>106</v>
      </c>
      <c r="B279" s="4" t="s">
        <v>28</v>
      </c>
      <c r="C279" s="4">
        <v>13424643</v>
      </c>
      <c r="D279" s="19">
        <v>254740288632</v>
      </c>
      <c r="E279" s="21">
        <v>45512.1951851852</v>
      </c>
      <c r="F279" s="4">
        <v>815.32</v>
      </c>
      <c r="G279" s="4">
        <v>0.14</v>
      </c>
      <c r="H279" s="4">
        <v>815.18</v>
      </c>
      <c r="I279" s="4">
        <v>24.54</v>
      </c>
      <c r="J279" s="4">
        <v>0.14</v>
      </c>
      <c r="K279" s="4">
        <v>24.4</v>
      </c>
      <c r="L279" s="4">
        <v>94.76</v>
      </c>
      <c r="M279" s="4">
        <v>12603</v>
      </c>
      <c r="N279" s="4">
        <v>0.32</v>
      </c>
      <c r="O279" s="4">
        <v>42.75</v>
      </c>
      <c r="P279" s="4" t="s">
        <v>29</v>
      </c>
      <c r="Q279" s="4" t="s">
        <v>30</v>
      </c>
      <c r="R279" s="4" t="s">
        <v>109</v>
      </c>
      <c r="S279" s="4">
        <v>0</v>
      </c>
      <c r="T279" s="4">
        <v>0</v>
      </c>
      <c r="U279" s="4">
        <v>0</v>
      </c>
      <c r="V279" s="4" t="s">
        <v>32</v>
      </c>
      <c r="W279" s="4" t="s">
        <v>32</v>
      </c>
      <c r="X279" s="4" t="s">
        <v>32</v>
      </c>
      <c r="Y279" s="4" t="s">
        <v>32</v>
      </c>
      <c r="Z279" s="4" t="s">
        <v>32</v>
      </c>
      <c r="AA279" s="4" t="s">
        <v>32</v>
      </c>
    </row>
    <row r="280" s="4" customFormat="1" spans="1:27">
      <c r="A280" s="4" t="s">
        <v>106</v>
      </c>
      <c r="B280" s="4" t="s">
        <v>28</v>
      </c>
      <c r="C280" s="4">
        <v>10713104</v>
      </c>
      <c r="D280" s="19">
        <v>254740427015</v>
      </c>
      <c r="E280" s="21">
        <v>45187.2955555556</v>
      </c>
      <c r="F280" s="4">
        <v>193.21</v>
      </c>
      <c r="G280" s="4">
        <v>0.72</v>
      </c>
      <c r="H280" s="4">
        <v>192.49</v>
      </c>
      <c r="I280" s="4">
        <v>25.23</v>
      </c>
      <c r="J280" s="4">
        <v>-0.18</v>
      </c>
      <c r="K280" s="4">
        <v>25.41</v>
      </c>
      <c r="L280" s="4">
        <v>56.65</v>
      </c>
      <c r="M280" s="4">
        <v>7535</v>
      </c>
      <c r="N280" s="4">
        <v>2.86</v>
      </c>
      <c r="O280" s="4">
        <v>380</v>
      </c>
      <c r="P280" s="4" t="s">
        <v>34</v>
      </c>
      <c r="Q280" s="4" t="s">
        <v>30</v>
      </c>
      <c r="R280" s="4" t="s">
        <v>109</v>
      </c>
      <c r="S280" s="4">
        <v>0</v>
      </c>
      <c r="T280" s="4">
        <v>20</v>
      </c>
      <c r="U280" s="4">
        <v>0</v>
      </c>
      <c r="V280" s="4" t="s">
        <v>32</v>
      </c>
      <c r="W280" s="4" t="s">
        <v>32</v>
      </c>
      <c r="X280" s="4" t="s">
        <v>32</v>
      </c>
      <c r="Y280" s="4" t="s">
        <v>32</v>
      </c>
      <c r="Z280" s="4" t="s">
        <v>32</v>
      </c>
      <c r="AA280" s="4" t="s">
        <v>32</v>
      </c>
    </row>
    <row r="281" s="4" customFormat="1" spans="1:27">
      <c r="A281" s="4" t="s">
        <v>106</v>
      </c>
      <c r="B281" s="4" t="s">
        <v>28</v>
      </c>
      <c r="C281" s="4">
        <v>13033744</v>
      </c>
      <c r="D281" s="19">
        <v>254741203640</v>
      </c>
      <c r="E281" s="21">
        <v>45433.7464236111</v>
      </c>
      <c r="F281" s="4">
        <v>1428.68</v>
      </c>
      <c r="G281" s="4">
        <v>0.02</v>
      </c>
      <c r="H281" s="4">
        <v>1428.66</v>
      </c>
      <c r="I281" s="4">
        <v>64.75</v>
      </c>
      <c r="J281" s="4">
        <v>0.02</v>
      </c>
      <c r="K281" s="4">
        <v>64.74</v>
      </c>
      <c r="L281" s="4">
        <v>125.29</v>
      </c>
      <c r="M281" s="4">
        <v>16664</v>
      </c>
      <c r="N281" s="4">
        <v>108.09</v>
      </c>
      <c r="O281" s="4">
        <v>14376.35</v>
      </c>
      <c r="P281" s="4" t="s">
        <v>29</v>
      </c>
      <c r="Q281" s="4" t="s">
        <v>30</v>
      </c>
      <c r="R281" s="4" t="s">
        <v>109</v>
      </c>
      <c r="S281" s="4">
        <v>0</v>
      </c>
      <c r="T281" s="4">
        <v>720</v>
      </c>
      <c r="U281" s="4">
        <v>0</v>
      </c>
      <c r="V281" s="4" t="s">
        <v>32</v>
      </c>
      <c r="W281" s="4" t="s">
        <v>32</v>
      </c>
      <c r="X281" s="4" t="s">
        <v>32</v>
      </c>
      <c r="Y281" s="4" t="s">
        <v>32</v>
      </c>
      <c r="Z281" s="4" t="s">
        <v>32</v>
      </c>
      <c r="AA281" s="4" t="s">
        <v>32</v>
      </c>
    </row>
    <row r="282" s="4" customFormat="1" spans="1:27">
      <c r="A282" s="4" t="s">
        <v>106</v>
      </c>
      <c r="B282" s="4" t="s">
        <v>28</v>
      </c>
      <c r="C282" s="4">
        <v>16833854</v>
      </c>
      <c r="D282" s="19">
        <v>254741350140</v>
      </c>
      <c r="E282" s="21">
        <v>45807.8960763889</v>
      </c>
      <c r="F282" s="4">
        <v>510</v>
      </c>
      <c r="G282" s="4">
        <v>0</v>
      </c>
      <c r="H282" s="4">
        <v>510</v>
      </c>
      <c r="I282" s="4">
        <v>23.49</v>
      </c>
      <c r="J282" s="4">
        <v>0</v>
      </c>
      <c r="K282" s="4">
        <v>23.49</v>
      </c>
      <c r="L282" s="4">
        <v>91.01</v>
      </c>
      <c r="M282" s="4">
        <v>12104</v>
      </c>
      <c r="N282" s="4">
        <v>2.26</v>
      </c>
      <c r="O282" s="4">
        <v>300.2</v>
      </c>
      <c r="P282" s="4" t="s">
        <v>29</v>
      </c>
      <c r="Q282" s="4" t="s">
        <v>30</v>
      </c>
      <c r="R282" s="4" t="s">
        <v>109</v>
      </c>
      <c r="S282" s="4">
        <v>0</v>
      </c>
      <c r="T282" s="4">
        <v>20</v>
      </c>
      <c r="U282" s="4">
        <v>0</v>
      </c>
      <c r="V282" s="4" t="s">
        <v>32</v>
      </c>
      <c r="W282" s="4" t="s">
        <v>32</v>
      </c>
      <c r="X282" s="4" t="s">
        <v>32</v>
      </c>
      <c r="Y282" s="4" t="s">
        <v>32</v>
      </c>
      <c r="Z282" s="4" t="s">
        <v>32</v>
      </c>
      <c r="AA282" s="4" t="s">
        <v>32</v>
      </c>
    </row>
    <row r="283" s="4" customFormat="1" spans="1:27">
      <c r="A283" s="4" t="s">
        <v>106</v>
      </c>
      <c r="B283" s="4" t="s">
        <v>28</v>
      </c>
      <c r="C283" s="4">
        <v>4670015</v>
      </c>
      <c r="D283" s="19">
        <v>254743396826</v>
      </c>
      <c r="E283" s="21">
        <v>44353.2832986111</v>
      </c>
      <c r="F283" s="4">
        <v>772.25</v>
      </c>
      <c r="G283" s="4">
        <v>0</v>
      </c>
      <c r="H283" s="4">
        <v>772.25</v>
      </c>
      <c r="I283" s="4">
        <v>23.39</v>
      </c>
      <c r="J283" s="4">
        <v>0</v>
      </c>
      <c r="K283" s="4">
        <v>24.14</v>
      </c>
      <c r="L283" s="4">
        <v>309.11</v>
      </c>
      <c r="M283" s="4">
        <v>41112</v>
      </c>
      <c r="N283" s="4">
        <v>6.43</v>
      </c>
      <c r="O283" s="4">
        <v>855</v>
      </c>
      <c r="P283" s="4" t="s">
        <v>29</v>
      </c>
      <c r="Q283" s="4" t="s">
        <v>30</v>
      </c>
      <c r="R283" s="4" t="s">
        <v>109</v>
      </c>
      <c r="S283" s="4">
        <v>0</v>
      </c>
      <c r="T283" s="4">
        <v>40</v>
      </c>
      <c r="U283" s="4">
        <v>0</v>
      </c>
      <c r="V283" s="4" t="s">
        <v>32</v>
      </c>
      <c r="W283" s="4" t="s">
        <v>32</v>
      </c>
      <c r="X283" s="4" t="s">
        <v>32</v>
      </c>
      <c r="Y283" s="4" t="s">
        <v>32</v>
      </c>
      <c r="Z283" s="4" t="s">
        <v>32</v>
      </c>
      <c r="AA283" s="4" t="s">
        <v>32</v>
      </c>
    </row>
    <row r="284" s="4" customFormat="1" spans="1:27">
      <c r="A284" s="4" t="s">
        <v>106</v>
      </c>
      <c r="B284" s="4" t="s">
        <v>28</v>
      </c>
      <c r="C284" s="4">
        <v>22405093</v>
      </c>
      <c r="D284" s="19">
        <v>254743539449</v>
      </c>
      <c r="E284" s="21">
        <v>46125.3609953704</v>
      </c>
      <c r="F284" s="4">
        <v>240.36</v>
      </c>
      <c r="G284" s="4">
        <v>0</v>
      </c>
      <c r="H284" s="4">
        <v>240.36</v>
      </c>
      <c r="I284" s="4">
        <v>4.37</v>
      </c>
      <c r="J284" s="4">
        <v>0</v>
      </c>
      <c r="K284" s="4">
        <v>4.37</v>
      </c>
      <c r="L284" s="4">
        <v>70.03</v>
      </c>
      <c r="M284" s="4">
        <v>9314</v>
      </c>
      <c r="N284" s="4">
        <v>66.53</v>
      </c>
      <c r="O284" s="4">
        <v>8848.3</v>
      </c>
      <c r="P284" s="4" t="s">
        <v>29</v>
      </c>
      <c r="Q284" s="4" t="s">
        <v>30</v>
      </c>
      <c r="R284" s="4" t="s">
        <v>109</v>
      </c>
      <c r="S284" s="4">
        <v>0</v>
      </c>
      <c r="T284" s="4">
        <v>440</v>
      </c>
      <c r="U284" s="4">
        <v>0</v>
      </c>
      <c r="V284" s="4" t="s">
        <v>32</v>
      </c>
      <c r="W284" s="4" t="s">
        <v>32</v>
      </c>
      <c r="X284" s="4" t="s">
        <v>32</v>
      </c>
      <c r="Y284" s="4" t="s">
        <v>32</v>
      </c>
      <c r="Z284" s="4" t="s">
        <v>32</v>
      </c>
      <c r="AA284" s="4" t="s">
        <v>32</v>
      </c>
    </row>
    <row r="285" s="4" customFormat="1" spans="1:27">
      <c r="A285" s="4" t="s">
        <v>106</v>
      </c>
      <c r="B285" s="4" t="s">
        <v>28</v>
      </c>
      <c r="C285" s="4">
        <v>17027334</v>
      </c>
      <c r="D285" s="19">
        <v>254745016604</v>
      </c>
      <c r="E285" s="21">
        <v>45824.7328472222</v>
      </c>
      <c r="F285" s="4">
        <v>218.65</v>
      </c>
      <c r="G285" s="4">
        <v>94.69</v>
      </c>
      <c r="H285" s="4">
        <v>123.96</v>
      </c>
      <c r="I285" s="4">
        <v>26.2</v>
      </c>
      <c r="J285" s="4">
        <v>16.1</v>
      </c>
      <c r="K285" s="4">
        <v>10.1</v>
      </c>
      <c r="L285" s="4">
        <v>109.47</v>
      </c>
      <c r="M285" s="4">
        <v>14560</v>
      </c>
      <c r="N285" s="4">
        <v>19.01</v>
      </c>
      <c r="O285" s="4">
        <v>2528.9</v>
      </c>
      <c r="P285" s="4" t="s">
        <v>35</v>
      </c>
      <c r="Q285" s="4" t="s">
        <v>30</v>
      </c>
      <c r="R285" s="4" t="s">
        <v>109</v>
      </c>
      <c r="S285" s="4">
        <v>2000</v>
      </c>
      <c r="T285" s="4">
        <v>60</v>
      </c>
      <c r="U285" s="4">
        <v>0</v>
      </c>
      <c r="V285" s="4" t="s">
        <v>32</v>
      </c>
      <c r="W285" s="4" t="s">
        <v>32</v>
      </c>
      <c r="X285" s="4" t="s">
        <v>32</v>
      </c>
      <c r="Y285" s="4" t="s">
        <v>32</v>
      </c>
      <c r="Z285" s="4" t="s">
        <v>32</v>
      </c>
      <c r="AA285" s="4" t="s">
        <v>32</v>
      </c>
    </row>
    <row r="286" s="4" customFormat="1" spans="1:27">
      <c r="A286" s="4" t="s">
        <v>106</v>
      </c>
      <c r="B286" s="4" t="s">
        <v>28</v>
      </c>
      <c r="C286" s="4">
        <v>7973603</v>
      </c>
      <c r="D286" s="19">
        <v>254745645842</v>
      </c>
      <c r="E286" s="21">
        <v>44700.3224537037</v>
      </c>
      <c r="F286" s="4">
        <v>374.79</v>
      </c>
      <c r="G286" s="4">
        <v>0.17</v>
      </c>
      <c r="H286" s="4">
        <v>374.63</v>
      </c>
      <c r="I286" s="4">
        <v>-59.49</v>
      </c>
      <c r="J286" s="4">
        <v>0.17</v>
      </c>
      <c r="K286" s="4">
        <v>-59.19</v>
      </c>
      <c r="L286" s="4">
        <v>106.9</v>
      </c>
      <c r="M286" s="4">
        <v>14218</v>
      </c>
      <c r="N286" s="4">
        <v>51.43</v>
      </c>
      <c r="O286" s="4">
        <v>6840</v>
      </c>
      <c r="P286" s="4" t="s">
        <v>34</v>
      </c>
      <c r="Q286" s="4" t="s">
        <v>30</v>
      </c>
      <c r="R286" s="4" t="s">
        <v>109</v>
      </c>
      <c r="S286" s="4">
        <v>0</v>
      </c>
      <c r="T286" s="4">
        <v>340</v>
      </c>
      <c r="U286" s="4">
        <v>0</v>
      </c>
      <c r="V286" s="4" t="s">
        <v>32</v>
      </c>
      <c r="W286" s="4" t="s">
        <v>32</v>
      </c>
      <c r="X286" s="4" t="s">
        <v>32</v>
      </c>
      <c r="Y286" s="4" t="s">
        <v>32</v>
      </c>
      <c r="Z286" s="4" t="s">
        <v>32</v>
      </c>
      <c r="AA286" s="4" t="s">
        <v>32</v>
      </c>
    </row>
    <row r="287" s="4" customFormat="1" spans="1:27">
      <c r="A287" s="4" t="s">
        <v>106</v>
      </c>
      <c r="B287" s="4" t="s">
        <v>28</v>
      </c>
      <c r="C287" s="4">
        <v>20033025</v>
      </c>
      <c r="D287" s="19">
        <v>254746367116</v>
      </c>
      <c r="E287" s="21">
        <v>46002.40625</v>
      </c>
      <c r="F287" s="4">
        <v>3623.6</v>
      </c>
      <c r="G287" s="4">
        <v>0</v>
      </c>
      <c r="H287" s="4">
        <v>3623.6</v>
      </c>
      <c r="I287" s="4">
        <v>80.27</v>
      </c>
      <c r="J287" s="4">
        <v>0</v>
      </c>
      <c r="K287" s="4">
        <v>80.27</v>
      </c>
      <c r="L287" s="4">
        <v>542.11</v>
      </c>
      <c r="M287" s="4">
        <v>72100</v>
      </c>
      <c r="N287" s="4">
        <v>350</v>
      </c>
      <c r="O287" s="4">
        <v>46550</v>
      </c>
      <c r="P287" s="4" t="s">
        <v>29</v>
      </c>
      <c r="Q287" s="4" t="s">
        <v>30</v>
      </c>
      <c r="R287" s="4" t="s">
        <v>109</v>
      </c>
      <c r="S287" s="4">
        <v>0</v>
      </c>
      <c r="T287" s="4">
        <v>2330</v>
      </c>
      <c r="U287" s="4">
        <v>0</v>
      </c>
      <c r="V287" s="4" t="s">
        <v>32</v>
      </c>
      <c r="W287" s="4" t="s">
        <v>32</v>
      </c>
      <c r="X287" s="4" t="s">
        <v>32</v>
      </c>
      <c r="Y287" s="4" t="s">
        <v>32</v>
      </c>
      <c r="Z287" s="4" t="s">
        <v>32</v>
      </c>
      <c r="AA287" s="4" t="s">
        <v>32</v>
      </c>
    </row>
    <row r="288" s="4" customFormat="1" spans="1:27">
      <c r="A288" s="4" t="s">
        <v>106</v>
      </c>
      <c r="B288" s="4" t="s">
        <v>28</v>
      </c>
      <c r="C288" s="4">
        <v>18570074</v>
      </c>
      <c r="D288" s="19">
        <v>254746423003</v>
      </c>
      <c r="E288" s="21">
        <v>45920.5779050926</v>
      </c>
      <c r="F288" s="4">
        <v>277.04</v>
      </c>
      <c r="G288" s="4">
        <v>0</v>
      </c>
      <c r="H288" s="4">
        <v>277.04</v>
      </c>
      <c r="I288" s="4">
        <v>-82.84</v>
      </c>
      <c r="J288" s="4">
        <v>0</v>
      </c>
      <c r="K288" s="4">
        <v>-82.84</v>
      </c>
      <c r="L288" s="4">
        <v>88.23</v>
      </c>
      <c r="M288" s="4">
        <v>11735</v>
      </c>
      <c r="N288" s="4">
        <v>2.14</v>
      </c>
      <c r="O288" s="4">
        <v>285</v>
      </c>
      <c r="P288" s="4" t="s">
        <v>34</v>
      </c>
      <c r="Q288" s="4" t="s">
        <v>30</v>
      </c>
      <c r="R288" s="4" t="s">
        <v>109</v>
      </c>
      <c r="S288" s="4">
        <v>0</v>
      </c>
      <c r="T288" s="4">
        <v>10</v>
      </c>
      <c r="U288" s="4">
        <v>0</v>
      </c>
      <c r="V288" s="4" t="s">
        <v>32</v>
      </c>
      <c r="W288" s="4" t="s">
        <v>32</v>
      </c>
      <c r="X288" s="4" t="s">
        <v>32</v>
      </c>
      <c r="Y288" s="4" t="s">
        <v>32</v>
      </c>
      <c r="Z288" s="4" t="s">
        <v>32</v>
      </c>
      <c r="AA288" s="4" t="s">
        <v>32</v>
      </c>
    </row>
    <row r="289" s="4" customFormat="1" spans="1:27">
      <c r="A289" s="4" t="s">
        <v>106</v>
      </c>
      <c r="B289" s="4" t="s">
        <v>28</v>
      </c>
      <c r="C289" s="4">
        <v>13522645</v>
      </c>
      <c r="D289" s="19">
        <v>254748735495</v>
      </c>
      <c r="E289" s="21">
        <v>45528.6298958333</v>
      </c>
      <c r="F289" s="4">
        <v>2627.48</v>
      </c>
      <c r="G289" s="4">
        <v>27.9</v>
      </c>
      <c r="H289" s="4">
        <v>2599.58</v>
      </c>
      <c r="I289" s="4">
        <v>61.58</v>
      </c>
      <c r="J289" s="4">
        <v>-11.23</v>
      </c>
      <c r="K289" s="4">
        <v>72.8</v>
      </c>
      <c r="L289" s="4">
        <v>360.68</v>
      </c>
      <c r="M289" s="4">
        <v>47970</v>
      </c>
      <c r="N289" s="4">
        <v>55.14</v>
      </c>
      <c r="O289" s="4">
        <v>7333.05</v>
      </c>
      <c r="P289" s="4" t="s">
        <v>29</v>
      </c>
      <c r="Q289" s="4" t="s">
        <v>30</v>
      </c>
      <c r="R289" s="4" t="s">
        <v>109</v>
      </c>
      <c r="S289" s="4">
        <v>0</v>
      </c>
      <c r="T289" s="4">
        <v>370</v>
      </c>
      <c r="U289" s="4">
        <v>0</v>
      </c>
      <c r="V289" s="4" t="s">
        <v>32</v>
      </c>
      <c r="W289" s="4" t="s">
        <v>32</v>
      </c>
      <c r="X289" s="4" t="s">
        <v>32</v>
      </c>
      <c r="Y289" s="4" t="s">
        <v>32</v>
      </c>
      <c r="Z289" s="4" t="s">
        <v>32</v>
      </c>
      <c r="AA289" s="4" t="s">
        <v>32</v>
      </c>
    </row>
    <row r="290" s="4" customFormat="1" spans="1:27">
      <c r="A290" s="4" t="s">
        <v>106</v>
      </c>
      <c r="B290" s="4" t="s">
        <v>28</v>
      </c>
      <c r="C290" s="4">
        <v>21172163</v>
      </c>
      <c r="D290" s="19">
        <v>254756378820</v>
      </c>
      <c r="E290" s="21">
        <v>46059.2739814815</v>
      </c>
      <c r="F290" s="4">
        <v>1063.46</v>
      </c>
      <c r="G290" s="4">
        <v>0</v>
      </c>
      <c r="H290" s="4">
        <v>1063.46</v>
      </c>
      <c r="I290" s="4">
        <v>49.77</v>
      </c>
      <c r="J290" s="4">
        <v>-0.28</v>
      </c>
      <c r="K290" s="4">
        <v>50.05</v>
      </c>
      <c r="L290" s="4">
        <v>231.54</v>
      </c>
      <c r="M290" s="4">
        <v>30795</v>
      </c>
      <c r="N290" s="4">
        <v>219.96</v>
      </c>
      <c r="O290" s="4">
        <v>29255.25</v>
      </c>
      <c r="P290" s="4" t="s">
        <v>29</v>
      </c>
      <c r="Q290" s="4" t="s">
        <v>30</v>
      </c>
      <c r="R290" s="4" t="s">
        <v>109</v>
      </c>
      <c r="S290" s="4">
        <v>0</v>
      </c>
      <c r="T290" s="4">
        <v>1460</v>
      </c>
      <c r="U290" s="4">
        <v>0</v>
      </c>
      <c r="V290" s="4" t="s">
        <v>32</v>
      </c>
      <c r="W290" s="4" t="s">
        <v>32</v>
      </c>
      <c r="X290" s="4" t="s">
        <v>32</v>
      </c>
      <c r="Y290" s="4" t="s">
        <v>32</v>
      </c>
      <c r="Z290" s="4" t="s">
        <v>32</v>
      </c>
      <c r="AA290" s="4" t="s">
        <v>32</v>
      </c>
    </row>
    <row r="291" s="4" customFormat="1" spans="1:27">
      <c r="A291" s="4" t="s">
        <v>106</v>
      </c>
      <c r="B291" s="4" t="s">
        <v>28</v>
      </c>
      <c r="C291" s="4">
        <v>6986615</v>
      </c>
      <c r="D291" s="19">
        <v>254757154940</v>
      </c>
      <c r="E291" s="21">
        <v>44624.9064814815</v>
      </c>
      <c r="F291" s="4">
        <v>1547.63</v>
      </c>
      <c r="G291" s="4">
        <v>0</v>
      </c>
      <c r="H291" s="4">
        <v>1547.63</v>
      </c>
      <c r="I291" s="4">
        <v>298.91</v>
      </c>
      <c r="J291" s="4">
        <v>0</v>
      </c>
      <c r="K291" s="4">
        <v>298.91</v>
      </c>
      <c r="L291" s="4">
        <v>381.2</v>
      </c>
      <c r="M291" s="4">
        <v>50700</v>
      </c>
      <c r="N291" s="4">
        <v>362.14</v>
      </c>
      <c r="O291" s="4">
        <v>48165</v>
      </c>
      <c r="P291" s="4" t="s">
        <v>34</v>
      </c>
      <c r="Q291" s="4" t="s">
        <v>30</v>
      </c>
      <c r="R291" s="4" t="s">
        <v>109</v>
      </c>
      <c r="S291" s="4">
        <v>0</v>
      </c>
      <c r="T291" s="4">
        <v>2410</v>
      </c>
      <c r="U291" s="4">
        <v>0</v>
      </c>
      <c r="V291" s="4" t="s">
        <v>32</v>
      </c>
      <c r="W291" s="4" t="s">
        <v>32</v>
      </c>
      <c r="X291" s="4" t="s">
        <v>32</v>
      </c>
      <c r="Y291" s="4" t="s">
        <v>32</v>
      </c>
      <c r="Z291" s="4" t="s">
        <v>32</v>
      </c>
      <c r="AA291" s="4" t="s">
        <v>32</v>
      </c>
    </row>
    <row r="292" s="4" customFormat="1" spans="1:27">
      <c r="A292" s="4" t="s">
        <v>106</v>
      </c>
      <c r="B292" s="4" t="s">
        <v>28</v>
      </c>
      <c r="C292" s="4">
        <v>19612334</v>
      </c>
      <c r="D292" s="19">
        <v>254757399115</v>
      </c>
      <c r="E292" s="21">
        <v>45982.0016666667</v>
      </c>
      <c r="F292" s="4">
        <v>209.02</v>
      </c>
      <c r="G292" s="4">
        <v>0</v>
      </c>
      <c r="H292" s="4">
        <v>209.02</v>
      </c>
      <c r="I292" s="4">
        <v>-25.6</v>
      </c>
      <c r="J292" s="4">
        <v>0</v>
      </c>
      <c r="K292" s="4">
        <v>-25.6</v>
      </c>
      <c r="L292" s="4">
        <v>58.8</v>
      </c>
      <c r="M292" s="4">
        <v>7820</v>
      </c>
      <c r="N292" s="4">
        <v>0</v>
      </c>
      <c r="O292" s="4">
        <v>0</v>
      </c>
      <c r="P292" s="4" t="s">
        <v>34</v>
      </c>
      <c r="Q292" s="4" t="s">
        <v>30</v>
      </c>
      <c r="R292" s="4" t="s">
        <v>109</v>
      </c>
      <c r="S292" s="4">
        <v>0</v>
      </c>
      <c r="T292" s="4">
        <v>0</v>
      </c>
      <c r="U292" s="4">
        <v>0</v>
      </c>
      <c r="V292" s="4" t="s">
        <v>32</v>
      </c>
      <c r="W292" s="4" t="s">
        <v>32</v>
      </c>
      <c r="X292" s="4" t="s">
        <v>32</v>
      </c>
      <c r="Y292" s="4" t="s">
        <v>32</v>
      </c>
      <c r="Z292" s="4" t="s">
        <v>32</v>
      </c>
      <c r="AA292" s="4" t="s">
        <v>32</v>
      </c>
    </row>
    <row r="293" s="4" customFormat="1" spans="1:27">
      <c r="A293" s="4" t="s">
        <v>106</v>
      </c>
      <c r="B293" s="4" t="s">
        <v>28</v>
      </c>
      <c r="C293" s="4">
        <v>18992224</v>
      </c>
      <c r="D293" s="19">
        <v>254757731319</v>
      </c>
      <c r="E293" s="21">
        <v>45947.3984490741</v>
      </c>
      <c r="F293" s="4">
        <v>237.59</v>
      </c>
      <c r="G293" s="4">
        <v>12.95</v>
      </c>
      <c r="H293" s="4">
        <v>224.65</v>
      </c>
      <c r="I293" s="4">
        <v>34.64</v>
      </c>
      <c r="J293" s="4">
        <v>10.91</v>
      </c>
      <c r="K293" s="4">
        <v>23.72</v>
      </c>
      <c r="L293" s="4">
        <v>79.44</v>
      </c>
      <c r="M293" s="4">
        <v>10565</v>
      </c>
      <c r="N293" s="4">
        <v>15.89</v>
      </c>
      <c r="O293" s="4">
        <v>2113.75</v>
      </c>
      <c r="P293" s="4" t="s">
        <v>34</v>
      </c>
      <c r="Q293" s="4" t="s">
        <v>30</v>
      </c>
      <c r="R293" s="4" t="s">
        <v>109</v>
      </c>
      <c r="S293" s="4">
        <v>0</v>
      </c>
      <c r="T293" s="4">
        <v>110</v>
      </c>
      <c r="U293" s="4">
        <v>0</v>
      </c>
      <c r="V293" s="4" t="s">
        <v>32</v>
      </c>
      <c r="W293" s="4" t="s">
        <v>32</v>
      </c>
      <c r="X293" s="4" t="s">
        <v>32</v>
      </c>
      <c r="Y293" s="4" t="s">
        <v>32</v>
      </c>
      <c r="Z293" s="4" t="s">
        <v>32</v>
      </c>
      <c r="AA293" s="4" t="s">
        <v>32</v>
      </c>
    </row>
    <row r="294" s="4" customFormat="1" spans="1:27">
      <c r="A294" s="4" t="s">
        <v>106</v>
      </c>
      <c r="B294" s="4" t="s">
        <v>28</v>
      </c>
      <c r="C294" s="4">
        <v>21443695</v>
      </c>
      <c r="D294" s="19">
        <v>254768586807</v>
      </c>
      <c r="E294" s="21">
        <v>46073.4931712963</v>
      </c>
      <c r="F294" s="4">
        <v>217.02</v>
      </c>
      <c r="G294" s="4">
        <v>7.52</v>
      </c>
      <c r="H294" s="4">
        <v>209.5</v>
      </c>
      <c r="I294" s="4">
        <v>1.53</v>
      </c>
      <c r="J294" s="4">
        <v>7.52</v>
      </c>
      <c r="K294" s="4">
        <v>-5.99</v>
      </c>
      <c r="L294" s="4">
        <v>86.46</v>
      </c>
      <c r="M294" s="4">
        <v>11499</v>
      </c>
      <c r="N294" s="4">
        <v>63.28</v>
      </c>
      <c r="O294" s="4">
        <v>8416.05</v>
      </c>
      <c r="P294" s="4" t="s">
        <v>34</v>
      </c>
      <c r="Q294" s="4" t="s">
        <v>30</v>
      </c>
      <c r="R294" s="4" t="s">
        <v>109</v>
      </c>
      <c r="S294" s="4">
        <v>0</v>
      </c>
      <c r="T294" s="4">
        <v>420</v>
      </c>
      <c r="U294" s="4">
        <v>0</v>
      </c>
      <c r="V294" s="4" t="s">
        <v>32</v>
      </c>
      <c r="W294" s="4" t="s">
        <v>32</v>
      </c>
      <c r="X294" s="4" t="s">
        <v>32</v>
      </c>
      <c r="Y294" s="4" t="s">
        <v>32</v>
      </c>
      <c r="Z294" s="4" t="s">
        <v>32</v>
      </c>
      <c r="AA294" s="4" t="s">
        <v>32</v>
      </c>
    </row>
    <row r="295" s="4" customFormat="1" spans="1:27">
      <c r="A295" s="4" t="s">
        <v>106</v>
      </c>
      <c r="B295" s="4" t="s">
        <v>28</v>
      </c>
      <c r="C295" s="4">
        <v>14639454</v>
      </c>
      <c r="D295" s="19">
        <v>254769342722</v>
      </c>
      <c r="E295" s="21">
        <v>45609.6053356481</v>
      </c>
      <c r="F295" s="4">
        <v>8372.74</v>
      </c>
      <c r="G295" s="4">
        <v>3.6</v>
      </c>
      <c r="H295" s="4">
        <v>8369.14</v>
      </c>
      <c r="I295" s="4">
        <v>350.84</v>
      </c>
      <c r="J295" s="4">
        <v>3.6</v>
      </c>
      <c r="K295" s="4">
        <v>347.23</v>
      </c>
      <c r="L295" s="4">
        <v>1507.2</v>
      </c>
      <c r="M295" s="4">
        <v>200457</v>
      </c>
      <c r="N295" s="4">
        <v>668.14</v>
      </c>
      <c r="O295" s="4">
        <v>88863</v>
      </c>
      <c r="P295" s="4" t="s">
        <v>29</v>
      </c>
      <c r="Q295" s="4" t="s">
        <v>33</v>
      </c>
      <c r="R295" s="4" t="s">
        <v>109</v>
      </c>
      <c r="S295" s="4">
        <v>0</v>
      </c>
      <c r="T295" s="4">
        <v>4440</v>
      </c>
      <c r="U295" s="4">
        <v>0</v>
      </c>
      <c r="V295" s="4" t="s">
        <v>32</v>
      </c>
      <c r="W295" s="4" t="s">
        <v>32</v>
      </c>
      <c r="X295" s="4" t="s">
        <v>32</v>
      </c>
      <c r="Y295" s="4" t="s">
        <v>32</v>
      </c>
      <c r="Z295" s="4" t="s">
        <v>32</v>
      </c>
      <c r="AA295" s="4" t="s">
        <v>32</v>
      </c>
    </row>
    <row r="296" s="4" customFormat="1" spans="1:27">
      <c r="A296" s="4" t="s">
        <v>106</v>
      </c>
      <c r="B296" s="4" t="s">
        <v>28</v>
      </c>
      <c r="C296" s="4">
        <v>17817854</v>
      </c>
      <c r="D296" s="19">
        <v>254769916940</v>
      </c>
      <c r="E296" s="21">
        <v>45876.7655671296</v>
      </c>
      <c r="F296" s="4">
        <v>186.77</v>
      </c>
      <c r="G296" s="4">
        <v>1.66</v>
      </c>
      <c r="H296" s="4">
        <v>185.11</v>
      </c>
      <c r="I296" s="4">
        <v>1.14</v>
      </c>
      <c r="J296" s="4">
        <v>0.14</v>
      </c>
      <c r="K296" s="4">
        <v>1.01</v>
      </c>
      <c r="L296" s="4">
        <v>55.94</v>
      </c>
      <c r="M296" s="4">
        <v>7440</v>
      </c>
      <c r="N296" s="4">
        <v>1.12</v>
      </c>
      <c r="O296" s="4">
        <v>149.15</v>
      </c>
      <c r="P296" s="4" t="s">
        <v>29</v>
      </c>
      <c r="Q296" s="4" t="s">
        <v>30</v>
      </c>
      <c r="R296" s="4" t="s">
        <v>109</v>
      </c>
      <c r="S296" s="4">
        <v>0</v>
      </c>
      <c r="T296" s="4">
        <v>10</v>
      </c>
      <c r="U296" s="4">
        <v>0</v>
      </c>
      <c r="V296" s="4" t="s">
        <v>32</v>
      </c>
      <c r="W296" s="4" t="s">
        <v>32</v>
      </c>
      <c r="X296" s="4" t="s">
        <v>32</v>
      </c>
      <c r="Y296" s="4" t="s">
        <v>32</v>
      </c>
      <c r="Z296" s="4" t="s">
        <v>32</v>
      </c>
      <c r="AA296" s="4" t="s">
        <v>32</v>
      </c>
    </row>
    <row r="297" s="4" customFormat="1" spans="1:27">
      <c r="A297" s="4" t="s">
        <v>106</v>
      </c>
      <c r="B297" s="4" t="s">
        <v>28</v>
      </c>
      <c r="C297" s="4">
        <v>18814534</v>
      </c>
      <c r="D297" s="19">
        <v>254783064288</v>
      </c>
      <c r="E297" s="21">
        <v>45935.6412037037</v>
      </c>
      <c r="F297" s="4">
        <v>2322.97</v>
      </c>
      <c r="G297" s="4">
        <v>48.8</v>
      </c>
      <c r="H297" s="4">
        <v>2274.17</v>
      </c>
      <c r="I297" s="4">
        <v>139.38</v>
      </c>
      <c r="J297" s="4">
        <v>-9.39</v>
      </c>
      <c r="K297" s="4">
        <v>148.77</v>
      </c>
      <c r="L297" s="4">
        <v>478.2</v>
      </c>
      <c r="M297" s="4">
        <v>63601</v>
      </c>
      <c r="N297" s="4">
        <v>101.27</v>
      </c>
      <c r="O297" s="4">
        <v>13469.1</v>
      </c>
      <c r="P297" s="4" t="s">
        <v>34</v>
      </c>
      <c r="Q297" s="4" t="s">
        <v>30</v>
      </c>
      <c r="R297" s="4" t="s">
        <v>109</v>
      </c>
      <c r="S297" s="4">
        <v>0</v>
      </c>
      <c r="T297" s="4">
        <v>670</v>
      </c>
      <c r="U297" s="4">
        <v>0</v>
      </c>
      <c r="V297" s="4" t="s">
        <v>32</v>
      </c>
      <c r="W297" s="4" t="s">
        <v>32</v>
      </c>
      <c r="X297" s="4" t="s">
        <v>32</v>
      </c>
      <c r="Y297" s="4" t="s">
        <v>32</v>
      </c>
      <c r="Z297" s="4" t="s">
        <v>32</v>
      </c>
      <c r="AA297" s="4" t="s">
        <v>32</v>
      </c>
    </row>
    <row r="298" s="4" customFormat="1" spans="1:27">
      <c r="A298" s="4" t="s">
        <v>106</v>
      </c>
      <c r="B298" s="4" t="s">
        <v>28</v>
      </c>
      <c r="C298" s="4">
        <v>19030463</v>
      </c>
      <c r="D298" s="19">
        <v>254786460894</v>
      </c>
      <c r="E298" s="21">
        <v>45950.409849537</v>
      </c>
      <c r="F298" s="4">
        <v>582.31</v>
      </c>
      <c r="G298" s="4">
        <v>0.08</v>
      </c>
      <c r="H298" s="4">
        <v>582.23</v>
      </c>
      <c r="I298" s="4">
        <v>16.94</v>
      </c>
      <c r="J298" s="4">
        <v>0.03</v>
      </c>
      <c r="K298" s="4">
        <v>16.91</v>
      </c>
      <c r="L298" s="4">
        <v>71.1</v>
      </c>
      <c r="M298" s="4">
        <v>9456</v>
      </c>
      <c r="N298" s="4">
        <v>34.21</v>
      </c>
      <c r="O298" s="4">
        <v>4550.5</v>
      </c>
      <c r="P298" s="4" t="s">
        <v>29</v>
      </c>
      <c r="Q298" s="4" t="s">
        <v>30</v>
      </c>
      <c r="R298" s="4" t="s">
        <v>109</v>
      </c>
      <c r="S298" s="4">
        <v>0</v>
      </c>
      <c r="T298" s="4">
        <v>230</v>
      </c>
      <c r="U298" s="4">
        <v>0</v>
      </c>
      <c r="V298" s="4" t="s">
        <v>32</v>
      </c>
      <c r="W298" s="4" t="s">
        <v>32</v>
      </c>
      <c r="X298" s="4" t="s">
        <v>32</v>
      </c>
      <c r="Y298" s="4" t="s">
        <v>32</v>
      </c>
      <c r="Z298" s="4" t="s">
        <v>32</v>
      </c>
      <c r="AA298" s="4" t="s">
        <v>32</v>
      </c>
    </row>
    <row r="299" s="4" customFormat="1" spans="1:27">
      <c r="A299" s="4" t="s">
        <v>106</v>
      </c>
      <c r="B299" s="4" t="s">
        <v>28</v>
      </c>
      <c r="C299" s="4">
        <v>21389725</v>
      </c>
      <c r="D299" s="19">
        <v>254790704283</v>
      </c>
      <c r="E299" s="21">
        <v>46070.8483333333</v>
      </c>
      <c r="F299" s="4">
        <v>622.24</v>
      </c>
      <c r="G299" s="4">
        <v>3.1</v>
      </c>
      <c r="H299" s="4">
        <v>619.14</v>
      </c>
      <c r="I299" s="4">
        <v>-17.77</v>
      </c>
      <c r="J299" s="4">
        <v>-1.33</v>
      </c>
      <c r="K299" s="4">
        <v>-16.44</v>
      </c>
      <c r="L299" s="4">
        <v>51.72</v>
      </c>
      <c r="M299" s="4">
        <v>6879</v>
      </c>
      <c r="N299" s="4">
        <v>23.52</v>
      </c>
      <c r="O299" s="4">
        <v>3128.35</v>
      </c>
      <c r="P299" s="4" t="s">
        <v>29</v>
      </c>
      <c r="Q299" s="4" t="s">
        <v>30</v>
      </c>
      <c r="R299" s="4" t="s">
        <v>109</v>
      </c>
      <c r="S299" s="4">
        <v>0</v>
      </c>
      <c r="T299" s="4">
        <v>160</v>
      </c>
      <c r="U299" s="4">
        <v>0</v>
      </c>
      <c r="V299" s="4" t="s">
        <v>32</v>
      </c>
      <c r="W299" s="4" t="s">
        <v>32</v>
      </c>
      <c r="X299" s="4" t="s">
        <v>32</v>
      </c>
      <c r="Y299" s="4" t="s">
        <v>32</v>
      </c>
      <c r="Z299" s="4" t="s">
        <v>32</v>
      </c>
      <c r="AA299" s="4" t="s">
        <v>32</v>
      </c>
    </row>
    <row r="300" s="4" customFormat="1" spans="1:27">
      <c r="A300" s="4" t="s">
        <v>106</v>
      </c>
      <c r="B300" s="4" t="s">
        <v>28</v>
      </c>
      <c r="C300" s="4">
        <v>22806103</v>
      </c>
      <c r="D300" s="19">
        <v>254790947692</v>
      </c>
      <c r="E300" s="21">
        <v>46152.0196875</v>
      </c>
      <c r="F300" s="4">
        <v>2414.54</v>
      </c>
      <c r="G300" s="4">
        <v>0</v>
      </c>
      <c r="H300" s="4">
        <v>2414.54</v>
      </c>
      <c r="I300" s="4">
        <v>237.08</v>
      </c>
      <c r="J300" s="4">
        <v>-0.48</v>
      </c>
      <c r="K300" s="4">
        <v>237.56</v>
      </c>
      <c r="L300" s="4">
        <v>578.29</v>
      </c>
      <c r="M300" s="4">
        <v>76912</v>
      </c>
      <c r="N300" s="4">
        <v>549.37</v>
      </c>
      <c r="O300" s="4">
        <v>73066.4</v>
      </c>
      <c r="P300" s="4" t="s">
        <v>29</v>
      </c>
      <c r="Q300" s="4" t="s">
        <v>30</v>
      </c>
      <c r="R300" s="4" t="s">
        <v>109</v>
      </c>
      <c r="S300" s="4">
        <v>0</v>
      </c>
      <c r="T300" s="4">
        <v>3650</v>
      </c>
      <c r="U300" s="4">
        <v>0</v>
      </c>
      <c r="V300" s="4" t="s">
        <v>32</v>
      </c>
      <c r="W300" s="4" t="s">
        <v>32</v>
      </c>
      <c r="X300" s="4" t="s">
        <v>32</v>
      </c>
      <c r="Y300" s="4" t="s">
        <v>32</v>
      </c>
      <c r="Z300" s="4" t="s">
        <v>32</v>
      </c>
      <c r="AA300" s="4" t="s">
        <v>32</v>
      </c>
    </row>
    <row r="301" s="4" customFormat="1" spans="1:27">
      <c r="A301" s="4" t="s">
        <v>106</v>
      </c>
      <c r="B301" s="4" t="s">
        <v>28</v>
      </c>
      <c r="C301" s="4">
        <v>13404163</v>
      </c>
      <c r="D301" s="19">
        <v>254791302080</v>
      </c>
      <c r="E301" s="21">
        <v>45506.4549074074</v>
      </c>
      <c r="F301" s="4">
        <v>1032.5</v>
      </c>
      <c r="G301" s="4">
        <v>0</v>
      </c>
      <c r="H301" s="4">
        <v>1032.5</v>
      </c>
      <c r="I301" s="4">
        <v>-104.88</v>
      </c>
      <c r="J301" s="4">
        <v>0</v>
      </c>
      <c r="K301" s="4">
        <v>-104.88</v>
      </c>
      <c r="L301" s="4">
        <v>214.29</v>
      </c>
      <c r="M301" s="4">
        <v>28501</v>
      </c>
      <c r="N301" s="4">
        <v>105.71</v>
      </c>
      <c r="O301" s="4">
        <v>14060</v>
      </c>
      <c r="P301" s="4" t="s">
        <v>29</v>
      </c>
      <c r="Q301" s="4" t="s">
        <v>30</v>
      </c>
      <c r="R301" s="4" t="s">
        <v>109</v>
      </c>
      <c r="S301" s="4">
        <v>0</v>
      </c>
      <c r="T301" s="4">
        <v>700</v>
      </c>
      <c r="U301" s="4">
        <v>0</v>
      </c>
      <c r="V301" s="4" t="s">
        <v>32</v>
      </c>
      <c r="W301" s="4" t="s">
        <v>32</v>
      </c>
      <c r="X301" s="4" t="s">
        <v>32</v>
      </c>
      <c r="Y301" s="4" t="s">
        <v>32</v>
      </c>
      <c r="Z301" s="4" t="s">
        <v>32</v>
      </c>
      <c r="AA301" s="4" t="s">
        <v>32</v>
      </c>
    </row>
    <row r="302" s="4" customFormat="1" spans="1:27">
      <c r="A302" s="4" t="s">
        <v>106</v>
      </c>
      <c r="B302" s="4" t="s">
        <v>28</v>
      </c>
      <c r="C302" s="4">
        <v>18118934</v>
      </c>
      <c r="D302" s="19">
        <v>254791662557</v>
      </c>
      <c r="E302" s="21">
        <v>45893.4928125</v>
      </c>
      <c r="F302" s="4">
        <v>355.59</v>
      </c>
      <c r="G302" s="4">
        <v>2.12</v>
      </c>
      <c r="H302" s="4">
        <v>353.47</v>
      </c>
      <c r="I302" s="4">
        <v>-14.37</v>
      </c>
      <c r="J302" s="4">
        <v>-6.03</v>
      </c>
      <c r="K302" s="4">
        <v>-8.33</v>
      </c>
      <c r="L302" s="4">
        <v>66.24</v>
      </c>
      <c r="M302" s="4">
        <v>8810</v>
      </c>
      <c r="N302" s="4">
        <v>27.14</v>
      </c>
      <c r="O302" s="4">
        <v>3610</v>
      </c>
      <c r="P302" s="4" t="s">
        <v>34</v>
      </c>
      <c r="Q302" s="4" t="s">
        <v>30</v>
      </c>
      <c r="R302" s="4" t="s">
        <v>109</v>
      </c>
      <c r="S302" s="4">
        <v>0</v>
      </c>
      <c r="T302" s="4">
        <v>180</v>
      </c>
      <c r="U302" s="4">
        <v>0</v>
      </c>
      <c r="V302" s="4" t="s">
        <v>32</v>
      </c>
      <c r="W302" s="4" t="s">
        <v>32</v>
      </c>
      <c r="X302" s="4" t="s">
        <v>32</v>
      </c>
      <c r="Y302" s="4" t="s">
        <v>32</v>
      </c>
      <c r="Z302" s="4" t="s">
        <v>32</v>
      </c>
      <c r="AA302" s="4" t="s">
        <v>32</v>
      </c>
    </row>
    <row r="303" s="4" customFormat="1" spans="1:27">
      <c r="A303" s="4" t="s">
        <v>106</v>
      </c>
      <c r="B303" s="4" t="s">
        <v>28</v>
      </c>
      <c r="C303" s="4">
        <v>22894284</v>
      </c>
      <c r="D303" s="19">
        <v>254792163210</v>
      </c>
      <c r="E303" s="21">
        <v>46158.2366319444</v>
      </c>
      <c r="F303" s="4">
        <v>512.1</v>
      </c>
      <c r="G303" s="4">
        <v>0</v>
      </c>
      <c r="H303" s="4">
        <v>512.1</v>
      </c>
      <c r="I303" s="4">
        <v>27.31</v>
      </c>
      <c r="J303" s="4">
        <v>0</v>
      </c>
      <c r="K303" s="4">
        <v>27.31</v>
      </c>
      <c r="L303" s="4">
        <v>55.79</v>
      </c>
      <c r="M303" s="4">
        <v>7420</v>
      </c>
      <c r="N303" s="4">
        <v>53</v>
      </c>
      <c r="O303" s="4">
        <v>7049</v>
      </c>
      <c r="P303" s="4" t="s">
        <v>34</v>
      </c>
      <c r="Q303" s="4" t="s">
        <v>30</v>
      </c>
      <c r="R303" s="4" t="s">
        <v>109</v>
      </c>
      <c r="S303" s="4">
        <v>0</v>
      </c>
      <c r="T303" s="4">
        <v>350</v>
      </c>
      <c r="U303" s="4">
        <v>0</v>
      </c>
      <c r="V303" s="4" t="s">
        <v>32</v>
      </c>
      <c r="W303" s="4" t="s">
        <v>32</v>
      </c>
      <c r="X303" s="4" t="s">
        <v>32</v>
      </c>
      <c r="Y303" s="4" t="s">
        <v>32</v>
      </c>
      <c r="Z303" s="4" t="s">
        <v>32</v>
      </c>
      <c r="AA303" s="4" t="s">
        <v>32</v>
      </c>
    </row>
    <row r="304" s="4" customFormat="1" spans="1:27">
      <c r="A304" s="4" t="s">
        <v>106</v>
      </c>
      <c r="B304" s="4" t="s">
        <v>28</v>
      </c>
      <c r="C304" s="4">
        <v>3593764</v>
      </c>
      <c r="D304" s="19">
        <v>254792650393</v>
      </c>
      <c r="E304" s="21">
        <v>44253.5559143518</v>
      </c>
      <c r="F304" s="4">
        <v>633.68</v>
      </c>
      <c r="G304" s="4">
        <v>0</v>
      </c>
      <c r="H304" s="4">
        <v>633.68</v>
      </c>
      <c r="I304" s="4">
        <v>29.44</v>
      </c>
      <c r="J304" s="4">
        <v>0</v>
      </c>
      <c r="K304" s="4">
        <v>29.44</v>
      </c>
      <c r="L304" s="4">
        <v>54.56</v>
      </c>
      <c r="M304" s="4">
        <v>7257</v>
      </c>
      <c r="N304" s="4">
        <v>48.85</v>
      </c>
      <c r="O304" s="4">
        <v>6497.05</v>
      </c>
      <c r="P304" s="4" t="s">
        <v>34</v>
      </c>
      <c r="Q304" s="4" t="s">
        <v>30</v>
      </c>
      <c r="R304" s="4" t="s">
        <v>109</v>
      </c>
      <c r="S304" s="4">
        <v>0</v>
      </c>
      <c r="T304" s="4">
        <v>320</v>
      </c>
      <c r="U304" s="4">
        <v>0</v>
      </c>
      <c r="V304" s="4" t="s">
        <v>32</v>
      </c>
      <c r="W304" s="4" t="s">
        <v>32</v>
      </c>
      <c r="X304" s="4" t="s">
        <v>32</v>
      </c>
      <c r="Y304" s="4" t="s">
        <v>32</v>
      </c>
      <c r="Z304" s="4" t="s">
        <v>32</v>
      </c>
      <c r="AA304" s="4" t="s">
        <v>32</v>
      </c>
    </row>
    <row r="305" s="4" customFormat="1" spans="1:27">
      <c r="A305" s="4" t="s">
        <v>106</v>
      </c>
      <c r="B305" s="4" t="s">
        <v>28</v>
      </c>
      <c r="C305" s="4">
        <v>21981043</v>
      </c>
      <c r="D305" s="19">
        <v>254794365176</v>
      </c>
      <c r="E305" s="21">
        <v>46100.7006481482</v>
      </c>
      <c r="F305" s="4">
        <v>336.31</v>
      </c>
      <c r="G305" s="4">
        <v>23.41</v>
      </c>
      <c r="H305" s="4">
        <v>312.9</v>
      </c>
      <c r="I305" s="4">
        <v>-3.72</v>
      </c>
      <c r="J305" s="4">
        <v>-17.95</v>
      </c>
      <c r="K305" s="4">
        <v>14.23</v>
      </c>
      <c r="L305" s="4">
        <v>57.13</v>
      </c>
      <c r="M305" s="4">
        <v>7598</v>
      </c>
      <c r="N305" s="4">
        <v>54.27</v>
      </c>
      <c r="O305" s="4">
        <v>7218.1</v>
      </c>
      <c r="P305" s="4" t="s">
        <v>34</v>
      </c>
      <c r="Q305" s="4" t="s">
        <v>30</v>
      </c>
      <c r="R305" s="4" t="s">
        <v>109</v>
      </c>
      <c r="S305" s="4">
        <v>0</v>
      </c>
      <c r="T305" s="4">
        <v>360</v>
      </c>
      <c r="U305" s="4">
        <v>0</v>
      </c>
      <c r="V305" s="4" t="s">
        <v>32</v>
      </c>
      <c r="W305" s="4" t="s">
        <v>32</v>
      </c>
      <c r="X305" s="4" t="s">
        <v>32</v>
      </c>
      <c r="Y305" s="4" t="s">
        <v>32</v>
      </c>
      <c r="Z305" s="4" t="s">
        <v>32</v>
      </c>
      <c r="AA305" s="4" t="s">
        <v>32</v>
      </c>
    </row>
    <row r="306" s="4" customFormat="1" spans="1:27">
      <c r="A306" s="4" t="s">
        <v>106</v>
      </c>
      <c r="B306" s="4" t="s">
        <v>28</v>
      </c>
      <c r="C306" s="4">
        <v>13286485</v>
      </c>
      <c r="D306" s="19">
        <v>254795623956</v>
      </c>
      <c r="E306" s="21">
        <v>45482.3870949074</v>
      </c>
      <c r="F306" s="4">
        <v>412.56</v>
      </c>
      <c r="G306" s="4">
        <v>0.26</v>
      </c>
      <c r="H306" s="4">
        <v>412.29</v>
      </c>
      <c r="I306" s="4">
        <v>24.57</v>
      </c>
      <c r="J306" s="4">
        <v>0.26</v>
      </c>
      <c r="K306" s="4">
        <v>24.31</v>
      </c>
      <c r="L306" s="4">
        <v>60.67</v>
      </c>
      <c r="M306" s="4">
        <v>8069</v>
      </c>
      <c r="N306" s="4">
        <v>9.56</v>
      </c>
      <c r="O306" s="4">
        <v>1272.05</v>
      </c>
      <c r="P306" s="4" t="s">
        <v>29</v>
      </c>
      <c r="Q306" s="4" t="s">
        <v>30</v>
      </c>
      <c r="R306" s="4" t="s">
        <v>109</v>
      </c>
      <c r="S306" s="4">
        <v>0</v>
      </c>
      <c r="T306" s="4">
        <v>60</v>
      </c>
      <c r="U306" s="4">
        <v>0</v>
      </c>
      <c r="V306" s="4" t="s">
        <v>32</v>
      </c>
      <c r="W306" s="4" t="s">
        <v>32</v>
      </c>
      <c r="X306" s="4" t="s">
        <v>32</v>
      </c>
      <c r="Y306" s="4" t="s">
        <v>32</v>
      </c>
      <c r="Z306" s="4" t="s">
        <v>32</v>
      </c>
      <c r="AA306" s="4" t="s">
        <v>32</v>
      </c>
    </row>
    <row r="307" s="4" customFormat="1" spans="1:27">
      <c r="A307" s="4" t="s">
        <v>106</v>
      </c>
      <c r="B307" s="4" t="s">
        <v>28</v>
      </c>
      <c r="C307" s="4">
        <v>22655294</v>
      </c>
      <c r="D307" s="19">
        <v>254795737756</v>
      </c>
      <c r="E307" s="21">
        <v>46141.8921759259</v>
      </c>
      <c r="F307" s="4">
        <v>1820.84</v>
      </c>
      <c r="G307" s="4">
        <v>0.08</v>
      </c>
      <c r="H307" s="4">
        <v>1820.76</v>
      </c>
      <c r="I307" s="4">
        <v>247.14</v>
      </c>
      <c r="J307" s="4">
        <v>-0.68</v>
      </c>
      <c r="K307" s="4">
        <v>247.82</v>
      </c>
      <c r="L307" s="4">
        <v>259.4</v>
      </c>
      <c r="M307" s="4">
        <v>34500</v>
      </c>
      <c r="N307" s="4">
        <v>246.43</v>
      </c>
      <c r="O307" s="4">
        <v>32775</v>
      </c>
      <c r="P307" s="4" t="s">
        <v>34</v>
      </c>
      <c r="Q307" s="4" t="s">
        <v>30</v>
      </c>
      <c r="R307" s="4" t="s">
        <v>109</v>
      </c>
      <c r="S307" s="4">
        <v>0</v>
      </c>
      <c r="T307" s="4">
        <v>1640</v>
      </c>
      <c r="U307" s="4">
        <v>0</v>
      </c>
      <c r="V307" s="4" t="s">
        <v>32</v>
      </c>
      <c r="W307" s="4" t="s">
        <v>32</v>
      </c>
      <c r="X307" s="4" t="s">
        <v>32</v>
      </c>
      <c r="Y307" s="4" t="s">
        <v>32</v>
      </c>
      <c r="Z307" s="4" t="s">
        <v>32</v>
      </c>
      <c r="AA307" s="4" t="s">
        <v>32</v>
      </c>
    </row>
    <row r="308" s="4" customFormat="1" spans="1:27">
      <c r="A308" s="4" t="s">
        <v>106</v>
      </c>
      <c r="B308" s="4" t="s">
        <v>28</v>
      </c>
      <c r="C308" s="4">
        <v>3344514</v>
      </c>
      <c r="D308" s="19">
        <v>254796505030</v>
      </c>
      <c r="E308" s="21">
        <v>44184.6665509259</v>
      </c>
      <c r="F308" s="4">
        <v>1201.13</v>
      </c>
      <c r="G308" s="4">
        <v>0.41</v>
      </c>
      <c r="H308" s="4">
        <v>1200.71</v>
      </c>
      <c r="I308" s="4">
        <v>25.56</v>
      </c>
      <c r="J308" s="4">
        <v>0.41</v>
      </c>
      <c r="K308" s="4">
        <v>25.15</v>
      </c>
      <c r="L308" s="4">
        <v>168.38</v>
      </c>
      <c r="M308" s="4">
        <v>22394</v>
      </c>
      <c r="N308" s="4">
        <v>158.76</v>
      </c>
      <c r="O308" s="4">
        <v>21115.65</v>
      </c>
      <c r="P308" s="4" t="s">
        <v>34</v>
      </c>
      <c r="Q308" s="4" t="s">
        <v>30</v>
      </c>
      <c r="R308" s="4" t="s">
        <v>109</v>
      </c>
      <c r="S308" s="4">
        <v>0</v>
      </c>
      <c r="T308" s="4">
        <v>1060</v>
      </c>
      <c r="U308" s="4">
        <v>0</v>
      </c>
      <c r="V308" s="4" t="s">
        <v>32</v>
      </c>
      <c r="W308" s="4" t="s">
        <v>32</v>
      </c>
      <c r="X308" s="4" t="s">
        <v>32</v>
      </c>
      <c r="Y308" s="4" t="s">
        <v>32</v>
      </c>
      <c r="Z308" s="4" t="s">
        <v>32</v>
      </c>
      <c r="AA308" s="4" t="s">
        <v>32</v>
      </c>
    </row>
    <row r="309" s="4" customFormat="1" spans="1:27">
      <c r="A309" s="4" t="s">
        <v>106</v>
      </c>
      <c r="B309" s="4" t="s">
        <v>28</v>
      </c>
      <c r="C309" s="4">
        <v>22715444</v>
      </c>
      <c r="D309" s="19">
        <v>254797052609</v>
      </c>
      <c r="E309" s="21">
        <v>46145.7092361111</v>
      </c>
      <c r="F309" s="4">
        <v>127.38</v>
      </c>
      <c r="G309" s="4">
        <v>0</v>
      </c>
      <c r="H309" s="4">
        <v>127.38</v>
      </c>
      <c r="I309" s="4">
        <v>47.64</v>
      </c>
      <c r="J309" s="4">
        <v>0</v>
      </c>
      <c r="K309" s="4">
        <v>47.64</v>
      </c>
      <c r="L309" s="4">
        <v>50.15</v>
      </c>
      <c r="M309" s="4">
        <v>6670</v>
      </c>
      <c r="N309" s="4">
        <v>47.64</v>
      </c>
      <c r="O309" s="4">
        <v>6336.5</v>
      </c>
      <c r="P309" s="4" t="s">
        <v>29</v>
      </c>
      <c r="Q309" s="4" t="s">
        <v>30</v>
      </c>
      <c r="R309" s="4" t="s">
        <v>109</v>
      </c>
      <c r="S309" s="4">
        <v>0</v>
      </c>
      <c r="T309" s="4">
        <v>320</v>
      </c>
      <c r="U309" s="4">
        <v>0</v>
      </c>
      <c r="V309" s="4" t="s">
        <v>32</v>
      </c>
      <c r="W309" s="4" t="s">
        <v>32</v>
      </c>
      <c r="X309" s="4" t="s">
        <v>32</v>
      </c>
      <c r="Y309" s="4" t="s">
        <v>32</v>
      </c>
      <c r="Z309" s="4" t="s">
        <v>32</v>
      </c>
      <c r="AA309" s="4" t="s">
        <v>32</v>
      </c>
    </row>
    <row r="310" s="4" customFormat="1" spans="1:27">
      <c r="A310" s="4" t="s">
        <v>106</v>
      </c>
      <c r="B310" s="4" t="s">
        <v>28</v>
      </c>
      <c r="C310" s="4">
        <v>3104195</v>
      </c>
      <c r="D310" s="19">
        <v>254797918018</v>
      </c>
      <c r="E310" s="21">
        <v>44138.9573263889</v>
      </c>
      <c r="F310" s="4">
        <v>2542.27</v>
      </c>
      <c r="G310" s="4">
        <v>0.38</v>
      </c>
      <c r="H310" s="4">
        <v>2541.89</v>
      </c>
      <c r="I310" s="4">
        <v>158.45</v>
      </c>
      <c r="J310" s="4">
        <v>0.38</v>
      </c>
      <c r="K310" s="4">
        <v>158.07</v>
      </c>
      <c r="L310" s="4">
        <v>1070.68</v>
      </c>
      <c r="M310" s="4">
        <v>142400</v>
      </c>
      <c r="N310" s="4">
        <v>614.29</v>
      </c>
      <c r="O310" s="4">
        <v>81700</v>
      </c>
      <c r="P310" s="4" t="s">
        <v>34</v>
      </c>
      <c r="Q310" s="4" t="s">
        <v>33</v>
      </c>
      <c r="R310" s="4" t="s">
        <v>109</v>
      </c>
      <c r="S310" s="4">
        <v>0</v>
      </c>
      <c r="T310" s="4">
        <v>4080</v>
      </c>
      <c r="U310" s="4">
        <v>0</v>
      </c>
      <c r="V310" s="4" t="s">
        <v>32</v>
      </c>
      <c r="W310" s="4" t="s">
        <v>32</v>
      </c>
      <c r="X310" s="4" t="s">
        <v>32</v>
      </c>
      <c r="Y310" s="4" t="s">
        <v>32</v>
      </c>
      <c r="Z310" s="4" t="s">
        <v>32</v>
      </c>
      <c r="AA310" s="4" t="s">
        <v>32</v>
      </c>
    </row>
    <row r="311" s="4" customFormat="1" spans="1:27">
      <c r="A311" s="4" t="s">
        <v>106</v>
      </c>
      <c r="B311" s="4" t="s">
        <v>28</v>
      </c>
      <c r="C311" s="4">
        <v>12158784</v>
      </c>
      <c r="D311" s="19">
        <v>254798240212</v>
      </c>
      <c r="E311" s="21">
        <v>45317.3774305556</v>
      </c>
      <c r="F311" s="4">
        <v>1220.24</v>
      </c>
      <c r="G311" s="4">
        <v>0.02</v>
      </c>
      <c r="H311" s="4">
        <v>1220.21</v>
      </c>
      <c r="I311" s="4">
        <v>102.76</v>
      </c>
      <c r="J311" s="4">
        <v>-0.02</v>
      </c>
      <c r="K311" s="4">
        <v>102.78</v>
      </c>
      <c r="L311" s="4">
        <v>140.6</v>
      </c>
      <c r="M311" s="4">
        <v>18700</v>
      </c>
      <c r="N311" s="4">
        <v>62.86</v>
      </c>
      <c r="O311" s="4">
        <v>8360</v>
      </c>
      <c r="P311" s="4" t="s">
        <v>34</v>
      </c>
      <c r="Q311" s="4" t="s">
        <v>30</v>
      </c>
      <c r="R311" s="4" t="s">
        <v>109</v>
      </c>
      <c r="S311" s="4">
        <v>0</v>
      </c>
      <c r="T311" s="4">
        <v>420</v>
      </c>
      <c r="U311" s="4">
        <v>0</v>
      </c>
      <c r="V311" s="4" t="s">
        <v>32</v>
      </c>
      <c r="W311" s="4" t="s">
        <v>32</v>
      </c>
      <c r="X311" s="4" t="s">
        <v>32</v>
      </c>
      <c r="Y311" s="4" t="s">
        <v>32</v>
      </c>
      <c r="Z311" s="4" t="s">
        <v>32</v>
      </c>
      <c r="AA311" s="4" t="s">
        <v>32</v>
      </c>
    </row>
    <row r="312" s="4" customFormat="1" spans="1:27">
      <c r="A312" s="4" t="s">
        <v>106</v>
      </c>
      <c r="B312" s="4" t="s">
        <v>28</v>
      </c>
      <c r="C312" s="4">
        <v>19846494</v>
      </c>
      <c r="D312" s="19">
        <v>254798540573</v>
      </c>
      <c r="E312" s="21">
        <v>45993.5024768518</v>
      </c>
      <c r="F312" s="4">
        <v>890.05</v>
      </c>
      <c r="G312" s="4">
        <v>0</v>
      </c>
      <c r="H312" s="4">
        <v>890.05</v>
      </c>
      <c r="I312" s="4">
        <v>55.3</v>
      </c>
      <c r="J312" s="4">
        <v>0</v>
      </c>
      <c r="K312" s="4">
        <v>55.3</v>
      </c>
      <c r="L312" s="4">
        <v>154.65</v>
      </c>
      <c r="M312" s="4">
        <v>20569</v>
      </c>
      <c r="N312" s="4">
        <v>27.66</v>
      </c>
      <c r="O312" s="4">
        <v>3679.35</v>
      </c>
      <c r="P312" s="4" t="s">
        <v>29</v>
      </c>
      <c r="Q312" s="4" t="s">
        <v>30</v>
      </c>
      <c r="R312" s="4" t="s">
        <v>109</v>
      </c>
      <c r="S312" s="4">
        <v>0</v>
      </c>
      <c r="T312" s="4">
        <v>180</v>
      </c>
      <c r="U312" s="4">
        <v>0</v>
      </c>
      <c r="V312" s="4" t="s">
        <v>32</v>
      </c>
      <c r="W312" s="4" t="s">
        <v>32</v>
      </c>
      <c r="X312" s="4" t="s">
        <v>32</v>
      </c>
      <c r="Y312" s="4" t="s">
        <v>32</v>
      </c>
      <c r="Z312" s="4" t="s">
        <v>32</v>
      </c>
      <c r="AA312" s="4" t="s">
        <v>32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59"/>
  <sheetViews>
    <sheetView topLeftCell="A88" workbookViewId="0">
      <selection activeCell="R99" sqref="R99:R116"/>
    </sheetView>
  </sheetViews>
  <sheetFormatPr defaultColWidth="9" defaultRowHeight="13.5"/>
  <cols>
    <col min="1" max="1" width="10.4955752212389" customWidth="1"/>
    <col min="4" max="4" width="18.3893805309735" style="16"/>
  </cols>
  <sheetData>
    <row r="1" s="18" customFormat="1" spans="1:27">
      <c r="A1" s="18" t="s">
        <v>0</v>
      </c>
      <c r="B1" s="18" t="s">
        <v>1</v>
      </c>
      <c r="C1" s="18" t="s">
        <v>2</v>
      </c>
      <c r="D1" s="17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</row>
    <row r="2" s="18" customFormat="1" spans="1:27">
      <c r="A2" s="18" t="s">
        <v>27</v>
      </c>
      <c r="B2" s="18" t="s">
        <v>28</v>
      </c>
      <c r="C2" s="18">
        <v>12428778</v>
      </c>
      <c r="D2" s="17">
        <v>254113050746</v>
      </c>
      <c r="E2" s="20">
        <v>45357.6865162037</v>
      </c>
      <c r="F2" s="18">
        <v>1760.57</v>
      </c>
      <c r="G2" s="18">
        <v>3.45</v>
      </c>
      <c r="H2" s="18">
        <v>1757.12</v>
      </c>
      <c r="I2" s="18">
        <v>107.09</v>
      </c>
      <c r="J2" s="18">
        <v>3.44</v>
      </c>
      <c r="K2" s="18">
        <v>103.65</v>
      </c>
      <c r="L2" s="18">
        <v>264.86</v>
      </c>
      <c r="M2" s="18">
        <v>35227</v>
      </c>
      <c r="N2" s="18">
        <v>127.18</v>
      </c>
      <c r="O2" s="18">
        <v>16914.94</v>
      </c>
      <c r="P2" s="18" t="s">
        <v>29</v>
      </c>
      <c r="Q2" s="18" t="s">
        <v>30</v>
      </c>
      <c r="R2" s="18" t="s">
        <v>162</v>
      </c>
      <c r="S2" s="18">
        <v>0</v>
      </c>
      <c r="T2" s="18">
        <v>1760</v>
      </c>
      <c r="U2" s="18">
        <v>0</v>
      </c>
      <c r="V2" s="18" t="s">
        <v>32</v>
      </c>
      <c r="W2" s="18" t="s">
        <v>32</v>
      </c>
      <c r="X2" s="18" t="s">
        <v>32</v>
      </c>
      <c r="Y2" s="18" t="s">
        <v>32</v>
      </c>
      <c r="Z2" s="18" t="s">
        <v>32</v>
      </c>
      <c r="AA2" s="18" t="s">
        <v>32</v>
      </c>
    </row>
    <row r="3" s="18" customFormat="1" spans="1:27">
      <c r="A3" s="18" t="s">
        <v>27</v>
      </c>
      <c r="B3" s="18" t="s">
        <v>28</v>
      </c>
      <c r="C3" s="18">
        <v>14748248</v>
      </c>
      <c r="D3" s="17">
        <v>254114737055</v>
      </c>
      <c r="E3" s="20">
        <v>45615.8725347222</v>
      </c>
      <c r="F3" s="18">
        <v>765.99</v>
      </c>
      <c r="G3" s="18">
        <v>36.08</v>
      </c>
      <c r="H3" s="18">
        <v>729.91</v>
      </c>
      <c r="I3" s="18">
        <v>27.59</v>
      </c>
      <c r="J3" s="18">
        <v>4.1</v>
      </c>
      <c r="K3" s="18">
        <v>23.49</v>
      </c>
      <c r="L3" s="18">
        <v>136.32</v>
      </c>
      <c r="M3" s="18">
        <v>18130</v>
      </c>
      <c r="N3" s="18">
        <v>10.61</v>
      </c>
      <c r="O3" s="18">
        <v>1411.13</v>
      </c>
      <c r="P3" s="18" t="s">
        <v>34</v>
      </c>
      <c r="Q3" s="18" t="s">
        <v>30</v>
      </c>
      <c r="R3" s="18" t="s">
        <v>162</v>
      </c>
      <c r="S3" s="18">
        <v>0</v>
      </c>
      <c r="T3" s="18">
        <v>910</v>
      </c>
      <c r="U3" s="18">
        <v>0</v>
      </c>
      <c r="V3" s="18" t="s">
        <v>32</v>
      </c>
      <c r="W3" s="18" t="s">
        <v>32</v>
      </c>
      <c r="X3" s="18" t="s">
        <v>32</v>
      </c>
      <c r="Y3" s="18" t="s">
        <v>32</v>
      </c>
      <c r="Z3" s="18" t="s">
        <v>32</v>
      </c>
      <c r="AA3" s="18" t="s">
        <v>32</v>
      </c>
    </row>
    <row r="4" s="18" customFormat="1" spans="1:27">
      <c r="A4" s="18" t="s">
        <v>27</v>
      </c>
      <c r="B4" s="18" t="s">
        <v>28</v>
      </c>
      <c r="C4" s="18">
        <v>13159217</v>
      </c>
      <c r="D4" s="17">
        <v>254115141583</v>
      </c>
      <c r="E4" s="20">
        <v>45456.3847569444</v>
      </c>
      <c r="F4" s="18">
        <v>181.5</v>
      </c>
      <c r="G4" s="18">
        <v>0.26</v>
      </c>
      <c r="H4" s="18">
        <v>181.24</v>
      </c>
      <c r="I4" s="18">
        <v>37.72</v>
      </c>
      <c r="J4" s="18">
        <v>0.26</v>
      </c>
      <c r="K4" s="18">
        <v>37.46</v>
      </c>
      <c r="L4" s="18">
        <v>96.32</v>
      </c>
      <c r="M4" s="18">
        <v>12811</v>
      </c>
      <c r="N4" s="18">
        <v>2.37</v>
      </c>
      <c r="O4" s="18">
        <v>315.21</v>
      </c>
      <c r="P4" s="18" t="s">
        <v>29</v>
      </c>
      <c r="Q4" s="18" t="s">
        <v>30</v>
      </c>
      <c r="R4" s="18" t="s">
        <v>162</v>
      </c>
      <c r="S4" s="18">
        <v>0</v>
      </c>
      <c r="T4" s="18">
        <v>640</v>
      </c>
      <c r="U4" s="18">
        <v>0</v>
      </c>
      <c r="V4" s="18" t="s">
        <v>32</v>
      </c>
      <c r="W4" s="18" t="s">
        <v>32</v>
      </c>
      <c r="X4" s="18" t="s">
        <v>32</v>
      </c>
      <c r="Y4" s="18" t="s">
        <v>32</v>
      </c>
      <c r="Z4" s="18" t="s">
        <v>32</v>
      </c>
      <c r="AA4" s="18" t="s">
        <v>32</v>
      </c>
    </row>
    <row r="5" s="18" customFormat="1" spans="1:27">
      <c r="A5" s="18" t="s">
        <v>27</v>
      </c>
      <c r="B5" s="18" t="s">
        <v>28</v>
      </c>
      <c r="C5" s="18">
        <v>22047716</v>
      </c>
      <c r="D5" s="17">
        <v>254140302868</v>
      </c>
      <c r="E5" s="20">
        <v>46104.6459375</v>
      </c>
      <c r="F5" s="18">
        <v>324.22</v>
      </c>
      <c r="G5" s="18">
        <v>17.84</v>
      </c>
      <c r="H5" s="18">
        <v>306.38</v>
      </c>
      <c r="I5" s="18">
        <v>-19.05</v>
      </c>
      <c r="J5" s="18">
        <v>5.4</v>
      </c>
      <c r="K5" s="18">
        <v>-24.44</v>
      </c>
      <c r="L5" s="18">
        <v>63.23</v>
      </c>
      <c r="M5" s="18">
        <v>8410</v>
      </c>
      <c r="N5" s="18">
        <v>60.07</v>
      </c>
      <c r="O5" s="18">
        <v>7989.31</v>
      </c>
      <c r="P5" s="18" t="s">
        <v>34</v>
      </c>
      <c r="Q5" s="18" t="s">
        <v>30</v>
      </c>
      <c r="R5" s="18" t="s">
        <v>162</v>
      </c>
      <c r="S5" s="18">
        <v>0</v>
      </c>
      <c r="T5" s="18">
        <v>420</v>
      </c>
      <c r="U5" s="18">
        <v>0</v>
      </c>
      <c r="V5" s="18" t="s">
        <v>32</v>
      </c>
      <c r="W5" s="18" t="s">
        <v>32</v>
      </c>
      <c r="X5" s="18" t="s">
        <v>32</v>
      </c>
      <c r="Y5" s="18" t="s">
        <v>32</v>
      </c>
      <c r="Z5" s="18" t="s">
        <v>32</v>
      </c>
      <c r="AA5" s="18" t="s">
        <v>32</v>
      </c>
    </row>
    <row r="6" s="18" customFormat="1" spans="1:27">
      <c r="A6" s="18" t="s">
        <v>27</v>
      </c>
      <c r="B6" s="18" t="s">
        <v>28</v>
      </c>
      <c r="C6" s="18">
        <v>22918699</v>
      </c>
      <c r="D6" s="17">
        <v>254140326664</v>
      </c>
      <c r="E6" s="20">
        <v>46160.2026041667</v>
      </c>
      <c r="F6" s="18">
        <v>2.11</v>
      </c>
      <c r="G6" s="18">
        <v>0</v>
      </c>
      <c r="H6" s="18">
        <v>2.11</v>
      </c>
      <c r="I6" s="18">
        <v>2.11</v>
      </c>
      <c r="J6" s="18">
        <v>0</v>
      </c>
      <c r="K6" s="18">
        <v>2.11</v>
      </c>
      <c r="L6" s="18">
        <v>223.83</v>
      </c>
      <c r="M6" s="18">
        <v>29770</v>
      </c>
      <c r="N6" s="18">
        <v>212.64</v>
      </c>
      <c r="O6" s="18">
        <v>28281.12</v>
      </c>
      <c r="P6" s="18" t="s">
        <v>29</v>
      </c>
      <c r="Q6" s="18" t="s">
        <v>30</v>
      </c>
      <c r="R6" s="18" t="s">
        <v>162</v>
      </c>
      <c r="S6" s="18">
        <v>0</v>
      </c>
      <c r="T6" s="18">
        <v>1490</v>
      </c>
      <c r="U6" s="18">
        <v>0</v>
      </c>
      <c r="V6" s="18" t="s">
        <v>32</v>
      </c>
      <c r="W6" s="18" t="s">
        <v>32</v>
      </c>
      <c r="X6" s="18" t="s">
        <v>32</v>
      </c>
      <c r="Y6" s="18" t="s">
        <v>32</v>
      </c>
      <c r="Z6" s="18" t="s">
        <v>32</v>
      </c>
      <c r="AA6" s="18" t="s">
        <v>32</v>
      </c>
    </row>
    <row r="7" s="18" customFormat="1" spans="1:27">
      <c r="A7" s="18" t="s">
        <v>27</v>
      </c>
      <c r="B7" s="18" t="s">
        <v>28</v>
      </c>
      <c r="C7" s="18">
        <v>13977406</v>
      </c>
      <c r="D7" s="17">
        <v>254700013083</v>
      </c>
      <c r="E7" s="20">
        <v>45567.5864930555</v>
      </c>
      <c r="F7" s="18">
        <v>2341.03</v>
      </c>
      <c r="G7" s="18">
        <v>0</v>
      </c>
      <c r="H7" s="18">
        <v>2341.03</v>
      </c>
      <c r="I7" s="18">
        <v>-0.37</v>
      </c>
      <c r="J7" s="18">
        <v>0</v>
      </c>
      <c r="K7" s="18">
        <v>-0.37</v>
      </c>
      <c r="L7" s="18">
        <v>439.8</v>
      </c>
      <c r="M7" s="18">
        <v>58494</v>
      </c>
      <c r="N7" s="18">
        <v>113.16</v>
      </c>
      <c r="O7" s="18">
        <v>15050.28</v>
      </c>
      <c r="P7" s="18" t="s">
        <v>29</v>
      </c>
      <c r="Q7" s="18" t="s">
        <v>30</v>
      </c>
      <c r="R7" s="18" t="s">
        <v>162</v>
      </c>
      <c r="S7" s="18">
        <v>0</v>
      </c>
      <c r="T7" s="18">
        <v>2920</v>
      </c>
      <c r="U7" s="18">
        <v>0</v>
      </c>
      <c r="V7" s="18" t="s">
        <v>32</v>
      </c>
      <c r="W7" s="18" t="s">
        <v>32</v>
      </c>
      <c r="X7" s="18" t="s">
        <v>32</v>
      </c>
      <c r="Y7" s="18" t="s">
        <v>32</v>
      </c>
      <c r="Z7" s="18" t="s">
        <v>32</v>
      </c>
      <c r="AA7" s="18" t="s">
        <v>32</v>
      </c>
    </row>
    <row r="8" s="18" customFormat="1" spans="1:27">
      <c r="A8" s="18" t="s">
        <v>27</v>
      </c>
      <c r="B8" s="18" t="s">
        <v>28</v>
      </c>
      <c r="C8" s="18">
        <v>20276979</v>
      </c>
      <c r="D8" s="17">
        <v>254700114311</v>
      </c>
      <c r="E8" s="20">
        <v>46014.5071990741</v>
      </c>
      <c r="F8" s="18">
        <v>429.86</v>
      </c>
      <c r="G8" s="18">
        <v>0.08</v>
      </c>
      <c r="H8" s="18">
        <v>429.78</v>
      </c>
      <c r="I8" s="18">
        <v>71.76</v>
      </c>
      <c r="J8" s="18">
        <v>0.08</v>
      </c>
      <c r="K8" s="18">
        <v>71.68</v>
      </c>
      <c r="L8" s="18">
        <v>87.2</v>
      </c>
      <c r="M8" s="18">
        <v>11598</v>
      </c>
      <c r="N8" s="18">
        <v>16.11</v>
      </c>
      <c r="O8" s="18">
        <v>2142.63</v>
      </c>
      <c r="P8" s="18" t="s">
        <v>29</v>
      </c>
      <c r="Q8" s="18" t="s">
        <v>30</v>
      </c>
      <c r="R8" s="18" t="s">
        <v>162</v>
      </c>
      <c r="S8" s="18">
        <v>0</v>
      </c>
      <c r="T8" s="18">
        <v>580</v>
      </c>
      <c r="U8" s="18">
        <v>0</v>
      </c>
      <c r="V8" s="18" t="s">
        <v>32</v>
      </c>
      <c r="W8" s="18" t="s">
        <v>32</v>
      </c>
      <c r="X8" s="18" t="s">
        <v>32</v>
      </c>
      <c r="Y8" s="18" t="s">
        <v>32</v>
      </c>
      <c r="Z8" s="18" t="s">
        <v>32</v>
      </c>
      <c r="AA8" s="18" t="s">
        <v>32</v>
      </c>
    </row>
    <row r="9" s="18" customFormat="1" spans="1:27">
      <c r="A9" s="18" t="s">
        <v>27</v>
      </c>
      <c r="B9" s="18" t="s">
        <v>28</v>
      </c>
      <c r="C9" s="18">
        <v>3173117</v>
      </c>
      <c r="D9" s="17">
        <v>254701247018</v>
      </c>
      <c r="E9" s="20">
        <v>44146.3823148148</v>
      </c>
      <c r="F9" s="18">
        <v>588.26</v>
      </c>
      <c r="G9" s="18">
        <v>0.97</v>
      </c>
      <c r="H9" s="18">
        <v>587.29</v>
      </c>
      <c r="I9" s="18">
        <v>25.4</v>
      </c>
      <c r="J9" s="18">
        <v>0.97</v>
      </c>
      <c r="K9" s="18">
        <v>24.43</v>
      </c>
      <c r="L9" s="18">
        <v>115.35</v>
      </c>
      <c r="M9" s="18">
        <v>15341</v>
      </c>
      <c r="N9" s="18">
        <v>0</v>
      </c>
      <c r="O9" s="18">
        <v>0</v>
      </c>
      <c r="P9" s="18" t="s">
        <v>29</v>
      </c>
      <c r="Q9" s="18" t="s">
        <v>30</v>
      </c>
      <c r="R9" s="18" t="s">
        <v>162</v>
      </c>
      <c r="S9" s="18">
        <v>0</v>
      </c>
      <c r="T9" s="18">
        <v>770</v>
      </c>
      <c r="U9" s="18">
        <v>0</v>
      </c>
      <c r="V9" s="18" t="s">
        <v>32</v>
      </c>
      <c r="W9" s="18" t="s">
        <v>32</v>
      </c>
      <c r="X9" s="18" t="s">
        <v>32</v>
      </c>
      <c r="Y9" s="18" t="s">
        <v>32</v>
      </c>
      <c r="Z9" s="18" t="s">
        <v>32</v>
      </c>
      <c r="AA9" s="18" t="s">
        <v>32</v>
      </c>
    </row>
    <row r="10" s="18" customFormat="1" spans="1:27">
      <c r="A10" s="18" t="s">
        <v>27</v>
      </c>
      <c r="B10" s="18" t="s">
        <v>28</v>
      </c>
      <c r="C10" s="18">
        <v>14519156</v>
      </c>
      <c r="D10" s="17">
        <v>254701620426</v>
      </c>
      <c r="E10" s="20">
        <v>45603.7543634259</v>
      </c>
      <c r="F10" s="18">
        <v>571.5</v>
      </c>
      <c r="G10" s="18">
        <v>19.26</v>
      </c>
      <c r="H10" s="18">
        <v>552.24</v>
      </c>
      <c r="I10" s="18">
        <v>-17.12</v>
      </c>
      <c r="J10" s="18">
        <v>16.76</v>
      </c>
      <c r="K10" s="18">
        <v>-33.88</v>
      </c>
      <c r="L10" s="18">
        <v>168.49</v>
      </c>
      <c r="M10" s="18">
        <v>22409</v>
      </c>
      <c r="N10" s="18">
        <v>0</v>
      </c>
      <c r="O10" s="18">
        <v>0</v>
      </c>
      <c r="P10" s="18" t="s">
        <v>34</v>
      </c>
      <c r="Q10" s="18" t="s">
        <v>30</v>
      </c>
      <c r="R10" s="18" t="s">
        <v>162</v>
      </c>
      <c r="S10" s="18">
        <v>0</v>
      </c>
      <c r="T10" s="18">
        <v>1120</v>
      </c>
      <c r="U10" s="18">
        <v>0</v>
      </c>
      <c r="V10" s="18" t="s">
        <v>32</v>
      </c>
      <c r="W10" s="18" t="s">
        <v>32</v>
      </c>
      <c r="X10" s="18" t="s">
        <v>32</v>
      </c>
      <c r="Y10" s="18" t="s">
        <v>32</v>
      </c>
      <c r="Z10" s="18" t="s">
        <v>32</v>
      </c>
      <c r="AA10" s="18" t="s">
        <v>32</v>
      </c>
    </row>
    <row r="11" s="18" customFormat="1" spans="1:27">
      <c r="A11" s="18" t="s">
        <v>27</v>
      </c>
      <c r="B11" s="18" t="s">
        <v>28</v>
      </c>
      <c r="C11" s="18">
        <v>16937348</v>
      </c>
      <c r="D11" s="17">
        <v>254702723630</v>
      </c>
      <c r="E11" s="20">
        <v>45817.2790162037</v>
      </c>
      <c r="F11" s="18">
        <v>603.01</v>
      </c>
      <c r="G11" s="18">
        <v>0</v>
      </c>
      <c r="H11" s="18">
        <v>603.01</v>
      </c>
      <c r="I11" s="18">
        <v>21.37</v>
      </c>
      <c r="J11" s="18">
        <v>0</v>
      </c>
      <c r="K11" s="18">
        <v>21.37</v>
      </c>
      <c r="L11" s="18">
        <v>97.29</v>
      </c>
      <c r="M11" s="18">
        <v>12940</v>
      </c>
      <c r="N11" s="18">
        <v>0</v>
      </c>
      <c r="O11" s="18">
        <v>0</v>
      </c>
      <c r="P11" s="18" t="s">
        <v>34</v>
      </c>
      <c r="Q11" s="18" t="s">
        <v>30</v>
      </c>
      <c r="R11" s="18" t="s">
        <v>162</v>
      </c>
      <c r="S11" s="18">
        <v>0</v>
      </c>
      <c r="T11" s="18">
        <v>650</v>
      </c>
      <c r="U11" s="18">
        <v>0</v>
      </c>
      <c r="V11" s="18" t="s">
        <v>32</v>
      </c>
      <c r="W11" s="18" t="s">
        <v>32</v>
      </c>
      <c r="X11" s="18" t="s">
        <v>32</v>
      </c>
      <c r="Y11" s="18" t="s">
        <v>32</v>
      </c>
      <c r="Z11" s="18" t="s">
        <v>32</v>
      </c>
      <c r="AA11" s="18" t="s">
        <v>32</v>
      </c>
    </row>
    <row r="12" s="18" customFormat="1" spans="1:27">
      <c r="A12" s="18" t="s">
        <v>27</v>
      </c>
      <c r="B12" s="18" t="s">
        <v>28</v>
      </c>
      <c r="C12" s="18">
        <v>13783887</v>
      </c>
      <c r="D12" s="17">
        <v>254704359713</v>
      </c>
      <c r="E12" s="20">
        <v>45555.5960185185</v>
      </c>
      <c r="F12" s="18">
        <v>1224.1</v>
      </c>
      <c r="G12" s="18">
        <v>226.03</v>
      </c>
      <c r="H12" s="18">
        <v>998.07</v>
      </c>
      <c r="I12" s="18">
        <v>170.61</v>
      </c>
      <c r="J12" s="18">
        <v>150.96</v>
      </c>
      <c r="K12" s="18">
        <v>19.65</v>
      </c>
      <c r="L12" s="18">
        <v>274.59</v>
      </c>
      <c r="M12" s="18">
        <v>36521</v>
      </c>
      <c r="N12" s="18">
        <v>28.23</v>
      </c>
      <c r="O12" s="18">
        <v>3754.59</v>
      </c>
      <c r="P12" s="18" t="s">
        <v>35</v>
      </c>
      <c r="Q12" s="18" t="s">
        <v>30</v>
      </c>
      <c r="R12" s="18" t="s">
        <v>162</v>
      </c>
      <c r="S12" s="18">
        <v>2000</v>
      </c>
      <c r="T12" s="18">
        <v>915</v>
      </c>
      <c r="U12" s="18">
        <v>0</v>
      </c>
      <c r="V12" s="18" t="s">
        <v>32</v>
      </c>
      <c r="W12" s="18" t="s">
        <v>32</v>
      </c>
      <c r="X12" s="18" t="s">
        <v>32</v>
      </c>
      <c r="Y12" s="18" t="s">
        <v>32</v>
      </c>
      <c r="Z12" s="18" t="s">
        <v>32</v>
      </c>
      <c r="AA12" s="18" t="s">
        <v>32</v>
      </c>
    </row>
    <row r="13" s="18" customFormat="1" spans="1:27">
      <c r="A13" s="18" t="s">
        <v>27</v>
      </c>
      <c r="B13" s="18" t="s">
        <v>28</v>
      </c>
      <c r="C13" s="18">
        <v>10427179</v>
      </c>
      <c r="D13" s="17">
        <v>254704668179</v>
      </c>
      <c r="E13" s="20">
        <v>45150.3459953704</v>
      </c>
      <c r="F13" s="18">
        <v>373.07</v>
      </c>
      <c r="G13" s="18">
        <v>0.26</v>
      </c>
      <c r="H13" s="18">
        <v>372.81</v>
      </c>
      <c r="I13" s="18">
        <v>22.61</v>
      </c>
      <c r="J13" s="18">
        <v>0.21</v>
      </c>
      <c r="K13" s="18">
        <v>22.4</v>
      </c>
      <c r="L13" s="18">
        <v>51.17</v>
      </c>
      <c r="M13" s="18">
        <v>6806</v>
      </c>
      <c r="N13" s="18">
        <v>27.16</v>
      </c>
      <c r="O13" s="18">
        <v>3612.28</v>
      </c>
      <c r="P13" s="18" t="s">
        <v>34</v>
      </c>
      <c r="Q13" s="18" t="s">
        <v>30</v>
      </c>
      <c r="R13" s="18" t="s">
        <v>162</v>
      </c>
      <c r="S13" s="18">
        <v>0</v>
      </c>
      <c r="T13" s="18">
        <v>340</v>
      </c>
      <c r="U13" s="18">
        <v>0</v>
      </c>
      <c r="V13" s="18" t="s">
        <v>32</v>
      </c>
      <c r="W13" s="18" t="s">
        <v>32</v>
      </c>
      <c r="X13" s="18" t="s">
        <v>32</v>
      </c>
      <c r="Y13" s="18" t="s">
        <v>32</v>
      </c>
      <c r="Z13" s="18" t="s">
        <v>32</v>
      </c>
      <c r="AA13" s="18" t="s">
        <v>32</v>
      </c>
    </row>
    <row r="14" s="18" customFormat="1" spans="1:27">
      <c r="A14" s="18" t="s">
        <v>27</v>
      </c>
      <c r="B14" s="18" t="s">
        <v>28</v>
      </c>
      <c r="C14" s="18">
        <v>18514898</v>
      </c>
      <c r="D14" s="17">
        <v>254705264647</v>
      </c>
      <c r="E14" s="20">
        <v>45917.4018171296</v>
      </c>
      <c r="F14" s="18">
        <v>195.53</v>
      </c>
      <c r="G14" s="18">
        <v>0</v>
      </c>
      <c r="H14" s="18">
        <v>195.53</v>
      </c>
      <c r="I14" s="18">
        <v>25.71</v>
      </c>
      <c r="J14" s="18">
        <v>0</v>
      </c>
      <c r="K14" s="18">
        <v>25.71</v>
      </c>
      <c r="L14" s="18">
        <v>69.59</v>
      </c>
      <c r="M14" s="18">
        <v>9256</v>
      </c>
      <c r="N14" s="18">
        <v>55.87</v>
      </c>
      <c r="O14" s="18">
        <v>7430.71</v>
      </c>
      <c r="P14" s="18" t="s">
        <v>29</v>
      </c>
      <c r="Q14" s="18" t="s">
        <v>30</v>
      </c>
      <c r="R14" s="18" t="s">
        <v>162</v>
      </c>
      <c r="S14" s="18">
        <v>0</v>
      </c>
      <c r="T14" s="18">
        <v>460</v>
      </c>
      <c r="U14" s="18">
        <v>0</v>
      </c>
      <c r="V14" s="18" t="s">
        <v>32</v>
      </c>
      <c r="W14" s="18" t="s">
        <v>32</v>
      </c>
      <c r="X14" s="18" t="s">
        <v>32</v>
      </c>
      <c r="Y14" s="18" t="s">
        <v>32</v>
      </c>
      <c r="Z14" s="18" t="s">
        <v>32</v>
      </c>
      <c r="AA14" s="18" t="s">
        <v>32</v>
      </c>
    </row>
    <row r="15" s="18" customFormat="1" spans="1:27">
      <c r="A15" s="18" t="s">
        <v>27</v>
      </c>
      <c r="B15" s="18" t="s">
        <v>28</v>
      </c>
      <c r="C15" s="18">
        <v>2282736</v>
      </c>
      <c r="D15" s="17">
        <v>254705284360</v>
      </c>
      <c r="E15" s="20">
        <v>44065.6852893519</v>
      </c>
      <c r="F15" s="18">
        <v>1914.11</v>
      </c>
      <c r="G15" s="18">
        <v>0.19</v>
      </c>
      <c r="H15" s="18">
        <v>1913.92</v>
      </c>
      <c r="I15" s="18">
        <v>-27.02</v>
      </c>
      <c r="J15" s="18">
        <v>-0.2</v>
      </c>
      <c r="K15" s="18">
        <v>-26.82</v>
      </c>
      <c r="L15" s="18">
        <v>342.56</v>
      </c>
      <c r="M15" s="18">
        <v>45561</v>
      </c>
      <c r="N15" s="18">
        <v>32.79</v>
      </c>
      <c r="O15" s="18">
        <v>4361.07</v>
      </c>
      <c r="P15" s="18" t="s">
        <v>34</v>
      </c>
      <c r="Q15" s="18" t="s">
        <v>30</v>
      </c>
      <c r="R15" s="18" t="s">
        <v>162</v>
      </c>
      <c r="S15" s="18">
        <v>0</v>
      </c>
      <c r="T15" s="18">
        <v>2280</v>
      </c>
      <c r="U15" s="18">
        <v>0</v>
      </c>
      <c r="V15" s="18" t="s">
        <v>32</v>
      </c>
      <c r="W15" s="18" t="s">
        <v>32</v>
      </c>
      <c r="X15" s="18" t="s">
        <v>32</v>
      </c>
      <c r="Y15" s="18" t="s">
        <v>32</v>
      </c>
      <c r="Z15" s="18" t="s">
        <v>32</v>
      </c>
      <c r="AA15" s="18" t="s">
        <v>32</v>
      </c>
    </row>
    <row r="16" s="18" customFormat="1" spans="1:27">
      <c r="A16" s="18" t="s">
        <v>27</v>
      </c>
      <c r="B16" s="18" t="s">
        <v>28</v>
      </c>
      <c r="C16" s="18">
        <v>11735859</v>
      </c>
      <c r="D16" s="17">
        <v>254705537358</v>
      </c>
      <c r="E16" s="20">
        <v>45280.0399421296</v>
      </c>
      <c r="F16" s="18">
        <v>161.08</v>
      </c>
      <c r="G16" s="18">
        <v>0.38</v>
      </c>
      <c r="H16" s="18">
        <v>160.7</v>
      </c>
      <c r="I16" s="18">
        <v>48.03</v>
      </c>
      <c r="J16" s="18">
        <v>0.38</v>
      </c>
      <c r="K16" s="18">
        <v>47.65</v>
      </c>
      <c r="L16" s="18">
        <v>50.38</v>
      </c>
      <c r="M16" s="18">
        <v>6700</v>
      </c>
      <c r="N16" s="18">
        <v>28.57</v>
      </c>
      <c r="O16" s="18">
        <v>3799.81</v>
      </c>
      <c r="P16" s="18" t="s">
        <v>34</v>
      </c>
      <c r="Q16" s="18" t="s">
        <v>30</v>
      </c>
      <c r="R16" s="18" t="s">
        <v>162</v>
      </c>
      <c r="S16" s="18">
        <v>0</v>
      </c>
      <c r="T16" s="18">
        <v>340</v>
      </c>
      <c r="U16" s="18">
        <v>0</v>
      </c>
      <c r="V16" s="18" t="s">
        <v>32</v>
      </c>
      <c r="W16" s="18" t="s">
        <v>32</v>
      </c>
      <c r="X16" s="18" t="s">
        <v>32</v>
      </c>
      <c r="Y16" s="18" t="s">
        <v>32</v>
      </c>
      <c r="Z16" s="18" t="s">
        <v>32</v>
      </c>
      <c r="AA16" s="18" t="s">
        <v>32</v>
      </c>
    </row>
    <row r="17" s="18" customFormat="1" spans="1:27">
      <c r="A17" s="18" t="s">
        <v>27</v>
      </c>
      <c r="B17" s="18" t="s">
        <v>28</v>
      </c>
      <c r="C17" s="18">
        <v>1856179</v>
      </c>
      <c r="D17" s="17">
        <v>254705990140</v>
      </c>
      <c r="E17" s="20">
        <v>44025.7790277778</v>
      </c>
      <c r="F17" s="18">
        <v>238.38</v>
      </c>
      <c r="G17" s="18">
        <v>30.11</v>
      </c>
      <c r="H17" s="18">
        <v>208.27</v>
      </c>
      <c r="I17" s="18">
        <v>65.92</v>
      </c>
      <c r="J17" s="18">
        <v>26.58</v>
      </c>
      <c r="K17" s="18">
        <v>39.34</v>
      </c>
      <c r="L17" s="18">
        <v>115.42</v>
      </c>
      <c r="M17" s="18">
        <v>15351</v>
      </c>
      <c r="N17" s="18">
        <v>55.61</v>
      </c>
      <c r="O17" s="18">
        <v>7396.13</v>
      </c>
      <c r="P17" s="18" t="s">
        <v>35</v>
      </c>
      <c r="Q17" s="18" t="s">
        <v>30</v>
      </c>
      <c r="R17" s="18" t="s">
        <v>162</v>
      </c>
      <c r="S17" s="18">
        <v>2000</v>
      </c>
      <c r="T17" s="18">
        <v>385</v>
      </c>
      <c r="U17" s="18">
        <v>0</v>
      </c>
      <c r="V17" s="18" t="s">
        <v>32</v>
      </c>
      <c r="W17" s="18" t="s">
        <v>32</v>
      </c>
      <c r="X17" s="18" t="s">
        <v>32</v>
      </c>
      <c r="Y17" s="18" t="s">
        <v>32</v>
      </c>
      <c r="Z17" s="18" t="s">
        <v>32</v>
      </c>
      <c r="AA17" s="18" t="s">
        <v>32</v>
      </c>
    </row>
    <row r="18" s="18" customFormat="1" spans="1:27">
      <c r="A18" s="18" t="s">
        <v>27</v>
      </c>
      <c r="B18" s="18" t="s">
        <v>28</v>
      </c>
      <c r="C18" s="18">
        <v>2276847</v>
      </c>
      <c r="D18" s="17">
        <v>254706761895</v>
      </c>
      <c r="E18" s="20">
        <v>44065.4625694444</v>
      </c>
      <c r="F18" s="18">
        <v>689.26</v>
      </c>
      <c r="G18" s="18">
        <v>3.88</v>
      </c>
      <c r="H18" s="18">
        <v>685.38</v>
      </c>
      <c r="I18" s="18">
        <v>-4.57</v>
      </c>
      <c r="J18" s="18">
        <v>0.21</v>
      </c>
      <c r="K18" s="18">
        <v>-4.78</v>
      </c>
      <c r="L18" s="18">
        <v>72.93</v>
      </c>
      <c r="M18" s="18">
        <v>9700</v>
      </c>
      <c r="N18" s="18">
        <v>69.29</v>
      </c>
      <c r="O18" s="18">
        <v>9215.57</v>
      </c>
      <c r="P18" s="18" t="s">
        <v>34</v>
      </c>
      <c r="Q18" s="18" t="s">
        <v>30</v>
      </c>
      <c r="R18" s="18" t="s">
        <v>162</v>
      </c>
      <c r="S18" s="18">
        <v>0</v>
      </c>
      <c r="T18" s="18">
        <v>480</v>
      </c>
      <c r="U18" s="18">
        <v>0</v>
      </c>
      <c r="V18" s="18" t="s">
        <v>32</v>
      </c>
      <c r="W18" s="18" t="s">
        <v>32</v>
      </c>
      <c r="X18" s="18" t="s">
        <v>32</v>
      </c>
      <c r="Y18" s="18" t="s">
        <v>32</v>
      </c>
      <c r="Z18" s="18" t="s">
        <v>32</v>
      </c>
      <c r="AA18" s="18" t="s">
        <v>32</v>
      </c>
    </row>
    <row r="19" s="18" customFormat="1" spans="1:27">
      <c r="A19" s="18" t="s">
        <v>27</v>
      </c>
      <c r="B19" s="18" t="s">
        <v>28</v>
      </c>
      <c r="C19" s="18">
        <v>8309907</v>
      </c>
      <c r="D19" s="17">
        <v>254706926939</v>
      </c>
      <c r="E19" s="20">
        <v>44758.4533449074</v>
      </c>
      <c r="F19" s="18">
        <v>8285.06</v>
      </c>
      <c r="G19" s="18">
        <v>45.22</v>
      </c>
      <c r="H19" s="18">
        <v>8239.85</v>
      </c>
      <c r="I19" s="18">
        <v>464.3</v>
      </c>
      <c r="J19" s="18">
        <v>37</v>
      </c>
      <c r="K19" s="18">
        <v>427.3</v>
      </c>
      <c r="L19" s="18">
        <v>1631.14</v>
      </c>
      <c r="M19" s="18">
        <v>216941</v>
      </c>
      <c r="N19" s="18">
        <v>245.53</v>
      </c>
      <c r="O19" s="18">
        <v>32655.49</v>
      </c>
      <c r="P19" s="18" t="s">
        <v>34</v>
      </c>
      <c r="Q19" s="18" t="s">
        <v>33</v>
      </c>
      <c r="R19" s="18" t="s">
        <v>162</v>
      </c>
      <c r="S19" s="18">
        <v>0</v>
      </c>
      <c r="T19" s="18">
        <v>10850</v>
      </c>
      <c r="U19" s="18">
        <v>0</v>
      </c>
      <c r="V19" s="18" t="s">
        <v>32</v>
      </c>
      <c r="W19" s="18" t="s">
        <v>32</v>
      </c>
      <c r="X19" s="18" t="s">
        <v>32</v>
      </c>
      <c r="Y19" s="18" t="s">
        <v>32</v>
      </c>
      <c r="Z19" s="18" t="s">
        <v>32</v>
      </c>
      <c r="AA19" s="18" t="s">
        <v>32</v>
      </c>
    </row>
    <row r="20" s="18" customFormat="1" spans="1:27">
      <c r="A20" s="18" t="s">
        <v>27</v>
      </c>
      <c r="B20" s="18" t="s">
        <v>28</v>
      </c>
      <c r="C20" s="18">
        <v>12128056</v>
      </c>
      <c r="D20" s="17">
        <v>254707448437</v>
      </c>
      <c r="E20" s="20">
        <v>45314.5456944444</v>
      </c>
      <c r="F20" s="18">
        <v>558.69</v>
      </c>
      <c r="G20" s="18">
        <v>0</v>
      </c>
      <c r="H20" s="18">
        <v>558.69</v>
      </c>
      <c r="I20" s="18">
        <v>63.88</v>
      </c>
      <c r="J20" s="18">
        <v>0</v>
      </c>
      <c r="K20" s="18">
        <v>63.88</v>
      </c>
      <c r="L20" s="18">
        <v>92.5</v>
      </c>
      <c r="M20" s="18">
        <v>12303</v>
      </c>
      <c r="N20" s="18">
        <v>37.06</v>
      </c>
      <c r="O20" s="18">
        <v>4928.98</v>
      </c>
      <c r="P20" s="18" t="s">
        <v>29</v>
      </c>
      <c r="Q20" s="18" t="s">
        <v>30</v>
      </c>
      <c r="R20" s="18" t="s">
        <v>162</v>
      </c>
      <c r="S20" s="18">
        <v>0</v>
      </c>
      <c r="T20" s="18">
        <v>620</v>
      </c>
      <c r="U20" s="18">
        <v>0</v>
      </c>
      <c r="V20" s="18" t="s">
        <v>32</v>
      </c>
      <c r="W20" s="18" t="s">
        <v>32</v>
      </c>
      <c r="X20" s="18" t="s">
        <v>32</v>
      </c>
      <c r="Y20" s="18" t="s">
        <v>32</v>
      </c>
      <c r="Z20" s="18" t="s">
        <v>32</v>
      </c>
      <c r="AA20" s="18" t="s">
        <v>32</v>
      </c>
    </row>
    <row r="21" s="18" customFormat="1" spans="1:27">
      <c r="A21" s="18" t="s">
        <v>27</v>
      </c>
      <c r="B21" s="18" t="s">
        <v>28</v>
      </c>
      <c r="C21" s="18">
        <v>16248466</v>
      </c>
      <c r="D21" s="17">
        <v>254707483532</v>
      </c>
      <c r="E21" s="20">
        <v>45761.7128472222</v>
      </c>
      <c r="F21" s="18">
        <v>11045.11</v>
      </c>
      <c r="G21" s="18">
        <v>0</v>
      </c>
      <c r="H21" s="18">
        <v>11045.11</v>
      </c>
      <c r="I21" s="18">
        <v>687.95</v>
      </c>
      <c r="J21" s="18">
        <v>0</v>
      </c>
      <c r="K21" s="18">
        <v>687.95</v>
      </c>
      <c r="L21" s="18">
        <v>1388.05</v>
      </c>
      <c r="M21" s="18">
        <v>184610</v>
      </c>
      <c r="N21" s="18">
        <v>778.61</v>
      </c>
      <c r="O21" s="18">
        <v>103555.13</v>
      </c>
      <c r="P21" s="18" t="s">
        <v>34</v>
      </c>
      <c r="Q21" s="18" t="s">
        <v>33</v>
      </c>
      <c r="R21" s="18" t="s">
        <v>162</v>
      </c>
      <c r="S21" s="18">
        <v>0</v>
      </c>
      <c r="T21" s="18">
        <v>9230</v>
      </c>
      <c r="U21" s="18">
        <v>0</v>
      </c>
      <c r="V21" s="18" t="s">
        <v>32</v>
      </c>
      <c r="W21" s="18" t="s">
        <v>32</v>
      </c>
      <c r="X21" s="18" t="s">
        <v>32</v>
      </c>
      <c r="Y21" s="18" t="s">
        <v>32</v>
      </c>
      <c r="Z21" s="18" t="s">
        <v>32</v>
      </c>
      <c r="AA21" s="18" t="s">
        <v>32</v>
      </c>
    </row>
    <row r="22" s="18" customFormat="1" spans="1:27">
      <c r="A22" s="18" t="s">
        <v>27</v>
      </c>
      <c r="B22" s="18" t="s">
        <v>28</v>
      </c>
      <c r="C22" s="18">
        <v>12151226</v>
      </c>
      <c r="D22" s="17">
        <v>254708265869</v>
      </c>
      <c r="E22" s="20">
        <v>45316.5931597222</v>
      </c>
      <c r="F22" s="18">
        <v>3378.57</v>
      </c>
      <c r="G22" s="18">
        <v>0</v>
      </c>
      <c r="H22" s="18">
        <v>3378.57</v>
      </c>
      <c r="I22" s="18">
        <v>113.87</v>
      </c>
      <c r="J22" s="18">
        <v>0</v>
      </c>
      <c r="K22" s="18">
        <v>113.87</v>
      </c>
      <c r="L22" s="18">
        <v>483.58</v>
      </c>
      <c r="M22" s="18">
        <v>64316</v>
      </c>
      <c r="N22" s="18">
        <v>56.85</v>
      </c>
      <c r="O22" s="18">
        <v>7561.05</v>
      </c>
      <c r="P22" s="18" t="s">
        <v>34</v>
      </c>
      <c r="Q22" s="18" t="s">
        <v>30</v>
      </c>
      <c r="R22" s="18" t="s">
        <v>162</v>
      </c>
      <c r="S22" s="18">
        <v>0</v>
      </c>
      <c r="T22" s="18">
        <v>3220</v>
      </c>
      <c r="U22" s="18">
        <v>0</v>
      </c>
      <c r="V22" s="18" t="s">
        <v>32</v>
      </c>
      <c r="W22" s="18" t="s">
        <v>32</v>
      </c>
      <c r="X22" s="18" t="s">
        <v>32</v>
      </c>
      <c r="Y22" s="18" t="s">
        <v>32</v>
      </c>
      <c r="Z22" s="18" t="s">
        <v>32</v>
      </c>
      <c r="AA22" s="18" t="s">
        <v>32</v>
      </c>
    </row>
    <row r="23" s="18" customFormat="1" spans="1:27">
      <c r="A23" s="18" t="s">
        <v>27</v>
      </c>
      <c r="B23" s="18" t="s">
        <v>28</v>
      </c>
      <c r="C23" s="18">
        <v>12674189</v>
      </c>
      <c r="D23" s="17">
        <v>254708353655</v>
      </c>
      <c r="E23" s="20">
        <v>45391.5627546296</v>
      </c>
      <c r="F23" s="18">
        <v>1268.29</v>
      </c>
      <c r="G23" s="18">
        <v>0.01</v>
      </c>
      <c r="H23" s="18">
        <v>1268.29</v>
      </c>
      <c r="I23" s="18">
        <v>77.27</v>
      </c>
      <c r="J23" s="18">
        <v>0.01</v>
      </c>
      <c r="K23" s="18">
        <v>77.26</v>
      </c>
      <c r="L23" s="18">
        <v>337.44</v>
      </c>
      <c r="M23" s="18">
        <v>44879</v>
      </c>
      <c r="N23" s="18">
        <v>79.37</v>
      </c>
      <c r="O23" s="18">
        <v>10556.21</v>
      </c>
      <c r="P23" s="18" t="s">
        <v>34</v>
      </c>
      <c r="Q23" s="18" t="s">
        <v>30</v>
      </c>
      <c r="R23" s="18" t="s">
        <v>162</v>
      </c>
      <c r="S23" s="18">
        <v>0</v>
      </c>
      <c r="T23" s="18">
        <v>2240</v>
      </c>
      <c r="U23" s="18">
        <v>0</v>
      </c>
      <c r="V23" s="18" t="s">
        <v>32</v>
      </c>
      <c r="W23" s="18" t="s">
        <v>32</v>
      </c>
      <c r="X23" s="18" t="s">
        <v>32</v>
      </c>
      <c r="Y23" s="18" t="s">
        <v>32</v>
      </c>
      <c r="Z23" s="18" t="s">
        <v>32</v>
      </c>
      <c r="AA23" s="18" t="s">
        <v>32</v>
      </c>
    </row>
    <row r="24" s="18" customFormat="1" spans="1:27">
      <c r="A24" s="18" t="s">
        <v>27</v>
      </c>
      <c r="B24" s="18" t="s">
        <v>28</v>
      </c>
      <c r="C24" s="18">
        <v>21894498</v>
      </c>
      <c r="D24" s="17">
        <v>254710867037</v>
      </c>
      <c r="E24" s="20">
        <v>46095.6572106481</v>
      </c>
      <c r="F24" s="18">
        <v>2234.54</v>
      </c>
      <c r="G24" s="18">
        <v>0</v>
      </c>
      <c r="H24" s="18">
        <v>2234.54</v>
      </c>
      <c r="I24" s="18">
        <v>151.76</v>
      </c>
      <c r="J24" s="18">
        <v>-0.56</v>
      </c>
      <c r="K24" s="18">
        <v>152.32</v>
      </c>
      <c r="L24" s="18">
        <v>496.24</v>
      </c>
      <c r="M24" s="18">
        <v>66000</v>
      </c>
      <c r="N24" s="18">
        <v>471.43</v>
      </c>
      <c r="O24" s="18">
        <v>62700.19</v>
      </c>
      <c r="P24" s="18" t="s">
        <v>29</v>
      </c>
      <c r="Q24" s="18" t="s">
        <v>30</v>
      </c>
      <c r="R24" s="18" t="s">
        <v>162</v>
      </c>
      <c r="S24" s="18">
        <v>0</v>
      </c>
      <c r="T24" s="18">
        <v>3300</v>
      </c>
      <c r="U24" s="18">
        <v>0</v>
      </c>
      <c r="V24" s="18" t="s">
        <v>32</v>
      </c>
      <c r="W24" s="18" t="s">
        <v>32</v>
      </c>
      <c r="X24" s="18" t="s">
        <v>32</v>
      </c>
      <c r="Y24" s="18" t="s">
        <v>32</v>
      </c>
      <c r="Z24" s="18" t="s">
        <v>32</v>
      </c>
      <c r="AA24" s="18" t="s">
        <v>32</v>
      </c>
    </row>
    <row r="25" s="18" customFormat="1" spans="1:27">
      <c r="A25" s="18" t="s">
        <v>27</v>
      </c>
      <c r="B25" s="18" t="s">
        <v>28</v>
      </c>
      <c r="C25" s="18">
        <v>21245746</v>
      </c>
      <c r="D25" s="17">
        <v>254713572153</v>
      </c>
      <c r="E25" s="20">
        <v>46063.4392824074</v>
      </c>
      <c r="F25" s="18">
        <v>236.44</v>
      </c>
      <c r="G25" s="18">
        <v>3.21</v>
      </c>
      <c r="H25" s="18">
        <v>233.23</v>
      </c>
      <c r="I25" s="18">
        <v>-0.49</v>
      </c>
      <c r="J25" s="18">
        <v>3.21</v>
      </c>
      <c r="K25" s="18">
        <v>-3.7</v>
      </c>
      <c r="L25" s="18">
        <v>106.07</v>
      </c>
      <c r="M25" s="18">
        <v>14107</v>
      </c>
      <c r="N25" s="18">
        <v>42.09</v>
      </c>
      <c r="O25" s="18">
        <v>5597.97</v>
      </c>
      <c r="P25" s="18" t="s">
        <v>29</v>
      </c>
      <c r="Q25" s="18" t="s">
        <v>30</v>
      </c>
      <c r="R25" s="18" t="s">
        <v>162</v>
      </c>
      <c r="S25" s="18">
        <v>0</v>
      </c>
      <c r="T25" s="18">
        <v>710</v>
      </c>
      <c r="U25" s="18">
        <v>0</v>
      </c>
      <c r="V25" s="18" t="s">
        <v>32</v>
      </c>
      <c r="W25" s="18" t="s">
        <v>32</v>
      </c>
      <c r="X25" s="18" t="s">
        <v>32</v>
      </c>
      <c r="Y25" s="18" t="s">
        <v>32</v>
      </c>
      <c r="Z25" s="18" t="s">
        <v>32</v>
      </c>
      <c r="AA25" s="18" t="s">
        <v>32</v>
      </c>
    </row>
    <row r="26" s="18" customFormat="1" spans="1:27">
      <c r="A26" s="18" t="s">
        <v>27</v>
      </c>
      <c r="B26" s="18" t="s">
        <v>28</v>
      </c>
      <c r="C26" s="18">
        <v>12292669</v>
      </c>
      <c r="D26" s="17">
        <v>254714121026</v>
      </c>
      <c r="E26" s="20">
        <v>45334.5345717593</v>
      </c>
      <c r="F26" s="18">
        <v>903.69</v>
      </c>
      <c r="G26" s="18">
        <v>2.19</v>
      </c>
      <c r="H26" s="18">
        <v>901.5</v>
      </c>
      <c r="I26" s="18">
        <v>37.44</v>
      </c>
      <c r="J26" s="18">
        <v>2.19</v>
      </c>
      <c r="K26" s="18">
        <v>36.76</v>
      </c>
      <c r="L26" s="18">
        <v>594.01</v>
      </c>
      <c r="M26" s="18">
        <v>79003</v>
      </c>
      <c r="N26" s="18">
        <v>0</v>
      </c>
      <c r="O26" s="18">
        <v>0</v>
      </c>
      <c r="P26" s="18" t="s">
        <v>34</v>
      </c>
      <c r="Q26" s="18" t="s">
        <v>30</v>
      </c>
      <c r="R26" s="18" t="s">
        <v>162</v>
      </c>
      <c r="S26" s="18">
        <v>0</v>
      </c>
      <c r="T26" s="18">
        <v>3950</v>
      </c>
      <c r="U26" s="18">
        <v>0</v>
      </c>
      <c r="V26" s="18" t="s">
        <v>32</v>
      </c>
      <c r="W26" s="18" t="s">
        <v>32</v>
      </c>
      <c r="X26" s="18" t="s">
        <v>32</v>
      </c>
      <c r="Y26" s="18" t="s">
        <v>32</v>
      </c>
      <c r="Z26" s="18" t="s">
        <v>32</v>
      </c>
      <c r="AA26" s="18" t="s">
        <v>32</v>
      </c>
    </row>
    <row r="27" s="18" customFormat="1" spans="1:27">
      <c r="A27" s="18" t="s">
        <v>27</v>
      </c>
      <c r="B27" s="18" t="s">
        <v>28</v>
      </c>
      <c r="C27" s="18">
        <v>10482149</v>
      </c>
      <c r="D27" s="17">
        <v>254715027583</v>
      </c>
      <c r="E27" s="20">
        <v>45159.2638425926</v>
      </c>
      <c r="F27" s="18">
        <v>2306.46</v>
      </c>
      <c r="G27" s="18">
        <v>1.1</v>
      </c>
      <c r="H27" s="18">
        <v>2305.36</v>
      </c>
      <c r="I27" s="18">
        <v>342.29</v>
      </c>
      <c r="J27" s="18">
        <v>1.1</v>
      </c>
      <c r="K27" s="18">
        <v>341.19</v>
      </c>
      <c r="L27" s="18">
        <v>565.08</v>
      </c>
      <c r="M27" s="18">
        <v>75155</v>
      </c>
      <c r="N27" s="18">
        <v>82.57</v>
      </c>
      <c r="O27" s="18">
        <v>10981.81</v>
      </c>
      <c r="P27" s="18" t="s">
        <v>34</v>
      </c>
      <c r="Q27" s="18" t="s">
        <v>30</v>
      </c>
      <c r="R27" s="18" t="s">
        <v>162</v>
      </c>
      <c r="S27" s="18">
        <v>0</v>
      </c>
      <c r="T27" s="18">
        <v>3760</v>
      </c>
      <c r="U27" s="18">
        <v>0</v>
      </c>
      <c r="V27" s="18" t="s">
        <v>32</v>
      </c>
      <c r="W27" s="18" t="s">
        <v>32</v>
      </c>
      <c r="X27" s="18" t="s">
        <v>32</v>
      </c>
      <c r="Y27" s="18" t="s">
        <v>32</v>
      </c>
      <c r="Z27" s="18" t="s">
        <v>32</v>
      </c>
      <c r="AA27" s="18" t="s">
        <v>32</v>
      </c>
    </row>
    <row r="28" s="18" customFormat="1" spans="1:27">
      <c r="A28" s="18" t="s">
        <v>27</v>
      </c>
      <c r="B28" s="18" t="s">
        <v>28</v>
      </c>
      <c r="C28" s="18">
        <v>22501388</v>
      </c>
      <c r="D28" s="17">
        <v>254715059069</v>
      </c>
      <c r="E28" s="20">
        <v>46131.2681828704</v>
      </c>
      <c r="F28" s="18">
        <v>570.09</v>
      </c>
      <c r="G28" s="18">
        <v>0</v>
      </c>
      <c r="H28" s="18">
        <v>570.09</v>
      </c>
      <c r="I28" s="18">
        <v>10</v>
      </c>
      <c r="J28" s="18">
        <v>0</v>
      </c>
      <c r="K28" s="18">
        <v>10</v>
      </c>
      <c r="L28" s="18">
        <v>223.47</v>
      </c>
      <c r="M28" s="18">
        <v>29721</v>
      </c>
      <c r="N28" s="18">
        <v>212.29</v>
      </c>
      <c r="O28" s="18">
        <v>28234.57</v>
      </c>
      <c r="P28" s="18" t="s">
        <v>29</v>
      </c>
      <c r="Q28" s="18" t="s">
        <v>30</v>
      </c>
      <c r="R28" s="18" t="s">
        <v>162</v>
      </c>
      <c r="S28" s="18">
        <v>0</v>
      </c>
      <c r="T28" s="18">
        <v>1490</v>
      </c>
      <c r="U28" s="18">
        <v>0</v>
      </c>
      <c r="V28" s="18" t="s">
        <v>32</v>
      </c>
      <c r="W28" s="18" t="s">
        <v>32</v>
      </c>
      <c r="X28" s="18" t="s">
        <v>32</v>
      </c>
      <c r="Y28" s="18" t="s">
        <v>32</v>
      </c>
      <c r="Z28" s="18" t="s">
        <v>32</v>
      </c>
      <c r="AA28" s="18" t="s">
        <v>32</v>
      </c>
    </row>
    <row r="29" s="18" customFormat="1" spans="1:27">
      <c r="A29" s="18" t="s">
        <v>27</v>
      </c>
      <c r="B29" s="18" t="s">
        <v>28</v>
      </c>
      <c r="C29" s="18">
        <v>11622627</v>
      </c>
      <c r="D29" s="17">
        <v>254715500402</v>
      </c>
      <c r="E29" s="20">
        <v>45268.3096643519</v>
      </c>
      <c r="F29" s="18">
        <v>269.34</v>
      </c>
      <c r="G29" s="18">
        <v>0</v>
      </c>
      <c r="H29" s="18">
        <v>269.34</v>
      </c>
      <c r="I29" s="18">
        <v>52.86</v>
      </c>
      <c r="J29" s="18">
        <v>0</v>
      </c>
      <c r="K29" s="18">
        <v>52.86</v>
      </c>
      <c r="L29" s="18">
        <v>55.49</v>
      </c>
      <c r="M29" s="18">
        <v>7380</v>
      </c>
      <c r="N29" s="18">
        <v>20</v>
      </c>
      <c r="O29" s="18">
        <v>2660</v>
      </c>
      <c r="P29" s="18" t="s">
        <v>34</v>
      </c>
      <c r="Q29" s="18" t="s">
        <v>30</v>
      </c>
      <c r="R29" s="18" t="s">
        <v>162</v>
      </c>
      <c r="S29" s="18">
        <v>0</v>
      </c>
      <c r="T29" s="18">
        <v>370</v>
      </c>
      <c r="U29" s="18">
        <v>0</v>
      </c>
      <c r="V29" s="18" t="s">
        <v>32</v>
      </c>
      <c r="W29" s="18" t="s">
        <v>32</v>
      </c>
      <c r="X29" s="18" t="s">
        <v>32</v>
      </c>
      <c r="Y29" s="18" t="s">
        <v>32</v>
      </c>
      <c r="Z29" s="18" t="s">
        <v>32</v>
      </c>
      <c r="AA29" s="18" t="s">
        <v>32</v>
      </c>
    </row>
    <row r="30" s="18" customFormat="1" spans="1:27">
      <c r="A30" s="18" t="s">
        <v>27</v>
      </c>
      <c r="B30" s="18" t="s">
        <v>28</v>
      </c>
      <c r="C30" s="18">
        <v>20463548</v>
      </c>
      <c r="D30" s="17">
        <v>254716212176</v>
      </c>
      <c r="E30" s="20">
        <v>46023.4999537037</v>
      </c>
      <c r="F30" s="18">
        <v>1049.91</v>
      </c>
      <c r="G30" s="18">
        <v>0</v>
      </c>
      <c r="H30" s="18">
        <v>1049.91</v>
      </c>
      <c r="I30" s="18">
        <v>62.71</v>
      </c>
      <c r="J30" s="18">
        <v>0</v>
      </c>
      <c r="K30" s="18">
        <v>62.71</v>
      </c>
      <c r="L30" s="18">
        <v>153.27</v>
      </c>
      <c r="M30" s="18">
        <v>20385</v>
      </c>
      <c r="N30" s="18">
        <v>74.74</v>
      </c>
      <c r="O30" s="18">
        <v>9940.42</v>
      </c>
      <c r="P30" s="18" t="s">
        <v>29</v>
      </c>
      <c r="Q30" s="18" t="s">
        <v>30</v>
      </c>
      <c r="R30" s="18" t="s">
        <v>162</v>
      </c>
      <c r="S30" s="18">
        <v>0</v>
      </c>
      <c r="T30" s="18">
        <v>1020</v>
      </c>
      <c r="U30" s="18">
        <v>0</v>
      </c>
      <c r="V30" s="18" t="s">
        <v>32</v>
      </c>
      <c r="W30" s="18" t="s">
        <v>32</v>
      </c>
      <c r="X30" s="18" t="s">
        <v>32</v>
      </c>
      <c r="Y30" s="18" t="s">
        <v>32</v>
      </c>
      <c r="Z30" s="18" t="s">
        <v>32</v>
      </c>
      <c r="AA30" s="18" t="s">
        <v>32</v>
      </c>
    </row>
    <row r="31" s="18" customFormat="1" spans="1:27">
      <c r="A31" s="18" t="s">
        <v>27</v>
      </c>
      <c r="B31" s="18" t="s">
        <v>28</v>
      </c>
      <c r="C31" s="18">
        <v>18345237</v>
      </c>
      <c r="D31" s="17">
        <v>254716888228</v>
      </c>
      <c r="E31" s="20">
        <v>45905.8661689815</v>
      </c>
      <c r="F31" s="18">
        <v>104.11</v>
      </c>
      <c r="G31" s="18">
        <v>42.57</v>
      </c>
      <c r="H31" s="18">
        <v>61.54</v>
      </c>
      <c r="I31" s="18">
        <v>3.67</v>
      </c>
      <c r="J31" s="18">
        <v>-0.66</v>
      </c>
      <c r="K31" s="18">
        <v>4.33</v>
      </c>
      <c r="L31" s="18">
        <v>54.34</v>
      </c>
      <c r="M31" s="18">
        <v>7227</v>
      </c>
      <c r="N31" s="18">
        <v>33.92</v>
      </c>
      <c r="O31" s="18">
        <v>4511.36</v>
      </c>
      <c r="P31" s="18" t="s">
        <v>35</v>
      </c>
      <c r="Q31" s="18" t="s">
        <v>30</v>
      </c>
      <c r="R31" s="18" t="s">
        <v>162</v>
      </c>
      <c r="S31" s="18">
        <v>2000</v>
      </c>
      <c r="T31" s="18">
        <v>180</v>
      </c>
      <c r="U31" s="18">
        <v>0</v>
      </c>
      <c r="V31" s="18" t="s">
        <v>32</v>
      </c>
      <c r="W31" s="18" t="s">
        <v>32</v>
      </c>
      <c r="X31" s="18" t="s">
        <v>32</v>
      </c>
      <c r="Y31" s="18" t="s">
        <v>32</v>
      </c>
      <c r="Z31" s="18" t="s">
        <v>32</v>
      </c>
      <c r="AA31" s="18" t="s">
        <v>32</v>
      </c>
    </row>
    <row r="32" s="18" customFormat="1" spans="1:27">
      <c r="A32" s="18" t="s">
        <v>27</v>
      </c>
      <c r="B32" s="18" t="s">
        <v>28</v>
      </c>
      <c r="C32" s="18">
        <v>4287958</v>
      </c>
      <c r="D32" s="17">
        <v>254717312027</v>
      </c>
      <c r="E32" s="20">
        <v>44303.4453703704</v>
      </c>
      <c r="F32" s="18">
        <v>1691.88</v>
      </c>
      <c r="G32" s="18">
        <v>0</v>
      </c>
      <c r="H32" s="18">
        <v>1691.88</v>
      </c>
      <c r="I32" s="18">
        <v>-8.48</v>
      </c>
      <c r="J32" s="18">
        <v>0</v>
      </c>
      <c r="K32" s="18">
        <v>-8.48</v>
      </c>
      <c r="L32" s="18">
        <v>152.73</v>
      </c>
      <c r="M32" s="18">
        <v>20313</v>
      </c>
      <c r="N32" s="18">
        <v>121.04</v>
      </c>
      <c r="O32" s="18">
        <v>16098.32</v>
      </c>
      <c r="P32" s="18" t="s">
        <v>34</v>
      </c>
      <c r="Q32" s="18" t="s">
        <v>30</v>
      </c>
      <c r="R32" s="18" t="s">
        <v>162</v>
      </c>
      <c r="S32" s="18">
        <v>0</v>
      </c>
      <c r="T32" s="18">
        <v>1020</v>
      </c>
      <c r="U32" s="18">
        <v>0</v>
      </c>
      <c r="V32" s="18" t="s">
        <v>32</v>
      </c>
      <c r="W32" s="18" t="s">
        <v>32</v>
      </c>
      <c r="X32" s="18" t="s">
        <v>32</v>
      </c>
      <c r="Y32" s="18" t="s">
        <v>32</v>
      </c>
      <c r="Z32" s="18" t="s">
        <v>32</v>
      </c>
      <c r="AA32" s="18" t="s">
        <v>32</v>
      </c>
    </row>
    <row r="33" s="18" customFormat="1" spans="1:27">
      <c r="A33" s="18" t="s">
        <v>27</v>
      </c>
      <c r="B33" s="18" t="s">
        <v>28</v>
      </c>
      <c r="C33" s="18">
        <v>19922439</v>
      </c>
      <c r="D33" s="17">
        <v>254717725609</v>
      </c>
      <c r="E33" s="20">
        <v>45996.6852430556</v>
      </c>
      <c r="F33" s="18">
        <v>313.56</v>
      </c>
      <c r="G33" s="18">
        <v>165.18</v>
      </c>
      <c r="H33" s="18">
        <v>148.38</v>
      </c>
      <c r="I33" s="18">
        <v>-416.42</v>
      </c>
      <c r="J33" s="18">
        <v>-427.17</v>
      </c>
      <c r="K33" s="18">
        <v>10.75</v>
      </c>
      <c r="L33" s="18">
        <v>179.74</v>
      </c>
      <c r="M33" s="18">
        <v>23905</v>
      </c>
      <c r="N33" s="18">
        <v>3.93</v>
      </c>
      <c r="O33" s="18">
        <v>522.69</v>
      </c>
      <c r="P33" s="18" t="s">
        <v>35</v>
      </c>
      <c r="Q33" s="18" t="s">
        <v>30</v>
      </c>
      <c r="R33" s="18" t="s">
        <v>162</v>
      </c>
      <c r="S33" s="18">
        <v>2000</v>
      </c>
      <c r="T33" s="18">
        <v>600</v>
      </c>
      <c r="U33" s="18">
        <v>0</v>
      </c>
      <c r="V33" s="18" t="s">
        <v>32</v>
      </c>
      <c r="W33" s="18" t="s">
        <v>32</v>
      </c>
      <c r="X33" s="18" t="s">
        <v>32</v>
      </c>
      <c r="Y33" s="18" t="s">
        <v>32</v>
      </c>
      <c r="Z33" s="18" t="s">
        <v>32</v>
      </c>
      <c r="AA33" s="18" t="s">
        <v>32</v>
      </c>
    </row>
    <row r="34" s="18" customFormat="1" spans="1:27">
      <c r="A34" s="18" t="s">
        <v>27</v>
      </c>
      <c r="B34" s="18" t="s">
        <v>28</v>
      </c>
      <c r="C34" s="18">
        <v>12700776</v>
      </c>
      <c r="D34" s="17">
        <v>254717954273</v>
      </c>
      <c r="E34" s="20">
        <v>45395.1406828704</v>
      </c>
      <c r="F34" s="18">
        <v>6471.43</v>
      </c>
      <c r="G34" s="18">
        <v>6.36</v>
      </c>
      <c r="H34" s="18">
        <v>6465.07</v>
      </c>
      <c r="I34" s="18">
        <v>149.22</v>
      </c>
      <c r="J34" s="18">
        <v>1.55</v>
      </c>
      <c r="K34" s="18">
        <v>147.68</v>
      </c>
      <c r="L34" s="18">
        <v>2215.59</v>
      </c>
      <c r="M34" s="18">
        <v>294674</v>
      </c>
      <c r="N34" s="18">
        <v>332.11</v>
      </c>
      <c r="O34" s="18">
        <v>44170.63</v>
      </c>
      <c r="P34" s="18" t="s">
        <v>29</v>
      </c>
      <c r="Q34" s="18" t="s">
        <v>33</v>
      </c>
      <c r="R34" s="18" t="s">
        <v>162</v>
      </c>
      <c r="S34" s="18">
        <v>0</v>
      </c>
      <c r="T34" s="18">
        <v>14730</v>
      </c>
      <c r="U34" s="18">
        <v>0</v>
      </c>
      <c r="V34" s="18" t="s">
        <v>32</v>
      </c>
      <c r="W34" s="18" t="s">
        <v>32</v>
      </c>
      <c r="X34" s="18" t="s">
        <v>32</v>
      </c>
      <c r="Y34" s="18" t="s">
        <v>32</v>
      </c>
      <c r="Z34" s="18" t="s">
        <v>32</v>
      </c>
      <c r="AA34" s="18" t="s">
        <v>32</v>
      </c>
    </row>
    <row r="35" s="18" customFormat="1" spans="1:27">
      <c r="A35" s="18" t="s">
        <v>27</v>
      </c>
      <c r="B35" s="18" t="s">
        <v>28</v>
      </c>
      <c r="C35" s="18">
        <v>730826</v>
      </c>
      <c r="D35" s="17">
        <v>254718130507</v>
      </c>
      <c r="E35" s="20">
        <v>43945.7519675926</v>
      </c>
      <c r="F35" s="18">
        <v>1073.06</v>
      </c>
      <c r="G35" s="18">
        <v>0</v>
      </c>
      <c r="H35" s="18">
        <v>1073.06</v>
      </c>
      <c r="I35" s="18">
        <v>0.73</v>
      </c>
      <c r="J35" s="18">
        <v>0</v>
      </c>
      <c r="K35" s="18">
        <v>0.73</v>
      </c>
      <c r="L35" s="18">
        <v>99.96</v>
      </c>
      <c r="M35" s="18">
        <v>13295</v>
      </c>
      <c r="N35" s="18">
        <v>23.57</v>
      </c>
      <c r="O35" s="18">
        <v>3134.81</v>
      </c>
      <c r="P35" s="18" t="s">
        <v>34</v>
      </c>
      <c r="Q35" s="18" t="s">
        <v>30</v>
      </c>
      <c r="R35" s="18" t="s">
        <v>162</v>
      </c>
      <c r="S35" s="18">
        <v>0</v>
      </c>
      <c r="T35" s="18">
        <v>660</v>
      </c>
      <c r="U35" s="18">
        <v>0</v>
      </c>
      <c r="V35" s="18" t="s">
        <v>32</v>
      </c>
      <c r="W35" s="18" t="s">
        <v>32</v>
      </c>
      <c r="X35" s="18" t="s">
        <v>32</v>
      </c>
      <c r="Y35" s="18" t="s">
        <v>32</v>
      </c>
      <c r="Z35" s="18" t="s">
        <v>32</v>
      </c>
      <c r="AA35" s="18" t="s">
        <v>32</v>
      </c>
    </row>
    <row r="36" s="18" customFormat="1" spans="1:27">
      <c r="A36" s="18" t="s">
        <v>27</v>
      </c>
      <c r="B36" s="18" t="s">
        <v>28</v>
      </c>
      <c r="C36" s="18">
        <v>19429329</v>
      </c>
      <c r="D36" s="17">
        <v>254719108107</v>
      </c>
      <c r="E36" s="20">
        <v>45974.6853703704</v>
      </c>
      <c r="F36" s="18">
        <v>737.99</v>
      </c>
      <c r="G36" s="18">
        <v>0.75</v>
      </c>
      <c r="H36" s="18">
        <v>736.49</v>
      </c>
      <c r="I36" s="18">
        <v>63.88</v>
      </c>
      <c r="J36" s="18">
        <v>0.75</v>
      </c>
      <c r="K36" s="18">
        <v>63.13</v>
      </c>
      <c r="L36" s="18">
        <v>110.53</v>
      </c>
      <c r="M36" s="18">
        <v>14700</v>
      </c>
      <c r="N36" s="18">
        <v>50</v>
      </c>
      <c r="O36" s="18">
        <v>6650</v>
      </c>
      <c r="P36" s="18" t="s">
        <v>34</v>
      </c>
      <c r="Q36" s="18" t="s">
        <v>30</v>
      </c>
      <c r="R36" s="18" t="s">
        <v>162</v>
      </c>
      <c r="S36" s="18">
        <v>0</v>
      </c>
      <c r="T36" s="18">
        <v>740</v>
      </c>
      <c r="U36" s="18">
        <v>0</v>
      </c>
      <c r="V36" s="18" t="s">
        <v>32</v>
      </c>
      <c r="W36" s="18" t="s">
        <v>32</v>
      </c>
      <c r="X36" s="18" t="s">
        <v>32</v>
      </c>
      <c r="Y36" s="18" t="s">
        <v>32</v>
      </c>
      <c r="Z36" s="18" t="s">
        <v>32</v>
      </c>
      <c r="AA36" s="18" t="s">
        <v>32</v>
      </c>
    </row>
    <row r="37" s="18" customFormat="1" spans="1:27">
      <c r="A37" s="18" t="s">
        <v>27</v>
      </c>
      <c r="B37" s="18" t="s">
        <v>28</v>
      </c>
      <c r="C37" s="18">
        <v>2986269</v>
      </c>
      <c r="D37" s="17">
        <v>254719541682</v>
      </c>
      <c r="E37" s="20">
        <v>44129.4087152778</v>
      </c>
      <c r="F37" s="18">
        <v>1812.11</v>
      </c>
      <c r="G37" s="18">
        <v>5.06</v>
      </c>
      <c r="H37" s="18">
        <v>1807.05</v>
      </c>
      <c r="I37" s="18">
        <v>68.48</v>
      </c>
      <c r="J37" s="18">
        <v>5.06</v>
      </c>
      <c r="K37" s="18">
        <v>66.42</v>
      </c>
      <c r="L37" s="18">
        <v>150.55</v>
      </c>
      <c r="M37" s="18">
        <v>20023</v>
      </c>
      <c r="N37" s="18">
        <v>14.29</v>
      </c>
      <c r="O37" s="18">
        <v>1900.57</v>
      </c>
      <c r="P37" s="18" t="s">
        <v>34</v>
      </c>
      <c r="Q37" s="18" t="s">
        <v>30</v>
      </c>
      <c r="R37" s="18" t="s">
        <v>162</v>
      </c>
      <c r="S37" s="18">
        <v>0</v>
      </c>
      <c r="T37" s="18">
        <v>1000</v>
      </c>
      <c r="U37" s="18">
        <v>0</v>
      </c>
      <c r="V37" s="18" t="s">
        <v>32</v>
      </c>
      <c r="W37" s="18" t="s">
        <v>32</v>
      </c>
      <c r="X37" s="18" t="s">
        <v>32</v>
      </c>
      <c r="Y37" s="18" t="s">
        <v>32</v>
      </c>
      <c r="Z37" s="18" t="s">
        <v>32</v>
      </c>
      <c r="AA37" s="18" t="s">
        <v>32</v>
      </c>
    </row>
    <row r="38" s="18" customFormat="1" spans="1:27">
      <c r="A38" s="18" t="s">
        <v>27</v>
      </c>
      <c r="B38" s="18" t="s">
        <v>28</v>
      </c>
      <c r="C38" s="18">
        <v>2620599</v>
      </c>
      <c r="D38" s="17">
        <v>254720082630</v>
      </c>
      <c r="E38" s="20">
        <v>44097.5882175926</v>
      </c>
      <c r="F38" s="18">
        <v>305.47</v>
      </c>
      <c r="G38" s="18">
        <v>0.05</v>
      </c>
      <c r="H38" s="18">
        <v>305.43</v>
      </c>
      <c r="I38" s="18">
        <v>31.28</v>
      </c>
      <c r="J38" s="18">
        <v>0.05</v>
      </c>
      <c r="K38" s="18">
        <v>31.23</v>
      </c>
      <c r="L38" s="18">
        <v>69.17</v>
      </c>
      <c r="M38" s="18">
        <v>9200</v>
      </c>
      <c r="N38" s="18">
        <v>7.86</v>
      </c>
      <c r="O38" s="18">
        <v>1045.38</v>
      </c>
      <c r="P38" s="18" t="s">
        <v>34</v>
      </c>
      <c r="Q38" s="18" t="s">
        <v>30</v>
      </c>
      <c r="R38" s="18" t="s">
        <v>162</v>
      </c>
      <c r="S38" s="18">
        <v>0</v>
      </c>
      <c r="T38" s="18">
        <v>460</v>
      </c>
      <c r="U38" s="18">
        <v>0</v>
      </c>
      <c r="V38" s="18" t="s">
        <v>32</v>
      </c>
      <c r="W38" s="18" t="s">
        <v>32</v>
      </c>
      <c r="X38" s="18" t="s">
        <v>32</v>
      </c>
      <c r="Y38" s="18" t="s">
        <v>32</v>
      </c>
      <c r="Z38" s="18" t="s">
        <v>32</v>
      </c>
      <c r="AA38" s="18" t="s">
        <v>32</v>
      </c>
    </row>
    <row r="39" s="18" customFormat="1" spans="1:27">
      <c r="A39" s="18" t="s">
        <v>27</v>
      </c>
      <c r="B39" s="18" t="s">
        <v>28</v>
      </c>
      <c r="C39" s="18">
        <v>16458769</v>
      </c>
      <c r="D39" s="17">
        <v>254720122179</v>
      </c>
      <c r="E39" s="20">
        <v>45775.9585763889</v>
      </c>
      <c r="F39" s="18">
        <v>4681.25</v>
      </c>
      <c r="G39" s="18">
        <v>0.08</v>
      </c>
      <c r="H39" s="18">
        <v>4680.79</v>
      </c>
      <c r="I39" s="18">
        <v>237.68</v>
      </c>
      <c r="J39" s="18">
        <v>-0.11</v>
      </c>
      <c r="K39" s="18">
        <v>237.8</v>
      </c>
      <c r="L39" s="18">
        <v>437.08</v>
      </c>
      <c r="M39" s="18">
        <v>58132</v>
      </c>
      <c r="N39" s="18">
        <v>17.86</v>
      </c>
      <c r="O39" s="18">
        <v>2375.38</v>
      </c>
      <c r="P39" s="18" t="s">
        <v>34</v>
      </c>
      <c r="Q39" s="18" t="s">
        <v>30</v>
      </c>
      <c r="R39" s="18" t="s">
        <v>162</v>
      </c>
      <c r="S39" s="18">
        <v>0</v>
      </c>
      <c r="T39" s="18">
        <v>2910</v>
      </c>
      <c r="U39" s="18">
        <v>0</v>
      </c>
      <c r="V39" s="18" t="s">
        <v>32</v>
      </c>
      <c r="W39" s="18" t="s">
        <v>32</v>
      </c>
      <c r="X39" s="18" t="s">
        <v>32</v>
      </c>
      <c r="Y39" s="18" t="s">
        <v>32</v>
      </c>
      <c r="Z39" s="18" t="s">
        <v>32</v>
      </c>
      <c r="AA39" s="18" t="s">
        <v>32</v>
      </c>
    </row>
    <row r="40" s="18" customFormat="1" spans="1:27">
      <c r="A40" s="18" t="s">
        <v>27</v>
      </c>
      <c r="B40" s="18" t="s">
        <v>28</v>
      </c>
      <c r="C40" s="18">
        <v>2656548</v>
      </c>
      <c r="D40" s="17">
        <v>254720338385</v>
      </c>
      <c r="E40" s="20">
        <v>44100.3318981481</v>
      </c>
      <c r="F40" s="18">
        <v>822.76</v>
      </c>
      <c r="G40" s="18">
        <v>0</v>
      </c>
      <c r="H40" s="18">
        <v>822.76</v>
      </c>
      <c r="I40" s="18">
        <v>219.87</v>
      </c>
      <c r="J40" s="18">
        <v>0</v>
      </c>
      <c r="K40" s="18">
        <v>219.87</v>
      </c>
      <c r="L40" s="18">
        <v>284.16</v>
      </c>
      <c r="M40" s="18">
        <v>37793</v>
      </c>
      <c r="N40" s="18">
        <v>209.59</v>
      </c>
      <c r="O40" s="18">
        <v>27875.47</v>
      </c>
      <c r="P40" s="18" t="s">
        <v>29</v>
      </c>
      <c r="Q40" s="18" t="s">
        <v>30</v>
      </c>
      <c r="R40" s="18" t="s">
        <v>162</v>
      </c>
      <c r="S40" s="18">
        <v>0</v>
      </c>
      <c r="T40" s="18">
        <v>1890</v>
      </c>
      <c r="U40" s="18">
        <v>0</v>
      </c>
      <c r="V40" s="18" t="s">
        <v>32</v>
      </c>
      <c r="W40" s="18" t="s">
        <v>32</v>
      </c>
      <c r="X40" s="18" t="s">
        <v>32</v>
      </c>
      <c r="Y40" s="18" t="s">
        <v>32</v>
      </c>
      <c r="Z40" s="18" t="s">
        <v>32</v>
      </c>
      <c r="AA40" s="18" t="s">
        <v>32</v>
      </c>
    </row>
    <row r="41" s="18" customFormat="1" spans="1:27">
      <c r="A41" s="18" t="s">
        <v>27</v>
      </c>
      <c r="B41" s="18" t="s">
        <v>28</v>
      </c>
      <c r="C41" s="18">
        <v>3445709</v>
      </c>
      <c r="D41" s="17">
        <v>254720467204</v>
      </c>
      <c r="E41" s="20">
        <v>44222.6031712963</v>
      </c>
      <c r="F41" s="18">
        <v>740.93</v>
      </c>
      <c r="G41" s="18">
        <v>0.11</v>
      </c>
      <c r="H41" s="18">
        <v>740.82</v>
      </c>
      <c r="I41" s="18">
        <v>35.82</v>
      </c>
      <c r="J41" s="18">
        <v>0.11</v>
      </c>
      <c r="K41" s="18">
        <v>35.71</v>
      </c>
      <c r="L41" s="18">
        <v>50.17</v>
      </c>
      <c r="M41" s="18">
        <v>6673</v>
      </c>
      <c r="N41" s="18">
        <v>47.31</v>
      </c>
      <c r="O41" s="18">
        <v>6292.23</v>
      </c>
      <c r="P41" s="18" t="s">
        <v>29</v>
      </c>
      <c r="Q41" s="18" t="s">
        <v>30</v>
      </c>
      <c r="R41" s="18" t="s">
        <v>162</v>
      </c>
      <c r="S41" s="18">
        <v>0</v>
      </c>
      <c r="T41" s="18">
        <v>330</v>
      </c>
      <c r="U41" s="18">
        <v>0</v>
      </c>
      <c r="V41" s="18" t="s">
        <v>32</v>
      </c>
      <c r="W41" s="18" t="s">
        <v>32</v>
      </c>
      <c r="X41" s="18" t="s">
        <v>32</v>
      </c>
      <c r="Y41" s="18" t="s">
        <v>32</v>
      </c>
      <c r="Z41" s="18" t="s">
        <v>32</v>
      </c>
      <c r="AA41" s="18" t="s">
        <v>32</v>
      </c>
    </row>
    <row r="42" s="18" customFormat="1" spans="1:27">
      <c r="A42" s="18" t="s">
        <v>27</v>
      </c>
      <c r="B42" s="18" t="s">
        <v>28</v>
      </c>
      <c r="C42" s="18">
        <v>9378669</v>
      </c>
      <c r="D42" s="17">
        <v>254720585933</v>
      </c>
      <c r="E42" s="20">
        <v>44945.782025463</v>
      </c>
      <c r="F42" s="18">
        <v>3517.09</v>
      </c>
      <c r="G42" s="18">
        <v>2.32</v>
      </c>
      <c r="H42" s="18">
        <v>3514.77</v>
      </c>
      <c r="I42" s="18">
        <v>358.96</v>
      </c>
      <c r="J42" s="18">
        <v>1.92</v>
      </c>
      <c r="K42" s="18">
        <v>357.04</v>
      </c>
      <c r="L42" s="18">
        <v>428.2</v>
      </c>
      <c r="M42" s="18">
        <v>56950</v>
      </c>
      <c r="N42" s="18">
        <v>45.71</v>
      </c>
      <c r="O42" s="18">
        <v>6079.43</v>
      </c>
      <c r="P42" s="18" t="s">
        <v>34</v>
      </c>
      <c r="Q42" s="18" t="s">
        <v>30</v>
      </c>
      <c r="R42" s="18" t="s">
        <v>162</v>
      </c>
      <c r="S42" s="18">
        <v>0</v>
      </c>
      <c r="T42" s="18">
        <v>2850</v>
      </c>
      <c r="U42" s="18">
        <v>0</v>
      </c>
      <c r="V42" s="18" t="s">
        <v>32</v>
      </c>
      <c r="W42" s="18" t="s">
        <v>32</v>
      </c>
      <c r="X42" s="18" t="s">
        <v>32</v>
      </c>
      <c r="Y42" s="18" t="s">
        <v>32</v>
      </c>
      <c r="Z42" s="18" t="s">
        <v>32</v>
      </c>
      <c r="AA42" s="18" t="s">
        <v>32</v>
      </c>
    </row>
    <row r="43" s="18" customFormat="1" spans="1:27">
      <c r="A43" s="18" t="s">
        <v>27</v>
      </c>
      <c r="B43" s="18" t="s">
        <v>28</v>
      </c>
      <c r="C43" s="18">
        <v>14310569</v>
      </c>
      <c r="D43" s="17">
        <v>254721430513</v>
      </c>
      <c r="E43" s="20">
        <v>45592.8669444445</v>
      </c>
      <c r="F43" s="18">
        <v>1416.01</v>
      </c>
      <c r="G43" s="18">
        <v>0</v>
      </c>
      <c r="H43" s="18">
        <v>1416.01</v>
      </c>
      <c r="I43" s="18">
        <v>128.67</v>
      </c>
      <c r="J43" s="18">
        <v>0</v>
      </c>
      <c r="K43" s="18">
        <v>128.67</v>
      </c>
      <c r="L43" s="18">
        <v>358.33</v>
      </c>
      <c r="M43" s="18">
        <v>47658</v>
      </c>
      <c r="N43" s="18">
        <v>72.11</v>
      </c>
      <c r="O43" s="18">
        <v>9590.63</v>
      </c>
      <c r="P43" s="18" t="s">
        <v>29</v>
      </c>
      <c r="Q43" s="18" t="s">
        <v>30</v>
      </c>
      <c r="R43" s="18" t="s">
        <v>162</v>
      </c>
      <c r="S43" s="18">
        <v>0</v>
      </c>
      <c r="T43" s="18">
        <v>2380</v>
      </c>
      <c r="U43" s="18">
        <v>0</v>
      </c>
      <c r="V43" s="18" t="s">
        <v>32</v>
      </c>
      <c r="W43" s="18" t="s">
        <v>32</v>
      </c>
      <c r="X43" s="18" t="s">
        <v>32</v>
      </c>
      <c r="Y43" s="18" t="s">
        <v>32</v>
      </c>
      <c r="Z43" s="18" t="s">
        <v>32</v>
      </c>
      <c r="AA43" s="18" t="s">
        <v>32</v>
      </c>
    </row>
    <row r="44" s="18" customFormat="1" spans="1:27">
      <c r="A44" s="18" t="s">
        <v>27</v>
      </c>
      <c r="B44" s="18" t="s">
        <v>28</v>
      </c>
      <c r="C44" s="18">
        <v>745199</v>
      </c>
      <c r="D44" s="17">
        <v>254721612525</v>
      </c>
      <c r="E44" s="20">
        <v>43948.7516666667</v>
      </c>
      <c r="F44" s="18">
        <v>6520.64</v>
      </c>
      <c r="G44" s="18">
        <v>0</v>
      </c>
      <c r="H44" s="18">
        <v>6520.64</v>
      </c>
      <c r="I44" s="18">
        <v>101.72</v>
      </c>
      <c r="J44" s="18">
        <v>0</v>
      </c>
      <c r="K44" s="18">
        <v>101.72</v>
      </c>
      <c r="L44" s="18">
        <v>606.08</v>
      </c>
      <c r="M44" s="18">
        <v>80608</v>
      </c>
      <c r="N44" s="18">
        <v>77.49</v>
      </c>
      <c r="O44" s="18">
        <v>10306.17</v>
      </c>
      <c r="P44" s="18" t="s">
        <v>34</v>
      </c>
      <c r="Q44" s="18" t="s">
        <v>30</v>
      </c>
      <c r="R44" s="18" t="s">
        <v>162</v>
      </c>
      <c r="S44" s="18">
        <v>0</v>
      </c>
      <c r="T44" s="18">
        <v>4030</v>
      </c>
      <c r="U44" s="18">
        <v>0</v>
      </c>
      <c r="V44" s="18" t="s">
        <v>32</v>
      </c>
      <c r="W44" s="18" t="s">
        <v>32</v>
      </c>
      <c r="X44" s="18" t="s">
        <v>32</v>
      </c>
      <c r="Y44" s="18" t="s">
        <v>32</v>
      </c>
      <c r="Z44" s="18" t="s">
        <v>32</v>
      </c>
      <c r="AA44" s="18" t="s">
        <v>32</v>
      </c>
    </row>
    <row r="45" s="18" customFormat="1" spans="1:27">
      <c r="A45" s="18" t="s">
        <v>27</v>
      </c>
      <c r="B45" s="18" t="s">
        <v>28</v>
      </c>
      <c r="C45" s="18">
        <v>885776</v>
      </c>
      <c r="D45" s="17">
        <v>254722317841</v>
      </c>
      <c r="E45" s="20">
        <v>43978.5079050926</v>
      </c>
      <c r="F45" s="18">
        <v>786.9</v>
      </c>
      <c r="G45" s="18">
        <v>0.97</v>
      </c>
      <c r="H45" s="18">
        <v>785.93</v>
      </c>
      <c r="I45" s="18">
        <v>-0.1</v>
      </c>
      <c r="J45" s="18">
        <v>0.97</v>
      </c>
      <c r="K45" s="18">
        <v>-1.07</v>
      </c>
      <c r="L45" s="18">
        <v>70.35</v>
      </c>
      <c r="M45" s="18">
        <v>9357</v>
      </c>
      <c r="N45" s="18">
        <v>11.29</v>
      </c>
      <c r="O45" s="18">
        <v>1501.57</v>
      </c>
      <c r="P45" s="18" t="s">
        <v>29</v>
      </c>
      <c r="Q45" s="18" t="s">
        <v>30</v>
      </c>
      <c r="R45" s="18" t="s">
        <v>162</v>
      </c>
      <c r="S45" s="18">
        <v>0</v>
      </c>
      <c r="T45" s="18">
        <v>470</v>
      </c>
      <c r="U45" s="18">
        <v>0</v>
      </c>
      <c r="V45" s="18" t="s">
        <v>32</v>
      </c>
      <c r="W45" s="18" t="s">
        <v>32</v>
      </c>
      <c r="X45" s="18" t="s">
        <v>32</v>
      </c>
      <c r="Y45" s="18" t="s">
        <v>32</v>
      </c>
      <c r="Z45" s="18" t="s">
        <v>32</v>
      </c>
      <c r="AA45" s="18" t="s">
        <v>32</v>
      </c>
    </row>
    <row r="46" s="18" customFormat="1" spans="1:27">
      <c r="A46" s="18" t="s">
        <v>27</v>
      </c>
      <c r="B46" s="18" t="s">
        <v>28</v>
      </c>
      <c r="C46" s="18">
        <v>19412129</v>
      </c>
      <c r="D46" s="17">
        <v>254722532184</v>
      </c>
      <c r="E46" s="20">
        <v>45973.7285532407</v>
      </c>
      <c r="F46" s="18">
        <v>517.56</v>
      </c>
      <c r="G46" s="18">
        <v>0.07</v>
      </c>
      <c r="H46" s="18">
        <v>517.5</v>
      </c>
      <c r="I46" s="18">
        <v>-20.7</v>
      </c>
      <c r="J46" s="18">
        <v>0.07</v>
      </c>
      <c r="K46" s="18">
        <v>-20.77</v>
      </c>
      <c r="L46" s="18">
        <v>89.37</v>
      </c>
      <c r="M46" s="18">
        <v>11886</v>
      </c>
      <c r="N46" s="18">
        <v>84.19</v>
      </c>
      <c r="O46" s="18">
        <v>11197.27</v>
      </c>
      <c r="P46" s="18" t="s">
        <v>29</v>
      </c>
      <c r="Q46" s="18" t="s">
        <v>30</v>
      </c>
      <c r="R46" s="18" t="s">
        <v>162</v>
      </c>
      <c r="S46" s="18">
        <v>0</v>
      </c>
      <c r="T46" s="18">
        <v>590</v>
      </c>
      <c r="U46" s="18">
        <v>0</v>
      </c>
      <c r="V46" s="18" t="s">
        <v>32</v>
      </c>
      <c r="W46" s="18" t="s">
        <v>32</v>
      </c>
      <c r="X46" s="18" t="s">
        <v>32</v>
      </c>
      <c r="Y46" s="18" t="s">
        <v>32</v>
      </c>
      <c r="Z46" s="18" t="s">
        <v>32</v>
      </c>
      <c r="AA46" s="18" t="s">
        <v>32</v>
      </c>
    </row>
    <row r="47" s="18" customFormat="1" spans="1:27">
      <c r="A47" s="18" t="s">
        <v>27</v>
      </c>
      <c r="B47" s="18" t="s">
        <v>28</v>
      </c>
      <c r="C47" s="18">
        <v>11626547</v>
      </c>
      <c r="D47" s="17">
        <v>254722725152</v>
      </c>
      <c r="E47" s="20">
        <v>45268.590625</v>
      </c>
      <c r="F47" s="18">
        <v>4128.9</v>
      </c>
      <c r="G47" s="18">
        <v>0</v>
      </c>
      <c r="H47" s="18">
        <v>4128.9</v>
      </c>
      <c r="I47" s="18">
        <v>283.94</v>
      </c>
      <c r="J47" s="18">
        <v>0</v>
      </c>
      <c r="K47" s="18">
        <v>283.94</v>
      </c>
      <c r="L47" s="18">
        <v>1306.09</v>
      </c>
      <c r="M47" s="18">
        <v>173710</v>
      </c>
      <c r="N47" s="18">
        <v>529.29</v>
      </c>
      <c r="O47" s="18">
        <v>70395.57</v>
      </c>
      <c r="P47" s="18" t="s">
        <v>34</v>
      </c>
      <c r="Q47" s="18" t="s">
        <v>33</v>
      </c>
      <c r="R47" s="18" t="s">
        <v>162</v>
      </c>
      <c r="S47" s="18">
        <v>0</v>
      </c>
      <c r="T47" s="18">
        <v>8690</v>
      </c>
      <c r="U47" s="18">
        <v>0</v>
      </c>
      <c r="V47" s="18" t="s">
        <v>32</v>
      </c>
      <c r="W47" s="18" t="s">
        <v>32</v>
      </c>
      <c r="X47" s="18" t="s">
        <v>32</v>
      </c>
      <c r="Y47" s="18" t="s">
        <v>32</v>
      </c>
      <c r="Z47" s="18" t="s">
        <v>32</v>
      </c>
      <c r="AA47" s="18" t="s">
        <v>32</v>
      </c>
    </row>
    <row r="48" s="18" customFormat="1" spans="1:27">
      <c r="A48" s="18" t="s">
        <v>27</v>
      </c>
      <c r="B48" s="18" t="s">
        <v>28</v>
      </c>
      <c r="C48" s="18">
        <v>13374659</v>
      </c>
      <c r="D48" s="17">
        <v>254723352202</v>
      </c>
      <c r="E48" s="20">
        <v>45498.5210532407</v>
      </c>
      <c r="F48" s="18">
        <v>289.33</v>
      </c>
      <c r="G48" s="18">
        <v>18.32</v>
      </c>
      <c r="H48" s="18">
        <v>271.01</v>
      </c>
      <c r="I48" s="18">
        <v>18.79</v>
      </c>
      <c r="J48" s="18">
        <v>-18.83</v>
      </c>
      <c r="K48" s="18">
        <v>37.62</v>
      </c>
      <c r="L48" s="18">
        <v>78.83</v>
      </c>
      <c r="M48" s="18">
        <v>10484</v>
      </c>
      <c r="N48" s="18">
        <v>60.5</v>
      </c>
      <c r="O48" s="18">
        <v>8046.5</v>
      </c>
      <c r="P48" s="18" t="s">
        <v>34</v>
      </c>
      <c r="Q48" s="18" t="s">
        <v>30</v>
      </c>
      <c r="R48" s="18" t="s">
        <v>162</v>
      </c>
      <c r="S48" s="18">
        <v>0</v>
      </c>
      <c r="T48" s="18">
        <v>520</v>
      </c>
      <c r="U48" s="18">
        <v>0</v>
      </c>
      <c r="V48" s="18" t="s">
        <v>32</v>
      </c>
      <c r="W48" s="18" t="s">
        <v>32</v>
      </c>
      <c r="X48" s="18" t="s">
        <v>32</v>
      </c>
      <c r="Y48" s="18" t="s">
        <v>32</v>
      </c>
      <c r="Z48" s="18" t="s">
        <v>32</v>
      </c>
      <c r="AA48" s="18" t="s">
        <v>32</v>
      </c>
    </row>
    <row r="49" s="18" customFormat="1" spans="1:27">
      <c r="A49" s="18" t="s">
        <v>27</v>
      </c>
      <c r="B49" s="18" t="s">
        <v>28</v>
      </c>
      <c r="C49" s="18">
        <v>15383248</v>
      </c>
      <c r="D49" s="17">
        <v>254723985246</v>
      </c>
      <c r="E49" s="20">
        <v>45666.703125</v>
      </c>
      <c r="F49" s="18">
        <v>7455.29</v>
      </c>
      <c r="G49" s="18">
        <v>0</v>
      </c>
      <c r="H49" s="18">
        <v>7455.29</v>
      </c>
      <c r="I49" s="18">
        <v>349.7</v>
      </c>
      <c r="J49" s="18">
        <v>0</v>
      </c>
      <c r="K49" s="18">
        <v>349.7</v>
      </c>
      <c r="L49" s="18">
        <v>1093.47</v>
      </c>
      <c r="M49" s="18">
        <v>145432</v>
      </c>
      <c r="N49" s="18">
        <v>310.09</v>
      </c>
      <c r="O49" s="18">
        <v>41241.97</v>
      </c>
      <c r="P49" s="18" t="s">
        <v>29</v>
      </c>
      <c r="Q49" s="18" t="s">
        <v>33</v>
      </c>
      <c r="R49" s="18" t="s">
        <v>162</v>
      </c>
      <c r="S49" s="18">
        <v>0</v>
      </c>
      <c r="T49" s="18">
        <v>7270</v>
      </c>
      <c r="U49" s="18">
        <v>0</v>
      </c>
      <c r="V49" s="18" t="s">
        <v>32</v>
      </c>
      <c r="W49" s="18" t="s">
        <v>32</v>
      </c>
      <c r="X49" s="18" t="s">
        <v>32</v>
      </c>
      <c r="Y49" s="18" t="s">
        <v>32</v>
      </c>
      <c r="Z49" s="18" t="s">
        <v>32</v>
      </c>
      <c r="AA49" s="18" t="s">
        <v>32</v>
      </c>
    </row>
    <row r="50" s="18" customFormat="1" spans="1:27">
      <c r="A50" s="18" t="s">
        <v>27</v>
      </c>
      <c r="B50" s="18" t="s">
        <v>28</v>
      </c>
      <c r="C50" s="18">
        <v>18682707</v>
      </c>
      <c r="D50" s="17">
        <v>254724557107</v>
      </c>
      <c r="E50" s="20">
        <v>45926.7639583333</v>
      </c>
      <c r="F50" s="18">
        <v>530.84</v>
      </c>
      <c r="G50" s="18">
        <v>0</v>
      </c>
      <c r="H50" s="18">
        <v>530.84</v>
      </c>
      <c r="I50" s="18">
        <v>-2.67</v>
      </c>
      <c r="J50" s="18">
        <v>0</v>
      </c>
      <c r="K50" s="18">
        <v>-2.67</v>
      </c>
      <c r="L50" s="18">
        <v>197.02</v>
      </c>
      <c r="M50" s="18">
        <v>26204</v>
      </c>
      <c r="N50" s="18">
        <v>29.3</v>
      </c>
      <c r="O50" s="18">
        <v>3896.9</v>
      </c>
      <c r="P50" s="18" t="s">
        <v>29</v>
      </c>
      <c r="Q50" s="18" t="s">
        <v>30</v>
      </c>
      <c r="R50" s="18" t="s">
        <v>162</v>
      </c>
      <c r="S50" s="18">
        <v>0</v>
      </c>
      <c r="T50" s="18">
        <v>1310</v>
      </c>
      <c r="U50" s="18">
        <v>0</v>
      </c>
      <c r="V50" s="18" t="s">
        <v>32</v>
      </c>
      <c r="W50" s="18" t="s">
        <v>32</v>
      </c>
      <c r="X50" s="18" t="s">
        <v>32</v>
      </c>
      <c r="Y50" s="18" t="s">
        <v>32</v>
      </c>
      <c r="Z50" s="18" t="s">
        <v>32</v>
      </c>
      <c r="AA50" s="18" t="s">
        <v>32</v>
      </c>
    </row>
    <row r="51" s="18" customFormat="1" spans="1:27">
      <c r="A51" s="18" t="s">
        <v>27</v>
      </c>
      <c r="B51" s="18" t="s">
        <v>28</v>
      </c>
      <c r="C51" s="18">
        <v>20594978</v>
      </c>
      <c r="D51" s="17">
        <v>254724659459</v>
      </c>
      <c r="E51" s="20">
        <v>46029.5177314815</v>
      </c>
      <c r="F51" s="18">
        <v>557.23</v>
      </c>
      <c r="G51" s="18">
        <v>0.53</v>
      </c>
      <c r="H51" s="18">
        <v>556.69</v>
      </c>
      <c r="I51" s="18">
        <v>-24.04</v>
      </c>
      <c r="J51" s="18">
        <v>0.53</v>
      </c>
      <c r="K51" s="18">
        <v>-24.57</v>
      </c>
      <c r="L51" s="18">
        <v>55.35</v>
      </c>
      <c r="M51" s="18">
        <v>7362</v>
      </c>
      <c r="N51" s="18">
        <v>3.36</v>
      </c>
      <c r="O51" s="18">
        <v>446.88</v>
      </c>
      <c r="P51" s="18" t="s">
        <v>29</v>
      </c>
      <c r="Q51" s="18" t="s">
        <v>30</v>
      </c>
      <c r="R51" s="18" t="s">
        <v>162</v>
      </c>
      <c r="S51" s="18">
        <v>0</v>
      </c>
      <c r="T51" s="18">
        <v>370</v>
      </c>
      <c r="U51" s="18">
        <v>0</v>
      </c>
      <c r="V51" s="18" t="s">
        <v>32</v>
      </c>
      <c r="W51" s="18" t="s">
        <v>32</v>
      </c>
      <c r="X51" s="18" t="s">
        <v>32</v>
      </c>
      <c r="Y51" s="18" t="s">
        <v>32</v>
      </c>
      <c r="Z51" s="18" t="s">
        <v>32</v>
      </c>
      <c r="AA51" s="18" t="s">
        <v>32</v>
      </c>
    </row>
    <row r="52" s="18" customFormat="1" spans="1:27">
      <c r="A52" s="18" t="s">
        <v>27</v>
      </c>
      <c r="B52" s="18" t="s">
        <v>28</v>
      </c>
      <c r="C52" s="18">
        <v>14974247</v>
      </c>
      <c r="D52" s="17">
        <v>254725289387</v>
      </c>
      <c r="E52" s="20">
        <v>45633.5042013889</v>
      </c>
      <c r="F52" s="18">
        <v>1572.62</v>
      </c>
      <c r="G52" s="18">
        <v>0.01</v>
      </c>
      <c r="H52" s="18">
        <v>1572.62</v>
      </c>
      <c r="I52" s="18">
        <v>47.42</v>
      </c>
      <c r="J52" s="18">
        <v>0.01</v>
      </c>
      <c r="K52" s="18">
        <v>47.41</v>
      </c>
      <c r="L52" s="18">
        <v>206.39</v>
      </c>
      <c r="M52" s="18">
        <v>27450</v>
      </c>
      <c r="N52" s="18">
        <v>10.71</v>
      </c>
      <c r="O52" s="18">
        <v>1424.43</v>
      </c>
      <c r="P52" s="18" t="s">
        <v>34</v>
      </c>
      <c r="Q52" s="18" t="s">
        <v>30</v>
      </c>
      <c r="R52" s="18" t="s">
        <v>162</v>
      </c>
      <c r="S52" s="18">
        <v>0</v>
      </c>
      <c r="T52" s="18">
        <v>1370</v>
      </c>
      <c r="U52" s="18">
        <v>0</v>
      </c>
      <c r="V52" s="18" t="s">
        <v>32</v>
      </c>
      <c r="W52" s="18" t="s">
        <v>32</v>
      </c>
      <c r="X52" s="18" t="s">
        <v>32</v>
      </c>
      <c r="Y52" s="18" t="s">
        <v>32</v>
      </c>
      <c r="Z52" s="18" t="s">
        <v>32</v>
      </c>
      <c r="AA52" s="18" t="s">
        <v>32</v>
      </c>
    </row>
    <row r="53" s="18" customFormat="1" spans="1:27">
      <c r="A53" s="18" t="s">
        <v>27</v>
      </c>
      <c r="B53" s="18" t="s">
        <v>28</v>
      </c>
      <c r="C53" s="18">
        <v>22906849</v>
      </c>
      <c r="D53" s="17">
        <v>254725741927</v>
      </c>
      <c r="E53" s="20">
        <v>46159.2251967593</v>
      </c>
      <c r="F53" s="18">
        <v>184.17</v>
      </c>
      <c r="G53" s="18">
        <v>0</v>
      </c>
      <c r="H53" s="18">
        <v>184.17</v>
      </c>
      <c r="I53" s="18">
        <v>59.09</v>
      </c>
      <c r="J53" s="18">
        <v>0</v>
      </c>
      <c r="K53" s="18">
        <v>59.09</v>
      </c>
      <c r="L53" s="18">
        <v>62.26</v>
      </c>
      <c r="M53" s="18">
        <v>8280</v>
      </c>
      <c r="N53" s="18">
        <v>59.14</v>
      </c>
      <c r="O53" s="18">
        <v>7865.62</v>
      </c>
      <c r="P53" s="18" t="s">
        <v>29</v>
      </c>
      <c r="Q53" s="18" t="s">
        <v>30</v>
      </c>
      <c r="R53" s="18" t="s">
        <v>162</v>
      </c>
      <c r="S53" s="18">
        <v>0</v>
      </c>
      <c r="T53" s="18">
        <v>410</v>
      </c>
      <c r="U53" s="18">
        <v>0</v>
      </c>
      <c r="V53" s="18" t="s">
        <v>32</v>
      </c>
      <c r="W53" s="18" t="s">
        <v>32</v>
      </c>
      <c r="X53" s="18" t="s">
        <v>32</v>
      </c>
      <c r="Y53" s="18" t="s">
        <v>32</v>
      </c>
      <c r="Z53" s="18" t="s">
        <v>32</v>
      </c>
      <c r="AA53" s="18" t="s">
        <v>32</v>
      </c>
    </row>
    <row r="54" s="18" customFormat="1" spans="1:27">
      <c r="A54" s="18" t="s">
        <v>27</v>
      </c>
      <c r="B54" s="18" t="s">
        <v>28</v>
      </c>
      <c r="C54" s="18">
        <v>20458486</v>
      </c>
      <c r="D54" s="17">
        <v>254726758397</v>
      </c>
      <c r="E54" s="20">
        <v>46023.2596064815</v>
      </c>
      <c r="F54" s="18">
        <v>609.01</v>
      </c>
      <c r="G54" s="18">
        <v>0</v>
      </c>
      <c r="H54" s="18">
        <v>609.01</v>
      </c>
      <c r="I54" s="18">
        <v>49.73</v>
      </c>
      <c r="J54" s="18">
        <v>0</v>
      </c>
      <c r="K54" s="18">
        <v>49.73</v>
      </c>
      <c r="L54" s="18">
        <v>81.58</v>
      </c>
      <c r="M54" s="18">
        <v>10850</v>
      </c>
      <c r="N54" s="18">
        <v>41.43</v>
      </c>
      <c r="O54" s="18">
        <v>5510.19</v>
      </c>
      <c r="P54" s="18" t="s">
        <v>34</v>
      </c>
      <c r="Q54" s="18" t="s">
        <v>30</v>
      </c>
      <c r="R54" s="18" t="s">
        <v>162</v>
      </c>
      <c r="S54" s="18">
        <v>0</v>
      </c>
      <c r="T54" s="18">
        <v>540</v>
      </c>
      <c r="U54" s="18">
        <v>0</v>
      </c>
      <c r="V54" s="18" t="s">
        <v>32</v>
      </c>
      <c r="W54" s="18" t="s">
        <v>32</v>
      </c>
      <c r="X54" s="18" t="s">
        <v>32</v>
      </c>
      <c r="Y54" s="18" t="s">
        <v>32</v>
      </c>
      <c r="Z54" s="18" t="s">
        <v>32</v>
      </c>
      <c r="AA54" s="18" t="s">
        <v>32</v>
      </c>
    </row>
    <row r="55" s="18" customFormat="1" spans="1:27">
      <c r="A55" s="18" t="s">
        <v>27</v>
      </c>
      <c r="B55" s="18" t="s">
        <v>28</v>
      </c>
      <c r="C55" s="18">
        <v>18452856</v>
      </c>
      <c r="D55" s="17">
        <v>254727840181</v>
      </c>
      <c r="E55" s="20">
        <v>45912.7614583333</v>
      </c>
      <c r="F55" s="18">
        <v>259.82</v>
      </c>
      <c r="G55" s="18">
        <v>2.14</v>
      </c>
      <c r="H55" s="18">
        <v>257.67</v>
      </c>
      <c r="I55" s="18">
        <v>30.04</v>
      </c>
      <c r="J55" s="18">
        <v>2.14</v>
      </c>
      <c r="K55" s="18">
        <v>27.9</v>
      </c>
      <c r="L55" s="18">
        <v>55.38</v>
      </c>
      <c r="M55" s="18">
        <v>7366</v>
      </c>
      <c r="N55" s="18">
        <v>13.86</v>
      </c>
      <c r="O55" s="18">
        <v>1843.38</v>
      </c>
      <c r="P55" s="18" t="s">
        <v>29</v>
      </c>
      <c r="Q55" s="18" t="s">
        <v>30</v>
      </c>
      <c r="R55" s="18" t="s">
        <v>162</v>
      </c>
      <c r="S55" s="18">
        <v>0</v>
      </c>
      <c r="T55" s="18">
        <v>370</v>
      </c>
      <c r="U55" s="18">
        <v>0</v>
      </c>
      <c r="V55" s="18" t="s">
        <v>32</v>
      </c>
      <c r="W55" s="18" t="s">
        <v>32</v>
      </c>
      <c r="X55" s="18" t="s">
        <v>32</v>
      </c>
      <c r="Y55" s="18" t="s">
        <v>32</v>
      </c>
      <c r="Z55" s="18" t="s">
        <v>32</v>
      </c>
      <c r="AA55" s="18" t="s">
        <v>32</v>
      </c>
    </row>
    <row r="56" s="18" customFormat="1" spans="1:27">
      <c r="A56" s="18" t="s">
        <v>27</v>
      </c>
      <c r="B56" s="18" t="s">
        <v>28</v>
      </c>
      <c r="C56" s="18">
        <v>16775606</v>
      </c>
      <c r="D56" s="17">
        <v>254728270590</v>
      </c>
      <c r="E56" s="20">
        <v>45801.6740393518</v>
      </c>
      <c r="F56" s="18">
        <v>1096.21</v>
      </c>
      <c r="G56" s="18">
        <v>0.08</v>
      </c>
      <c r="H56" s="18">
        <v>1096.12</v>
      </c>
      <c r="I56" s="18">
        <v>33.13</v>
      </c>
      <c r="J56" s="18">
        <v>0.08</v>
      </c>
      <c r="K56" s="18">
        <v>33.05</v>
      </c>
      <c r="L56" s="18">
        <v>146.56</v>
      </c>
      <c r="M56" s="18">
        <v>19493</v>
      </c>
      <c r="N56" s="18">
        <v>0</v>
      </c>
      <c r="O56" s="18">
        <v>0</v>
      </c>
      <c r="P56" s="18" t="s">
        <v>29</v>
      </c>
      <c r="Q56" s="18" t="s">
        <v>30</v>
      </c>
      <c r="R56" s="18" t="s">
        <v>162</v>
      </c>
      <c r="S56" s="18">
        <v>0</v>
      </c>
      <c r="T56" s="18">
        <v>970</v>
      </c>
      <c r="U56" s="18">
        <v>0</v>
      </c>
      <c r="V56" s="18" t="s">
        <v>32</v>
      </c>
      <c r="W56" s="18" t="s">
        <v>32</v>
      </c>
      <c r="X56" s="18" t="s">
        <v>32</v>
      </c>
      <c r="Y56" s="18" t="s">
        <v>32</v>
      </c>
      <c r="Z56" s="18" t="s">
        <v>32</v>
      </c>
      <c r="AA56" s="18" t="s">
        <v>32</v>
      </c>
    </row>
    <row r="57" s="18" customFormat="1" spans="1:27">
      <c r="A57" s="18" t="s">
        <v>27</v>
      </c>
      <c r="B57" s="18" t="s">
        <v>28</v>
      </c>
      <c r="C57" s="18">
        <v>11594879</v>
      </c>
      <c r="D57" s="17">
        <v>254728310933</v>
      </c>
      <c r="E57" s="20">
        <v>45266.267349537</v>
      </c>
      <c r="F57" s="18">
        <v>185.7</v>
      </c>
      <c r="G57" s="18">
        <v>0.94</v>
      </c>
      <c r="H57" s="18">
        <v>184.76</v>
      </c>
      <c r="I57" s="18">
        <v>17.9</v>
      </c>
      <c r="J57" s="18">
        <v>0.94</v>
      </c>
      <c r="K57" s="18">
        <v>16.96</v>
      </c>
      <c r="L57" s="18">
        <v>55.72</v>
      </c>
      <c r="M57" s="18">
        <v>7411</v>
      </c>
      <c r="N57" s="18">
        <v>3.07</v>
      </c>
      <c r="O57" s="18">
        <v>408.31</v>
      </c>
      <c r="P57" s="18" t="s">
        <v>34</v>
      </c>
      <c r="Q57" s="18" t="s">
        <v>30</v>
      </c>
      <c r="R57" s="18" t="s">
        <v>162</v>
      </c>
      <c r="S57" s="18">
        <v>0</v>
      </c>
      <c r="T57" s="18">
        <v>370</v>
      </c>
      <c r="U57" s="18">
        <v>0</v>
      </c>
      <c r="V57" s="18" t="s">
        <v>32</v>
      </c>
      <c r="W57" s="18" t="s">
        <v>32</v>
      </c>
      <c r="X57" s="18" t="s">
        <v>32</v>
      </c>
      <c r="Y57" s="18" t="s">
        <v>32</v>
      </c>
      <c r="Z57" s="18" t="s">
        <v>32</v>
      </c>
      <c r="AA57" s="18" t="s">
        <v>32</v>
      </c>
    </row>
    <row r="58" s="18" customFormat="1" spans="1:27">
      <c r="A58" s="18" t="s">
        <v>27</v>
      </c>
      <c r="B58" s="18" t="s">
        <v>28</v>
      </c>
      <c r="C58" s="18">
        <v>18080549</v>
      </c>
      <c r="D58" s="17">
        <v>254728324788</v>
      </c>
      <c r="E58" s="20">
        <v>45891.3919444444</v>
      </c>
      <c r="F58" s="18">
        <v>592</v>
      </c>
      <c r="G58" s="18">
        <v>0</v>
      </c>
      <c r="H58" s="18">
        <v>592</v>
      </c>
      <c r="I58" s="18">
        <v>170.09</v>
      </c>
      <c r="J58" s="18">
        <v>-0.31</v>
      </c>
      <c r="K58" s="18">
        <v>170.4</v>
      </c>
      <c r="L58" s="18">
        <v>322.94</v>
      </c>
      <c r="M58" s="18">
        <v>42951</v>
      </c>
      <c r="N58" s="18">
        <v>0</v>
      </c>
      <c r="O58" s="18">
        <v>0</v>
      </c>
      <c r="P58" s="18" t="s">
        <v>29</v>
      </c>
      <c r="Q58" s="18" t="s">
        <v>30</v>
      </c>
      <c r="R58" s="18" t="s">
        <v>162</v>
      </c>
      <c r="S58" s="18">
        <v>0</v>
      </c>
      <c r="T58" s="18">
        <v>2150</v>
      </c>
      <c r="U58" s="18">
        <v>0</v>
      </c>
      <c r="V58" s="18" t="s">
        <v>32</v>
      </c>
      <c r="W58" s="18" t="s">
        <v>32</v>
      </c>
      <c r="X58" s="18" t="s">
        <v>32</v>
      </c>
      <c r="Y58" s="18" t="s">
        <v>32</v>
      </c>
      <c r="Z58" s="18" t="s">
        <v>32</v>
      </c>
      <c r="AA58" s="18" t="s">
        <v>32</v>
      </c>
    </row>
    <row r="59" s="18" customFormat="1" spans="1:27">
      <c r="A59" s="18" t="s">
        <v>27</v>
      </c>
      <c r="B59" s="18" t="s">
        <v>28</v>
      </c>
      <c r="C59" s="18">
        <v>21746088</v>
      </c>
      <c r="D59" s="17">
        <v>254728454489</v>
      </c>
      <c r="E59" s="20">
        <v>46088.0371412037</v>
      </c>
      <c r="F59" s="18">
        <v>206.38</v>
      </c>
      <c r="G59" s="18">
        <v>0</v>
      </c>
      <c r="H59" s="18">
        <v>206.38</v>
      </c>
      <c r="I59" s="18">
        <v>2.47</v>
      </c>
      <c r="J59" s="18">
        <v>0</v>
      </c>
      <c r="K59" s="18">
        <v>2.47</v>
      </c>
      <c r="L59" s="18">
        <v>65.41</v>
      </c>
      <c r="M59" s="18">
        <v>8700</v>
      </c>
      <c r="N59" s="18">
        <v>62.14</v>
      </c>
      <c r="O59" s="18">
        <v>8264.62</v>
      </c>
      <c r="P59" s="18" t="s">
        <v>34</v>
      </c>
      <c r="Q59" s="18" t="s">
        <v>30</v>
      </c>
      <c r="R59" s="18" t="s">
        <v>162</v>
      </c>
      <c r="S59" s="18">
        <v>0</v>
      </c>
      <c r="T59" s="18">
        <v>440</v>
      </c>
      <c r="U59" s="18">
        <v>0</v>
      </c>
      <c r="V59" s="18" t="s">
        <v>32</v>
      </c>
      <c r="W59" s="18" t="s">
        <v>32</v>
      </c>
      <c r="X59" s="18" t="s">
        <v>32</v>
      </c>
      <c r="Y59" s="18" t="s">
        <v>32</v>
      </c>
      <c r="Z59" s="18" t="s">
        <v>32</v>
      </c>
      <c r="AA59" s="18" t="s">
        <v>32</v>
      </c>
    </row>
    <row r="60" s="18" customFormat="1" spans="1:27">
      <c r="A60" s="18" t="s">
        <v>27</v>
      </c>
      <c r="B60" s="18" t="s">
        <v>28</v>
      </c>
      <c r="C60" s="18">
        <v>2123157</v>
      </c>
      <c r="D60" s="17">
        <v>254728546897</v>
      </c>
      <c r="E60" s="20">
        <v>44051.4750231481</v>
      </c>
      <c r="F60" s="18">
        <v>1682.19</v>
      </c>
      <c r="G60" s="18">
        <v>4.83</v>
      </c>
      <c r="H60" s="18">
        <v>1677.36</v>
      </c>
      <c r="I60" s="18">
        <v>7.37</v>
      </c>
      <c r="J60" s="18">
        <v>4.83</v>
      </c>
      <c r="K60" s="18">
        <v>2.54</v>
      </c>
      <c r="L60" s="18">
        <v>206.16</v>
      </c>
      <c r="M60" s="18">
        <v>27419</v>
      </c>
      <c r="N60" s="18">
        <v>120.86</v>
      </c>
      <c r="O60" s="18">
        <v>16074.38</v>
      </c>
      <c r="P60" s="18" t="s">
        <v>34</v>
      </c>
      <c r="Q60" s="18" t="s">
        <v>30</v>
      </c>
      <c r="R60" s="18" t="s">
        <v>162</v>
      </c>
      <c r="S60" s="18">
        <v>0</v>
      </c>
      <c r="T60" s="18">
        <v>1370</v>
      </c>
      <c r="U60" s="18">
        <v>0</v>
      </c>
      <c r="V60" s="18" t="s">
        <v>32</v>
      </c>
      <c r="W60" s="18" t="s">
        <v>32</v>
      </c>
      <c r="X60" s="18" t="s">
        <v>32</v>
      </c>
      <c r="Y60" s="18" t="s">
        <v>32</v>
      </c>
      <c r="Z60" s="18" t="s">
        <v>32</v>
      </c>
      <c r="AA60" s="18" t="s">
        <v>32</v>
      </c>
    </row>
    <row r="61" s="18" customFormat="1" spans="1:27">
      <c r="A61" s="18" t="s">
        <v>27</v>
      </c>
      <c r="B61" s="18" t="s">
        <v>28</v>
      </c>
      <c r="C61" s="18">
        <v>22232428</v>
      </c>
      <c r="D61" s="17">
        <v>254728799822</v>
      </c>
      <c r="E61" s="20">
        <v>46115.6722569444</v>
      </c>
      <c r="F61" s="18">
        <v>2558.26</v>
      </c>
      <c r="G61" s="18">
        <v>0</v>
      </c>
      <c r="H61" s="18">
        <v>2558.26</v>
      </c>
      <c r="I61" s="18">
        <v>141.31</v>
      </c>
      <c r="J61" s="18">
        <v>0</v>
      </c>
      <c r="K61" s="18">
        <v>141.31</v>
      </c>
      <c r="L61" s="18">
        <v>346.62</v>
      </c>
      <c r="M61" s="18">
        <v>46100</v>
      </c>
      <c r="N61" s="18">
        <v>329.29</v>
      </c>
      <c r="O61" s="18">
        <v>43795.57</v>
      </c>
      <c r="P61" s="18" t="s">
        <v>29</v>
      </c>
      <c r="Q61" s="18" t="s">
        <v>30</v>
      </c>
      <c r="R61" s="18" t="s">
        <v>162</v>
      </c>
      <c r="S61" s="18">
        <v>0</v>
      </c>
      <c r="T61" s="18">
        <v>2300</v>
      </c>
      <c r="U61" s="18">
        <v>0</v>
      </c>
      <c r="V61" s="18" t="s">
        <v>32</v>
      </c>
      <c r="W61" s="18" t="s">
        <v>32</v>
      </c>
      <c r="X61" s="18" t="s">
        <v>32</v>
      </c>
      <c r="Y61" s="18" t="s">
        <v>32</v>
      </c>
      <c r="Z61" s="18" t="s">
        <v>32</v>
      </c>
      <c r="AA61" s="18" t="s">
        <v>32</v>
      </c>
    </row>
    <row r="62" s="18" customFormat="1" spans="1:27">
      <c r="A62" s="18" t="s">
        <v>27</v>
      </c>
      <c r="B62" s="18" t="s">
        <v>28</v>
      </c>
      <c r="C62" s="18">
        <v>860418</v>
      </c>
      <c r="D62" s="17">
        <v>254728927924</v>
      </c>
      <c r="E62" s="20">
        <v>43974.4524768519</v>
      </c>
      <c r="F62" s="18">
        <v>9176.47</v>
      </c>
      <c r="G62" s="18">
        <v>0.01</v>
      </c>
      <c r="H62" s="18">
        <v>9176.47</v>
      </c>
      <c r="I62" s="18">
        <v>344.19</v>
      </c>
      <c r="J62" s="18">
        <v>0.01</v>
      </c>
      <c r="K62" s="18">
        <v>344.18</v>
      </c>
      <c r="L62" s="18">
        <v>1525.41</v>
      </c>
      <c r="M62" s="18">
        <v>202880</v>
      </c>
      <c r="N62" s="18">
        <v>44.64</v>
      </c>
      <c r="O62" s="18">
        <v>5937.12</v>
      </c>
      <c r="P62" s="18" t="s">
        <v>34</v>
      </c>
      <c r="Q62" s="18" t="s">
        <v>33</v>
      </c>
      <c r="R62" s="18" t="s">
        <v>162</v>
      </c>
      <c r="S62" s="18">
        <v>0</v>
      </c>
      <c r="T62" s="18">
        <v>10140</v>
      </c>
      <c r="U62" s="18">
        <v>0</v>
      </c>
      <c r="V62" s="18" t="s">
        <v>32</v>
      </c>
      <c r="W62" s="18" t="s">
        <v>32</v>
      </c>
      <c r="X62" s="18" t="s">
        <v>32</v>
      </c>
      <c r="Y62" s="18" t="s">
        <v>32</v>
      </c>
      <c r="Z62" s="18" t="s">
        <v>32</v>
      </c>
      <c r="AA62" s="18" t="s">
        <v>32</v>
      </c>
    </row>
    <row r="63" s="18" customFormat="1" spans="1:27">
      <c r="A63" s="18" t="s">
        <v>27</v>
      </c>
      <c r="B63" s="18" t="s">
        <v>28</v>
      </c>
      <c r="C63" s="18">
        <v>12058217</v>
      </c>
      <c r="D63" s="17">
        <v>254729044607</v>
      </c>
      <c r="E63" s="20">
        <v>45308.4625347222</v>
      </c>
      <c r="F63" s="18">
        <v>857.94</v>
      </c>
      <c r="G63" s="18">
        <v>0</v>
      </c>
      <c r="H63" s="18">
        <v>857.94</v>
      </c>
      <c r="I63" s="18">
        <v>106.99</v>
      </c>
      <c r="J63" s="18">
        <v>0</v>
      </c>
      <c r="K63" s="18">
        <v>106.99</v>
      </c>
      <c r="L63" s="18">
        <v>112.63</v>
      </c>
      <c r="M63" s="18">
        <v>14980</v>
      </c>
      <c r="N63" s="18">
        <v>0</v>
      </c>
      <c r="O63" s="18">
        <v>0</v>
      </c>
      <c r="P63" s="18" t="s">
        <v>29</v>
      </c>
      <c r="Q63" s="18" t="s">
        <v>30</v>
      </c>
      <c r="R63" s="18" t="s">
        <v>162</v>
      </c>
      <c r="S63" s="18">
        <v>0</v>
      </c>
      <c r="T63" s="18">
        <v>750</v>
      </c>
      <c r="U63" s="18">
        <v>0</v>
      </c>
      <c r="V63" s="18" t="s">
        <v>32</v>
      </c>
      <c r="W63" s="18" t="s">
        <v>32</v>
      </c>
      <c r="X63" s="18" t="s">
        <v>32</v>
      </c>
      <c r="Y63" s="18" t="s">
        <v>32</v>
      </c>
      <c r="Z63" s="18" t="s">
        <v>32</v>
      </c>
      <c r="AA63" s="18" t="s">
        <v>32</v>
      </c>
    </row>
    <row r="64" s="18" customFormat="1" spans="1:27">
      <c r="A64" s="18" t="s">
        <v>27</v>
      </c>
      <c r="B64" s="18" t="s">
        <v>28</v>
      </c>
      <c r="C64" s="18">
        <v>18698689</v>
      </c>
      <c r="D64" s="17">
        <v>254729144332</v>
      </c>
      <c r="E64" s="20">
        <v>45928.043287037</v>
      </c>
      <c r="F64" s="18">
        <v>310.03</v>
      </c>
      <c r="G64" s="18">
        <v>1.05</v>
      </c>
      <c r="H64" s="18">
        <v>308.97</v>
      </c>
      <c r="I64" s="18">
        <v>-75.12</v>
      </c>
      <c r="J64" s="18">
        <v>1.05</v>
      </c>
      <c r="K64" s="18">
        <v>-76.17</v>
      </c>
      <c r="L64" s="18">
        <v>52.82</v>
      </c>
      <c r="M64" s="18">
        <v>7025</v>
      </c>
      <c r="N64" s="18">
        <v>3.71</v>
      </c>
      <c r="O64" s="18">
        <v>493.43</v>
      </c>
      <c r="P64" s="18" t="s">
        <v>34</v>
      </c>
      <c r="Q64" s="18" t="s">
        <v>30</v>
      </c>
      <c r="R64" s="18" t="s">
        <v>162</v>
      </c>
      <c r="S64" s="18">
        <v>0</v>
      </c>
      <c r="T64" s="18">
        <v>350</v>
      </c>
      <c r="U64" s="18">
        <v>0</v>
      </c>
      <c r="V64" s="18" t="s">
        <v>32</v>
      </c>
      <c r="W64" s="18" t="s">
        <v>32</v>
      </c>
      <c r="X64" s="18" t="s">
        <v>32</v>
      </c>
      <c r="Y64" s="18" t="s">
        <v>32</v>
      </c>
      <c r="Z64" s="18" t="s">
        <v>32</v>
      </c>
      <c r="AA64" s="18" t="s">
        <v>32</v>
      </c>
    </row>
    <row r="65" s="18" customFormat="1" spans="1:27">
      <c r="A65" s="18" t="s">
        <v>27</v>
      </c>
      <c r="B65" s="18" t="s">
        <v>28</v>
      </c>
      <c r="C65" s="18">
        <v>8651438</v>
      </c>
      <c r="D65" s="17">
        <v>254729175986</v>
      </c>
      <c r="E65" s="20">
        <v>44809.0851388889</v>
      </c>
      <c r="F65" s="18">
        <v>512.74</v>
      </c>
      <c r="G65" s="18">
        <v>15.05</v>
      </c>
      <c r="H65" s="18">
        <v>497.69</v>
      </c>
      <c r="I65" s="18">
        <v>-18.04</v>
      </c>
      <c r="J65" s="18">
        <v>-66.77</v>
      </c>
      <c r="K65" s="18">
        <v>48.72</v>
      </c>
      <c r="L65" s="18">
        <v>112.75</v>
      </c>
      <c r="M65" s="18">
        <v>14996</v>
      </c>
      <c r="N65" s="18">
        <v>77.47</v>
      </c>
      <c r="O65" s="18">
        <v>10303.51</v>
      </c>
      <c r="P65" s="18" t="s">
        <v>34</v>
      </c>
      <c r="Q65" s="18" t="s">
        <v>30</v>
      </c>
      <c r="R65" s="18" t="s">
        <v>162</v>
      </c>
      <c r="S65" s="18">
        <v>0</v>
      </c>
      <c r="T65" s="18">
        <v>750</v>
      </c>
      <c r="U65" s="18">
        <v>0</v>
      </c>
      <c r="V65" s="18" t="s">
        <v>32</v>
      </c>
      <c r="W65" s="18" t="s">
        <v>32</v>
      </c>
      <c r="X65" s="18" t="s">
        <v>32</v>
      </c>
      <c r="Y65" s="18" t="s">
        <v>32</v>
      </c>
      <c r="Z65" s="18" t="s">
        <v>32</v>
      </c>
      <c r="AA65" s="18" t="s">
        <v>32</v>
      </c>
    </row>
    <row r="66" s="18" customFormat="1" spans="1:27">
      <c r="A66" s="18" t="s">
        <v>27</v>
      </c>
      <c r="B66" s="18" t="s">
        <v>28</v>
      </c>
      <c r="C66" s="18">
        <v>11333228</v>
      </c>
      <c r="D66" s="17">
        <v>254729277934</v>
      </c>
      <c r="E66" s="20">
        <v>45245.5541666667</v>
      </c>
      <c r="F66" s="18">
        <v>3469.83</v>
      </c>
      <c r="G66" s="18">
        <v>6.66</v>
      </c>
      <c r="H66" s="18">
        <v>3462.79</v>
      </c>
      <c r="I66" s="18">
        <v>237.49</v>
      </c>
      <c r="J66" s="18">
        <v>-9.31</v>
      </c>
      <c r="K66" s="18">
        <v>246.8</v>
      </c>
      <c r="L66" s="18">
        <v>901.62</v>
      </c>
      <c r="M66" s="18">
        <v>119915</v>
      </c>
      <c r="N66" s="18">
        <v>474.38</v>
      </c>
      <c r="O66" s="18">
        <v>63092.54</v>
      </c>
      <c r="P66" s="18" t="s">
        <v>29</v>
      </c>
      <c r="Q66" s="18" t="s">
        <v>30</v>
      </c>
      <c r="R66" s="18" t="s">
        <v>162</v>
      </c>
      <c r="S66" s="18">
        <v>0</v>
      </c>
      <c r="T66" s="18">
        <v>6000</v>
      </c>
      <c r="U66" s="18">
        <v>0</v>
      </c>
      <c r="V66" s="18" t="s">
        <v>32</v>
      </c>
      <c r="W66" s="18" t="s">
        <v>32</v>
      </c>
      <c r="X66" s="18" t="s">
        <v>32</v>
      </c>
      <c r="Y66" s="18" t="s">
        <v>32</v>
      </c>
      <c r="Z66" s="18" t="s">
        <v>32</v>
      </c>
      <c r="AA66" s="18" t="s">
        <v>32</v>
      </c>
    </row>
    <row r="67" s="18" customFormat="1" spans="1:27">
      <c r="A67" s="18" t="s">
        <v>27</v>
      </c>
      <c r="B67" s="18" t="s">
        <v>28</v>
      </c>
      <c r="C67" s="18">
        <v>4704828</v>
      </c>
      <c r="D67" s="17">
        <v>254729889133</v>
      </c>
      <c r="E67" s="20">
        <v>44359.9104398148</v>
      </c>
      <c r="F67" s="18">
        <v>438661.11</v>
      </c>
      <c r="G67" s="18">
        <v>232.41</v>
      </c>
      <c r="H67" s="18">
        <v>438428.7</v>
      </c>
      <c r="I67" s="18">
        <v>18151.78</v>
      </c>
      <c r="J67" s="18">
        <v>57.28</v>
      </c>
      <c r="K67" s="18">
        <v>18094.5</v>
      </c>
      <c r="L67" s="18">
        <v>63804.09</v>
      </c>
      <c r="M67" s="18">
        <v>8485944</v>
      </c>
      <c r="N67" s="18">
        <v>11477.45</v>
      </c>
      <c r="O67" s="18">
        <v>1526500.85</v>
      </c>
      <c r="P67" s="18" t="s">
        <v>34</v>
      </c>
      <c r="Q67" s="18" t="s">
        <v>33</v>
      </c>
      <c r="R67" s="18" t="s">
        <v>162</v>
      </c>
      <c r="S67" s="18">
        <v>0</v>
      </c>
      <c r="T67" s="18">
        <v>30000</v>
      </c>
      <c r="U67" s="18">
        <v>1</v>
      </c>
      <c r="V67" s="18">
        <v>1</v>
      </c>
      <c r="W67" s="18" t="s">
        <v>32</v>
      </c>
      <c r="X67" s="18" t="s">
        <v>32</v>
      </c>
      <c r="Y67" s="18" t="s">
        <v>32</v>
      </c>
      <c r="Z67" s="18" t="s">
        <v>32</v>
      </c>
      <c r="AA67" s="18" t="s">
        <v>32</v>
      </c>
    </row>
    <row r="68" s="18" customFormat="1" spans="1:27">
      <c r="A68" s="18" t="s">
        <v>27</v>
      </c>
      <c r="B68" s="18" t="s">
        <v>28</v>
      </c>
      <c r="C68" s="18">
        <v>12760006</v>
      </c>
      <c r="D68" s="17">
        <v>254740307312</v>
      </c>
      <c r="E68" s="20">
        <v>45401.4316087963</v>
      </c>
      <c r="F68" s="18">
        <v>1858.16</v>
      </c>
      <c r="G68" s="18">
        <v>0</v>
      </c>
      <c r="H68" s="18">
        <v>1858.16</v>
      </c>
      <c r="I68" s="18">
        <v>227.47</v>
      </c>
      <c r="J68" s="18">
        <v>0</v>
      </c>
      <c r="K68" s="18">
        <v>227.47</v>
      </c>
      <c r="L68" s="18">
        <v>819.32</v>
      </c>
      <c r="M68" s="18">
        <v>108970</v>
      </c>
      <c r="N68" s="18">
        <v>334.44</v>
      </c>
      <c r="O68" s="18">
        <v>44480.52</v>
      </c>
      <c r="P68" s="18" t="s">
        <v>29</v>
      </c>
      <c r="Q68" s="18" t="s">
        <v>30</v>
      </c>
      <c r="R68" s="18" t="s">
        <v>162</v>
      </c>
      <c r="S68" s="18">
        <v>0</v>
      </c>
      <c r="T68" s="18">
        <v>5450</v>
      </c>
      <c r="U68" s="18">
        <v>0</v>
      </c>
      <c r="V68" s="18" t="s">
        <v>32</v>
      </c>
      <c r="W68" s="18" t="s">
        <v>32</v>
      </c>
      <c r="X68" s="18" t="s">
        <v>32</v>
      </c>
      <c r="Y68" s="18" t="s">
        <v>32</v>
      </c>
      <c r="Z68" s="18" t="s">
        <v>32</v>
      </c>
      <c r="AA68" s="18" t="s">
        <v>32</v>
      </c>
    </row>
    <row r="69" s="18" customFormat="1" spans="1:27">
      <c r="A69" s="18" t="s">
        <v>27</v>
      </c>
      <c r="B69" s="18" t="s">
        <v>28</v>
      </c>
      <c r="C69" s="18">
        <v>2021806</v>
      </c>
      <c r="D69" s="17">
        <v>254740727423</v>
      </c>
      <c r="E69" s="20">
        <v>44043.4386689815</v>
      </c>
      <c r="F69" s="18">
        <v>5102.93</v>
      </c>
      <c r="G69" s="18">
        <v>0.76</v>
      </c>
      <c r="H69" s="18">
        <v>5102.17</v>
      </c>
      <c r="I69" s="18">
        <v>536.4</v>
      </c>
      <c r="J69" s="18">
        <v>0.76</v>
      </c>
      <c r="K69" s="18">
        <v>535.64</v>
      </c>
      <c r="L69" s="18">
        <v>1310.04</v>
      </c>
      <c r="M69" s="18">
        <v>174235</v>
      </c>
      <c r="N69" s="18">
        <v>1359</v>
      </c>
      <c r="O69" s="18">
        <v>180747</v>
      </c>
      <c r="P69" s="18" t="s">
        <v>34</v>
      </c>
      <c r="Q69" s="18" t="s">
        <v>33</v>
      </c>
      <c r="R69" s="18" t="s">
        <v>162</v>
      </c>
      <c r="S69" s="18">
        <v>0</v>
      </c>
      <c r="T69" s="18">
        <v>8710</v>
      </c>
      <c r="U69" s="18">
        <v>0</v>
      </c>
      <c r="V69" s="18" t="s">
        <v>32</v>
      </c>
      <c r="W69" s="18" t="s">
        <v>32</v>
      </c>
      <c r="X69" s="18" t="s">
        <v>32</v>
      </c>
      <c r="Y69" s="18" t="s">
        <v>32</v>
      </c>
      <c r="Z69" s="18" t="s">
        <v>32</v>
      </c>
      <c r="AA69" s="18" t="s">
        <v>32</v>
      </c>
    </row>
    <row r="70" s="18" customFormat="1" spans="1:27">
      <c r="A70" s="18" t="s">
        <v>27</v>
      </c>
      <c r="B70" s="18" t="s">
        <v>28</v>
      </c>
      <c r="C70" s="18">
        <v>18622676</v>
      </c>
      <c r="D70" s="17">
        <v>254743496752</v>
      </c>
      <c r="E70" s="20">
        <v>45923.6250231482</v>
      </c>
      <c r="F70" s="18">
        <v>223.23</v>
      </c>
      <c r="G70" s="18">
        <v>6.36</v>
      </c>
      <c r="H70" s="18">
        <v>216.87</v>
      </c>
      <c r="I70" s="18">
        <v>9.81</v>
      </c>
      <c r="J70" s="18">
        <v>3.72</v>
      </c>
      <c r="K70" s="18">
        <v>6.1</v>
      </c>
      <c r="L70" s="18">
        <v>93.01</v>
      </c>
      <c r="M70" s="18">
        <v>12370</v>
      </c>
      <c r="N70" s="18">
        <v>14.46</v>
      </c>
      <c r="O70" s="18">
        <v>1923.18</v>
      </c>
      <c r="P70" s="18" t="s">
        <v>29</v>
      </c>
      <c r="Q70" s="18" t="s">
        <v>30</v>
      </c>
      <c r="R70" s="18" t="s">
        <v>162</v>
      </c>
      <c r="S70" s="18">
        <v>0</v>
      </c>
      <c r="T70" s="18">
        <v>620</v>
      </c>
      <c r="U70" s="18">
        <v>0</v>
      </c>
      <c r="V70" s="18" t="s">
        <v>32</v>
      </c>
      <c r="W70" s="18" t="s">
        <v>32</v>
      </c>
      <c r="X70" s="18" t="s">
        <v>32</v>
      </c>
      <c r="Y70" s="18" t="s">
        <v>32</v>
      </c>
      <c r="Z70" s="18" t="s">
        <v>32</v>
      </c>
      <c r="AA70" s="18" t="s">
        <v>32</v>
      </c>
    </row>
    <row r="71" s="18" customFormat="1" spans="1:27">
      <c r="A71" s="18" t="s">
        <v>27</v>
      </c>
      <c r="B71" s="18" t="s">
        <v>28</v>
      </c>
      <c r="C71" s="18">
        <v>16156727</v>
      </c>
      <c r="D71" s="17">
        <v>254745459474</v>
      </c>
      <c r="E71" s="20">
        <v>45755.783599537</v>
      </c>
      <c r="F71" s="18">
        <v>1078.49</v>
      </c>
      <c r="G71" s="18">
        <v>13.62</v>
      </c>
      <c r="H71" s="18">
        <v>1064.86</v>
      </c>
      <c r="I71" s="18">
        <v>143.82</v>
      </c>
      <c r="J71" s="18">
        <v>10.33</v>
      </c>
      <c r="K71" s="18">
        <v>133.49</v>
      </c>
      <c r="L71" s="18">
        <v>291.84</v>
      </c>
      <c r="M71" s="18">
        <v>38815</v>
      </c>
      <c r="N71" s="18">
        <v>101.21</v>
      </c>
      <c r="O71" s="18">
        <v>13460.93</v>
      </c>
      <c r="P71" s="18" t="s">
        <v>29</v>
      </c>
      <c r="Q71" s="18" t="s">
        <v>30</v>
      </c>
      <c r="R71" s="18" t="s">
        <v>162</v>
      </c>
      <c r="S71" s="18">
        <v>0</v>
      </c>
      <c r="T71" s="18">
        <v>1940</v>
      </c>
      <c r="U71" s="18">
        <v>0</v>
      </c>
      <c r="V71" s="18" t="s">
        <v>32</v>
      </c>
      <c r="W71" s="18" t="s">
        <v>32</v>
      </c>
      <c r="X71" s="18" t="s">
        <v>32</v>
      </c>
      <c r="Y71" s="18" t="s">
        <v>32</v>
      </c>
      <c r="Z71" s="18" t="s">
        <v>32</v>
      </c>
      <c r="AA71" s="18" t="s">
        <v>32</v>
      </c>
    </row>
    <row r="72" s="18" customFormat="1" spans="1:27">
      <c r="A72" s="18" t="s">
        <v>27</v>
      </c>
      <c r="B72" s="18" t="s">
        <v>28</v>
      </c>
      <c r="C72" s="18">
        <v>14917849</v>
      </c>
      <c r="D72" s="17">
        <v>254745965971</v>
      </c>
      <c r="E72" s="20">
        <v>45628.6469791667</v>
      </c>
      <c r="F72" s="18">
        <v>939.49</v>
      </c>
      <c r="G72" s="18">
        <v>0.14</v>
      </c>
      <c r="H72" s="18">
        <v>939.35</v>
      </c>
      <c r="I72" s="18">
        <v>47.79</v>
      </c>
      <c r="J72" s="18">
        <v>0.13</v>
      </c>
      <c r="K72" s="18">
        <v>47.66</v>
      </c>
      <c r="L72" s="18">
        <v>133.47</v>
      </c>
      <c r="M72" s="18">
        <v>17751</v>
      </c>
      <c r="N72" s="18">
        <v>20.12</v>
      </c>
      <c r="O72" s="18">
        <v>2675.96</v>
      </c>
      <c r="P72" s="18" t="s">
        <v>29</v>
      </c>
      <c r="Q72" s="18" t="s">
        <v>30</v>
      </c>
      <c r="R72" s="18" t="s">
        <v>162</v>
      </c>
      <c r="S72" s="18">
        <v>0</v>
      </c>
      <c r="T72" s="18">
        <v>890</v>
      </c>
      <c r="U72" s="18">
        <v>0</v>
      </c>
      <c r="V72" s="18" t="s">
        <v>32</v>
      </c>
      <c r="W72" s="18" t="s">
        <v>32</v>
      </c>
      <c r="X72" s="18" t="s">
        <v>32</v>
      </c>
      <c r="Y72" s="18" t="s">
        <v>32</v>
      </c>
      <c r="Z72" s="18" t="s">
        <v>32</v>
      </c>
      <c r="AA72" s="18" t="s">
        <v>32</v>
      </c>
    </row>
    <row r="73" s="18" customFormat="1" spans="1:27">
      <c r="A73" s="18" t="s">
        <v>27</v>
      </c>
      <c r="B73" s="18" t="s">
        <v>28</v>
      </c>
      <c r="C73" s="18">
        <v>13205388</v>
      </c>
      <c r="D73" s="17">
        <v>254748105090</v>
      </c>
      <c r="E73" s="20">
        <v>45465.4865972222</v>
      </c>
      <c r="F73" s="18">
        <v>701.44</v>
      </c>
      <c r="G73" s="18">
        <v>0</v>
      </c>
      <c r="H73" s="18">
        <v>701.44</v>
      </c>
      <c r="I73" s="18">
        <v>18.92</v>
      </c>
      <c r="J73" s="18">
        <v>0</v>
      </c>
      <c r="K73" s="18">
        <v>18.92</v>
      </c>
      <c r="L73" s="18">
        <v>319.1</v>
      </c>
      <c r="M73" s="18">
        <v>42440</v>
      </c>
      <c r="N73" s="18">
        <v>59.29</v>
      </c>
      <c r="O73" s="18">
        <v>7885.57</v>
      </c>
      <c r="P73" s="18" t="s">
        <v>29</v>
      </c>
      <c r="Q73" s="18" t="s">
        <v>30</v>
      </c>
      <c r="R73" s="18" t="s">
        <v>162</v>
      </c>
      <c r="S73" s="18">
        <v>0</v>
      </c>
      <c r="T73" s="18">
        <v>2120</v>
      </c>
      <c r="U73" s="18">
        <v>0</v>
      </c>
      <c r="V73" s="18" t="s">
        <v>32</v>
      </c>
      <c r="W73" s="18" t="s">
        <v>32</v>
      </c>
      <c r="X73" s="18" t="s">
        <v>32</v>
      </c>
      <c r="Y73" s="18" t="s">
        <v>32</v>
      </c>
      <c r="Z73" s="18" t="s">
        <v>32</v>
      </c>
      <c r="AA73" s="18" t="s">
        <v>32</v>
      </c>
    </row>
    <row r="74" s="18" customFormat="1" spans="1:27">
      <c r="A74" s="18" t="s">
        <v>27</v>
      </c>
      <c r="B74" s="18" t="s">
        <v>28</v>
      </c>
      <c r="C74" s="18">
        <v>9013878</v>
      </c>
      <c r="D74" s="17">
        <v>254748400412</v>
      </c>
      <c r="E74" s="20">
        <v>44876.2585648148</v>
      </c>
      <c r="F74" s="18">
        <v>539.63</v>
      </c>
      <c r="G74" s="18">
        <v>0.38</v>
      </c>
      <c r="H74" s="18">
        <v>539.25</v>
      </c>
      <c r="I74" s="18">
        <v>2.01</v>
      </c>
      <c r="J74" s="18">
        <v>0.38</v>
      </c>
      <c r="K74" s="18">
        <v>1.62</v>
      </c>
      <c r="L74" s="18">
        <v>53.22</v>
      </c>
      <c r="M74" s="18">
        <v>7078</v>
      </c>
      <c r="N74" s="18">
        <v>2.14</v>
      </c>
      <c r="O74" s="18">
        <v>284.62</v>
      </c>
      <c r="P74" s="18" t="s">
        <v>29</v>
      </c>
      <c r="Q74" s="18" t="s">
        <v>30</v>
      </c>
      <c r="R74" s="18" t="s">
        <v>162</v>
      </c>
      <c r="S74" s="18">
        <v>0</v>
      </c>
      <c r="T74" s="18">
        <v>350</v>
      </c>
      <c r="U74" s="18">
        <v>0</v>
      </c>
      <c r="V74" s="18" t="s">
        <v>32</v>
      </c>
      <c r="W74" s="18" t="s">
        <v>32</v>
      </c>
      <c r="X74" s="18" t="s">
        <v>32</v>
      </c>
      <c r="Y74" s="18" t="s">
        <v>32</v>
      </c>
      <c r="Z74" s="18" t="s">
        <v>32</v>
      </c>
      <c r="AA74" s="18" t="s">
        <v>32</v>
      </c>
    </row>
    <row r="75" s="18" customFormat="1" spans="1:27">
      <c r="A75" s="18" t="s">
        <v>27</v>
      </c>
      <c r="B75" s="18" t="s">
        <v>28</v>
      </c>
      <c r="C75" s="18">
        <v>17349408</v>
      </c>
      <c r="D75" s="17">
        <v>254748638509</v>
      </c>
      <c r="E75" s="20">
        <v>45848.4716087963</v>
      </c>
      <c r="F75" s="18">
        <v>2260.17</v>
      </c>
      <c r="G75" s="18">
        <v>1.32</v>
      </c>
      <c r="H75" s="18">
        <v>2258.85</v>
      </c>
      <c r="I75" s="18">
        <v>79.89</v>
      </c>
      <c r="J75" s="18">
        <v>0.04</v>
      </c>
      <c r="K75" s="18">
        <v>79.85</v>
      </c>
      <c r="L75" s="18">
        <v>388.47</v>
      </c>
      <c r="M75" s="18">
        <v>51667</v>
      </c>
      <c r="N75" s="18">
        <v>57.44</v>
      </c>
      <c r="O75" s="18">
        <v>7639.52</v>
      </c>
      <c r="P75" s="18" t="s">
        <v>29</v>
      </c>
      <c r="Q75" s="18" t="s">
        <v>30</v>
      </c>
      <c r="R75" s="18" t="s">
        <v>162</v>
      </c>
      <c r="S75" s="18">
        <v>0</v>
      </c>
      <c r="T75" s="18">
        <v>2580</v>
      </c>
      <c r="U75" s="18">
        <v>0</v>
      </c>
      <c r="V75" s="18" t="s">
        <v>32</v>
      </c>
      <c r="W75" s="18" t="s">
        <v>32</v>
      </c>
      <c r="X75" s="18" t="s">
        <v>32</v>
      </c>
      <c r="Y75" s="18" t="s">
        <v>32</v>
      </c>
      <c r="Z75" s="18" t="s">
        <v>32</v>
      </c>
      <c r="AA75" s="18" t="s">
        <v>32</v>
      </c>
    </row>
    <row r="76" s="18" customFormat="1" spans="1:27">
      <c r="A76" s="18" t="s">
        <v>27</v>
      </c>
      <c r="B76" s="18" t="s">
        <v>28</v>
      </c>
      <c r="C76" s="18">
        <v>19113799</v>
      </c>
      <c r="D76" s="17">
        <v>254752862759</v>
      </c>
      <c r="E76" s="20">
        <v>45955.2275115741</v>
      </c>
      <c r="F76" s="18">
        <v>461.52</v>
      </c>
      <c r="G76" s="18">
        <v>2.68</v>
      </c>
      <c r="H76" s="18">
        <v>458.85</v>
      </c>
      <c r="I76" s="18">
        <v>-4.57</v>
      </c>
      <c r="J76" s="18">
        <v>2.68</v>
      </c>
      <c r="K76" s="18">
        <v>-7.25</v>
      </c>
      <c r="L76" s="18">
        <v>124.89</v>
      </c>
      <c r="M76" s="18">
        <v>16611</v>
      </c>
      <c r="N76" s="18">
        <v>61.23</v>
      </c>
      <c r="O76" s="18">
        <v>8143.59</v>
      </c>
      <c r="P76" s="18" t="s">
        <v>29</v>
      </c>
      <c r="Q76" s="18" t="s">
        <v>30</v>
      </c>
      <c r="R76" s="18" t="s">
        <v>162</v>
      </c>
      <c r="S76" s="18">
        <v>0</v>
      </c>
      <c r="T76" s="18">
        <v>830</v>
      </c>
      <c r="U76" s="18">
        <v>0</v>
      </c>
      <c r="V76" s="18" t="s">
        <v>32</v>
      </c>
      <c r="W76" s="18" t="s">
        <v>32</v>
      </c>
      <c r="X76" s="18" t="s">
        <v>32</v>
      </c>
      <c r="Y76" s="18" t="s">
        <v>32</v>
      </c>
      <c r="Z76" s="18" t="s">
        <v>32</v>
      </c>
      <c r="AA76" s="18" t="s">
        <v>32</v>
      </c>
    </row>
    <row r="77" s="18" customFormat="1" spans="1:27">
      <c r="A77" s="18" t="s">
        <v>27</v>
      </c>
      <c r="B77" s="18" t="s">
        <v>28</v>
      </c>
      <c r="C77" s="18">
        <v>9307057</v>
      </c>
      <c r="D77" s="17">
        <v>254753067729</v>
      </c>
      <c r="E77" s="20">
        <v>44926.843599537</v>
      </c>
      <c r="F77" s="18">
        <v>15348.81</v>
      </c>
      <c r="G77" s="18">
        <v>0.02</v>
      </c>
      <c r="H77" s="18">
        <v>15348.8</v>
      </c>
      <c r="I77" s="18">
        <v>721.33</v>
      </c>
      <c r="J77" s="18">
        <v>0.02</v>
      </c>
      <c r="K77" s="18">
        <v>721.32</v>
      </c>
      <c r="L77" s="18">
        <v>3049.24</v>
      </c>
      <c r="M77" s="18">
        <v>405549</v>
      </c>
      <c r="N77" s="18">
        <v>583.07</v>
      </c>
      <c r="O77" s="18">
        <v>77548.31</v>
      </c>
      <c r="P77" s="18" t="s">
        <v>34</v>
      </c>
      <c r="Q77" s="18" t="s">
        <v>33</v>
      </c>
      <c r="R77" s="18" t="s">
        <v>162</v>
      </c>
      <c r="S77" s="18">
        <v>0</v>
      </c>
      <c r="T77" s="18">
        <v>20280</v>
      </c>
      <c r="U77" s="18">
        <v>0</v>
      </c>
      <c r="V77" s="18" t="s">
        <v>32</v>
      </c>
      <c r="W77" s="18" t="s">
        <v>32</v>
      </c>
      <c r="X77" s="18" t="s">
        <v>32</v>
      </c>
      <c r="Y77" s="18" t="s">
        <v>32</v>
      </c>
      <c r="Z77" s="18" t="s">
        <v>32</v>
      </c>
      <c r="AA77" s="18" t="s">
        <v>32</v>
      </c>
    </row>
    <row r="78" s="18" customFormat="1" spans="1:27">
      <c r="A78" s="18" t="s">
        <v>27</v>
      </c>
      <c r="B78" s="18" t="s">
        <v>28</v>
      </c>
      <c r="C78" s="18">
        <v>13716069</v>
      </c>
      <c r="D78" s="17">
        <v>254757853772</v>
      </c>
      <c r="E78" s="20">
        <v>45549.8472916667</v>
      </c>
      <c r="F78" s="18">
        <v>296.53</v>
      </c>
      <c r="G78" s="18">
        <v>0</v>
      </c>
      <c r="H78" s="18">
        <v>296.53</v>
      </c>
      <c r="I78" s="18">
        <v>15.32</v>
      </c>
      <c r="J78" s="18">
        <v>0</v>
      </c>
      <c r="K78" s="18">
        <v>15.32</v>
      </c>
      <c r="L78" s="18">
        <v>123.23</v>
      </c>
      <c r="M78" s="18">
        <v>16390</v>
      </c>
      <c r="N78" s="18">
        <v>20.71</v>
      </c>
      <c r="O78" s="18">
        <v>2754.43</v>
      </c>
      <c r="P78" s="18" t="s">
        <v>29</v>
      </c>
      <c r="Q78" s="18" t="s">
        <v>30</v>
      </c>
      <c r="R78" s="18" t="s">
        <v>162</v>
      </c>
      <c r="S78" s="18">
        <v>0</v>
      </c>
      <c r="T78" s="18">
        <v>820</v>
      </c>
      <c r="U78" s="18">
        <v>0</v>
      </c>
      <c r="V78" s="18" t="s">
        <v>32</v>
      </c>
      <c r="W78" s="18" t="s">
        <v>32</v>
      </c>
      <c r="X78" s="18" t="s">
        <v>32</v>
      </c>
      <c r="Y78" s="18" t="s">
        <v>32</v>
      </c>
      <c r="Z78" s="18" t="s">
        <v>32</v>
      </c>
      <c r="AA78" s="18" t="s">
        <v>32</v>
      </c>
    </row>
    <row r="79" s="18" customFormat="1" spans="1:27">
      <c r="A79" s="18" t="s">
        <v>27</v>
      </c>
      <c r="B79" s="18" t="s">
        <v>28</v>
      </c>
      <c r="C79" s="18">
        <v>16267439</v>
      </c>
      <c r="D79" s="17">
        <v>254758619701</v>
      </c>
      <c r="E79" s="20">
        <v>45762.895787037</v>
      </c>
      <c r="F79" s="18">
        <v>486.03</v>
      </c>
      <c r="G79" s="18">
        <v>0.02</v>
      </c>
      <c r="H79" s="18">
        <v>486.02</v>
      </c>
      <c r="I79" s="18">
        <v>24.38</v>
      </c>
      <c r="J79" s="18">
        <v>0.02</v>
      </c>
      <c r="K79" s="18">
        <v>24.36</v>
      </c>
      <c r="L79" s="18">
        <v>53.35</v>
      </c>
      <c r="M79" s="18">
        <v>7095</v>
      </c>
      <c r="N79" s="18">
        <v>13.41</v>
      </c>
      <c r="O79" s="18">
        <v>1783.53</v>
      </c>
      <c r="P79" s="18" t="s">
        <v>34</v>
      </c>
      <c r="Q79" s="18" t="s">
        <v>30</v>
      </c>
      <c r="R79" s="18" t="s">
        <v>162</v>
      </c>
      <c r="S79" s="18">
        <v>0</v>
      </c>
      <c r="T79" s="18">
        <v>350</v>
      </c>
      <c r="U79" s="18">
        <v>0</v>
      </c>
      <c r="V79" s="18" t="s">
        <v>32</v>
      </c>
      <c r="W79" s="18" t="s">
        <v>32</v>
      </c>
      <c r="X79" s="18" t="s">
        <v>32</v>
      </c>
      <c r="Y79" s="18" t="s">
        <v>32</v>
      </c>
      <c r="Z79" s="18" t="s">
        <v>32</v>
      </c>
      <c r="AA79" s="18" t="s">
        <v>32</v>
      </c>
    </row>
    <row r="80" s="18" customFormat="1" spans="1:27">
      <c r="A80" s="18" t="s">
        <v>27</v>
      </c>
      <c r="B80" s="18" t="s">
        <v>28</v>
      </c>
      <c r="C80" s="18">
        <v>19855609</v>
      </c>
      <c r="D80" s="17">
        <v>254758650033</v>
      </c>
      <c r="E80" s="20">
        <v>45993.8861226852</v>
      </c>
      <c r="F80" s="18">
        <v>905.74</v>
      </c>
      <c r="G80" s="18">
        <v>0</v>
      </c>
      <c r="H80" s="18">
        <v>905.74</v>
      </c>
      <c r="I80" s="18">
        <v>30.12</v>
      </c>
      <c r="J80" s="18">
        <v>0</v>
      </c>
      <c r="K80" s="18">
        <v>30.12</v>
      </c>
      <c r="L80" s="18">
        <v>152.73</v>
      </c>
      <c r="M80" s="18">
        <v>20313</v>
      </c>
      <c r="N80" s="18">
        <v>0</v>
      </c>
      <c r="O80" s="18">
        <v>0</v>
      </c>
      <c r="P80" s="18" t="s">
        <v>29</v>
      </c>
      <c r="Q80" s="18" t="s">
        <v>30</v>
      </c>
      <c r="R80" s="18" t="s">
        <v>162</v>
      </c>
      <c r="S80" s="18">
        <v>0</v>
      </c>
      <c r="T80" s="18">
        <v>1020</v>
      </c>
      <c r="U80" s="18">
        <v>0</v>
      </c>
      <c r="V80" s="18" t="s">
        <v>32</v>
      </c>
      <c r="W80" s="18" t="s">
        <v>32</v>
      </c>
      <c r="X80" s="18" t="s">
        <v>32</v>
      </c>
      <c r="Y80" s="18" t="s">
        <v>32</v>
      </c>
      <c r="Z80" s="18" t="s">
        <v>32</v>
      </c>
      <c r="AA80" s="18" t="s">
        <v>32</v>
      </c>
    </row>
    <row r="81" s="18" customFormat="1" spans="1:27">
      <c r="A81" s="18" t="s">
        <v>27</v>
      </c>
      <c r="B81" s="18" t="s">
        <v>28</v>
      </c>
      <c r="C81" s="18">
        <v>21860207</v>
      </c>
      <c r="D81" s="17">
        <v>254759425323</v>
      </c>
      <c r="E81" s="20">
        <v>46093.7258333333</v>
      </c>
      <c r="F81" s="18">
        <v>815.64</v>
      </c>
      <c r="G81" s="18">
        <v>2.14</v>
      </c>
      <c r="H81" s="18">
        <v>813.51</v>
      </c>
      <c r="I81" s="18">
        <v>45.73</v>
      </c>
      <c r="J81" s="18">
        <v>1.48</v>
      </c>
      <c r="K81" s="18">
        <v>44.25</v>
      </c>
      <c r="L81" s="18">
        <v>141.55</v>
      </c>
      <c r="M81" s="18">
        <v>18826</v>
      </c>
      <c r="N81" s="18">
        <v>134.47</v>
      </c>
      <c r="O81" s="18">
        <v>17884.51</v>
      </c>
      <c r="P81" s="18" t="s">
        <v>29</v>
      </c>
      <c r="Q81" s="18" t="s">
        <v>30</v>
      </c>
      <c r="R81" s="18" t="s">
        <v>162</v>
      </c>
      <c r="S81" s="18">
        <v>0</v>
      </c>
      <c r="T81" s="18">
        <v>940</v>
      </c>
      <c r="U81" s="18">
        <v>0</v>
      </c>
      <c r="V81" s="18" t="s">
        <v>32</v>
      </c>
      <c r="W81" s="18" t="s">
        <v>32</v>
      </c>
      <c r="X81" s="18" t="s">
        <v>32</v>
      </c>
      <c r="Y81" s="18" t="s">
        <v>32</v>
      </c>
      <c r="Z81" s="18" t="s">
        <v>32</v>
      </c>
      <c r="AA81" s="18" t="s">
        <v>32</v>
      </c>
    </row>
    <row r="82" s="18" customFormat="1" spans="1:27">
      <c r="A82" s="18" t="s">
        <v>27</v>
      </c>
      <c r="B82" s="18" t="s">
        <v>28</v>
      </c>
      <c r="C82" s="18">
        <v>21179238</v>
      </c>
      <c r="D82" s="17">
        <v>254780156928</v>
      </c>
      <c r="E82" s="20">
        <v>46059.58625</v>
      </c>
      <c r="F82" s="18">
        <v>411.23</v>
      </c>
      <c r="G82" s="18">
        <v>0</v>
      </c>
      <c r="H82" s="18">
        <v>411.23</v>
      </c>
      <c r="I82" s="18">
        <v>83.5</v>
      </c>
      <c r="J82" s="18">
        <v>0</v>
      </c>
      <c r="K82" s="18">
        <v>83.5</v>
      </c>
      <c r="L82" s="18">
        <v>87.89</v>
      </c>
      <c r="M82" s="18">
        <v>11690</v>
      </c>
      <c r="N82" s="18">
        <v>0.29</v>
      </c>
      <c r="O82" s="18">
        <v>38.57</v>
      </c>
      <c r="P82" s="18" t="s">
        <v>29</v>
      </c>
      <c r="Q82" s="18" t="s">
        <v>30</v>
      </c>
      <c r="R82" s="18" t="s">
        <v>162</v>
      </c>
      <c r="S82" s="18">
        <v>0</v>
      </c>
      <c r="T82" s="18">
        <v>580</v>
      </c>
      <c r="U82" s="18">
        <v>0</v>
      </c>
      <c r="V82" s="18" t="s">
        <v>32</v>
      </c>
      <c r="W82" s="18" t="s">
        <v>32</v>
      </c>
      <c r="X82" s="18" t="s">
        <v>32</v>
      </c>
      <c r="Y82" s="18" t="s">
        <v>32</v>
      </c>
      <c r="Z82" s="18" t="s">
        <v>32</v>
      </c>
      <c r="AA82" s="18" t="s">
        <v>32</v>
      </c>
    </row>
    <row r="83" s="18" customFormat="1" spans="1:27">
      <c r="A83" s="18" t="s">
        <v>27</v>
      </c>
      <c r="B83" s="18" t="s">
        <v>28</v>
      </c>
      <c r="C83" s="18">
        <v>19706277</v>
      </c>
      <c r="D83" s="17">
        <v>254791527570</v>
      </c>
      <c r="E83" s="20">
        <v>45986.8481944444</v>
      </c>
      <c r="F83" s="18">
        <v>1959.53</v>
      </c>
      <c r="G83" s="18">
        <v>0</v>
      </c>
      <c r="H83" s="18">
        <v>1959.53</v>
      </c>
      <c r="I83" s="18">
        <v>228.51</v>
      </c>
      <c r="J83" s="18">
        <v>0</v>
      </c>
      <c r="K83" s="18">
        <v>228.51</v>
      </c>
      <c r="L83" s="18">
        <v>301.03</v>
      </c>
      <c r="M83" s="18">
        <v>40037</v>
      </c>
      <c r="N83" s="18">
        <v>283.24</v>
      </c>
      <c r="O83" s="18">
        <v>37670.92</v>
      </c>
      <c r="P83" s="18" t="s">
        <v>29</v>
      </c>
      <c r="Q83" s="18" t="s">
        <v>30</v>
      </c>
      <c r="R83" s="18" t="s">
        <v>162</v>
      </c>
      <c r="S83" s="18">
        <v>0</v>
      </c>
      <c r="T83" s="18">
        <v>2000</v>
      </c>
      <c r="U83" s="18">
        <v>0</v>
      </c>
      <c r="V83" s="18" t="s">
        <v>32</v>
      </c>
      <c r="W83" s="18" t="s">
        <v>32</v>
      </c>
      <c r="X83" s="18" t="s">
        <v>32</v>
      </c>
      <c r="Y83" s="18" t="s">
        <v>32</v>
      </c>
      <c r="Z83" s="18" t="s">
        <v>32</v>
      </c>
      <c r="AA83" s="18" t="s">
        <v>32</v>
      </c>
    </row>
    <row r="84" s="18" customFormat="1" spans="1:27">
      <c r="A84" s="18" t="s">
        <v>27</v>
      </c>
      <c r="B84" s="18" t="s">
        <v>28</v>
      </c>
      <c r="C84" s="18">
        <v>21195286</v>
      </c>
      <c r="D84" s="17">
        <v>254792064195</v>
      </c>
      <c r="E84" s="20">
        <v>46060.5019444444</v>
      </c>
      <c r="F84" s="18">
        <v>2396.33</v>
      </c>
      <c r="G84" s="18">
        <v>0</v>
      </c>
      <c r="H84" s="18">
        <v>2396.33</v>
      </c>
      <c r="I84" s="18">
        <v>198.95</v>
      </c>
      <c r="J84" s="18">
        <v>-0.38</v>
      </c>
      <c r="K84" s="18">
        <v>199.34</v>
      </c>
      <c r="L84" s="18">
        <v>352.26</v>
      </c>
      <c r="M84" s="18">
        <v>46850</v>
      </c>
      <c r="N84" s="18">
        <v>243.42</v>
      </c>
      <c r="O84" s="18">
        <v>32374.86</v>
      </c>
      <c r="P84" s="18" t="s">
        <v>29</v>
      </c>
      <c r="Q84" s="18" t="s">
        <v>30</v>
      </c>
      <c r="R84" s="18" t="s">
        <v>162</v>
      </c>
      <c r="S84" s="18">
        <v>0</v>
      </c>
      <c r="T84" s="18">
        <v>2340</v>
      </c>
      <c r="U84" s="18">
        <v>0</v>
      </c>
      <c r="V84" s="18" t="s">
        <v>32</v>
      </c>
      <c r="W84" s="18" t="s">
        <v>32</v>
      </c>
      <c r="X84" s="18" t="s">
        <v>32</v>
      </c>
      <c r="Y84" s="18" t="s">
        <v>32</v>
      </c>
      <c r="Z84" s="18" t="s">
        <v>32</v>
      </c>
      <c r="AA84" s="18" t="s">
        <v>32</v>
      </c>
    </row>
    <row r="85" s="18" customFormat="1" spans="1:27">
      <c r="A85" s="18" t="s">
        <v>27</v>
      </c>
      <c r="B85" s="18" t="s">
        <v>28</v>
      </c>
      <c r="C85" s="18">
        <v>20799416</v>
      </c>
      <c r="D85" s="17">
        <v>254792523459</v>
      </c>
      <c r="E85" s="20">
        <v>46038.9938425926</v>
      </c>
      <c r="F85" s="18">
        <v>207.2</v>
      </c>
      <c r="G85" s="18">
        <v>0</v>
      </c>
      <c r="H85" s="18">
        <v>207.2</v>
      </c>
      <c r="I85" s="18">
        <v>19.23</v>
      </c>
      <c r="J85" s="18">
        <v>0</v>
      </c>
      <c r="K85" s="18">
        <v>19.23</v>
      </c>
      <c r="L85" s="18">
        <v>50.6</v>
      </c>
      <c r="M85" s="18">
        <v>6730</v>
      </c>
      <c r="N85" s="18">
        <v>2.36</v>
      </c>
      <c r="O85" s="18">
        <v>313.88</v>
      </c>
      <c r="P85" s="18" t="s">
        <v>34</v>
      </c>
      <c r="Q85" s="18" t="s">
        <v>30</v>
      </c>
      <c r="R85" s="18" t="s">
        <v>162</v>
      </c>
      <c r="S85" s="18">
        <v>0</v>
      </c>
      <c r="T85" s="18">
        <v>340</v>
      </c>
      <c r="U85" s="18">
        <v>0</v>
      </c>
      <c r="V85" s="18" t="s">
        <v>32</v>
      </c>
      <c r="W85" s="18" t="s">
        <v>32</v>
      </c>
      <c r="X85" s="18" t="s">
        <v>32</v>
      </c>
      <c r="Y85" s="18" t="s">
        <v>32</v>
      </c>
      <c r="Z85" s="18" t="s">
        <v>32</v>
      </c>
      <c r="AA85" s="18" t="s">
        <v>32</v>
      </c>
    </row>
    <row r="86" s="18" customFormat="1" spans="1:27">
      <c r="A86" s="18" t="s">
        <v>27</v>
      </c>
      <c r="B86" s="18" t="s">
        <v>28</v>
      </c>
      <c r="C86" s="18">
        <v>22857438</v>
      </c>
      <c r="D86" s="17">
        <v>254793294359</v>
      </c>
      <c r="E86" s="20">
        <v>46156.4095717593</v>
      </c>
      <c r="F86" s="18">
        <v>1143.98</v>
      </c>
      <c r="G86" s="18">
        <v>0</v>
      </c>
      <c r="H86" s="18">
        <v>1143.98</v>
      </c>
      <c r="I86" s="18">
        <v>68.37</v>
      </c>
      <c r="J86" s="18">
        <v>0</v>
      </c>
      <c r="K86" s="18">
        <v>68.37</v>
      </c>
      <c r="L86" s="18">
        <v>93.59</v>
      </c>
      <c r="M86" s="18">
        <v>12447</v>
      </c>
      <c r="N86" s="18">
        <v>88.91</v>
      </c>
      <c r="O86" s="18">
        <v>11825.03</v>
      </c>
      <c r="P86" s="18" t="s">
        <v>29</v>
      </c>
      <c r="Q86" s="18" t="s">
        <v>30</v>
      </c>
      <c r="R86" s="18" t="s">
        <v>162</v>
      </c>
      <c r="S86" s="18">
        <v>0</v>
      </c>
      <c r="T86" s="18">
        <v>620</v>
      </c>
      <c r="U86" s="18">
        <v>0</v>
      </c>
      <c r="V86" s="18" t="s">
        <v>32</v>
      </c>
      <c r="W86" s="18" t="s">
        <v>32</v>
      </c>
      <c r="X86" s="18" t="s">
        <v>32</v>
      </c>
      <c r="Y86" s="18" t="s">
        <v>32</v>
      </c>
      <c r="Z86" s="18" t="s">
        <v>32</v>
      </c>
      <c r="AA86" s="18" t="s">
        <v>32</v>
      </c>
    </row>
    <row r="87" s="18" customFormat="1" spans="1:27">
      <c r="A87" s="18" t="s">
        <v>27</v>
      </c>
      <c r="B87" s="18" t="s">
        <v>28</v>
      </c>
      <c r="C87" s="18">
        <v>20531889</v>
      </c>
      <c r="D87" s="17">
        <v>254794094609</v>
      </c>
      <c r="E87" s="20">
        <v>46026.3132060185</v>
      </c>
      <c r="F87" s="18">
        <v>726.98</v>
      </c>
      <c r="G87" s="18">
        <v>0</v>
      </c>
      <c r="H87" s="18">
        <v>726.98</v>
      </c>
      <c r="I87" s="18">
        <v>42.87</v>
      </c>
      <c r="J87" s="18">
        <v>0</v>
      </c>
      <c r="K87" s="18">
        <v>42.87</v>
      </c>
      <c r="L87" s="18">
        <v>102.38</v>
      </c>
      <c r="M87" s="18">
        <v>13617</v>
      </c>
      <c r="N87" s="18">
        <v>54.54</v>
      </c>
      <c r="O87" s="18">
        <v>7253.82</v>
      </c>
      <c r="P87" s="18" t="s">
        <v>29</v>
      </c>
      <c r="Q87" s="18" t="s">
        <v>30</v>
      </c>
      <c r="R87" s="18" t="s">
        <v>162</v>
      </c>
      <c r="S87" s="18">
        <v>0</v>
      </c>
      <c r="T87" s="18">
        <v>680</v>
      </c>
      <c r="U87" s="18">
        <v>0</v>
      </c>
      <c r="V87" s="18" t="s">
        <v>32</v>
      </c>
      <c r="W87" s="18" t="s">
        <v>32</v>
      </c>
      <c r="X87" s="18" t="s">
        <v>32</v>
      </c>
      <c r="Y87" s="18" t="s">
        <v>32</v>
      </c>
      <c r="Z87" s="18" t="s">
        <v>32</v>
      </c>
      <c r="AA87" s="18" t="s">
        <v>32</v>
      </c>
    </row>
    <row r="88" s="18" customFormat="1" spans="1:27">
      <c r="A88" s="18" t="s">
        <v>27</v>
      </c>
      <c r="B88" s="18" t="s">
        <v>28</v>
      </c>
      <c r="C88" s="18">
        <v>22399676</v>
      </c>
      <c r="D88" s="17">
        <v>254794514464</v>
      </c>
      <c r="E88" s="20">
        <v>46124.8813194444</v>
      </c>
      <c r="F88" s="18">
        <v>2175.6</v>
      </c>
      <c r="G88" s="18">
        <v>0</v>
      </c>
      <c r="H88" s="18">
        <v>2175.6</v>
      </c>
      <c r="I88" s="18">
        <v>16.46</v>
      </c>
      <c r="J88" s="18">
        <v>0</v>
      </c>
      <c r="K88" s="18">
        <v>16.46</v>
      </c>
      <c r="L88" s="18">
        <v>303.53</v>
      </c>
      <c r="M88" s="18">
        <v>40370</v>
      </c>
      <c r="N88" s="18">
        <v>288.36</v>
      </c>
      <c r="O88" s="18">
        <v>38351.88</v>
      </c>
      <c r="P88" s="18" t="s">
        <v>29</v>
      </c>
      <c r="Q88" s="18" t="s">
        <v>30</v>
      </c>
      <c r="R88" s="18" t="s">
        <v>162</v>
      </c>
      <c r="S88" s="18">
        <v>0</v>
      </c>
      <c r="T88" s="18">
        <v>2020</v>
      </c>
      <c r="U88" s="18">
        <v>0</v>
      </c>
      <c r="V88" s="18" t="s">
        <v>32</v>
      </c>
      <c r="W88" s="18" t="s">
        <v>32</v>
      </c>
      <c r="X88" s="18" t="s">
        <v>32</v>
      </c>
      <c r="Y88" s="18" t="s">
        <v>32</v>
      </c>
      <c r="Z88" s="18" t="s">
        <v>32</v>
      </c>
      <c r="AA88" s="18" t="s">
        <v>32</v>
      </c>
    </row>
    <row r="89" s="18" customFormat="1" spans="1:27">
      <c r="A89" s="18" t="s">
        <v>27</v>
      </c>
      <c r="B89" s="18" t="s">
        <v>28</v>
      </c>
      <c r="C89" s="18">
        <v>14149787</v>
      </c>
      <c r="D89" s="17">
        <v>254794831592</v>
      </c>
      <c r="E89" s="20">
        <v>45581.1827662037</v>
      </c>
      <c r="F89" s="18">
        <v>1333.33</v>
      </c>
      <c r="G89" s="18">
        <v>0</v>
      </c>
      <c r="H89" s="18">
        <v>1333.33</v>
      </c>
      <c r="I89" s="18">
        <v>27.93</v>
      </c>
      <c r="J89" s="18">
        <v>0</v>
      </c>
      <c r="K89" s="18">
        <v>27.93</v>
      </c>
      <c r="L89" s="18">
        <v>418.96</v>
      </c>
      <c r="M89" s="18">
        <v>55722</v>
      </c>
      <c r="N89" s="18">
        <v>26.17</v>
      </c>
      <c r="O89" s="18">
        <v>3480.61</v>
      </c>
      <c r="P89" s="18" t="s">
        <v>29</v>
      </c>
      <c r="Q89" s="18" t="s">
        <v>30</v>
      </c>
      <c r="R89" s="18" t="s">
        <v>162</v>
      </c>
      <c r="S89" s="18">
        <v>0</v>
      </c>
      <c r="T89" s="18">
        <v>2790</v>
      </c>
      <c r="U89" s="18">
        <v>0</v>
      </c>
      <c r="V89" s="18" t="s">
        <v>32</v>
      </c>
      <c r="W89" s="18" t="s">
        <v>32</v>
      </c>
      <c r="X89" s="18" t="s">
        <v>32</v>
      </c>
      <c r="Y89" s="18" t="s">
        <v>32</v>
      </c>
      <c r="Z89" s="18" t="s">
        <v>32</v>
      </c>
      <c r="AA89" s="18" t="s">
        <v>32</v>
      </c>
    </row>
    <row r="90" s="18" customFormat="1" spans="1:27">
      <c r="A90" s="18" t="s">
        <v>27</v>
      </c>
      <c r="B90" s="18" t="s">
        <v>28</v>
      </c>
      <c r="C90" s="18">
        <v>13795116</v>
      </c>
      <c r="D90" s="17">
        <v>254795902808</v>
      </c>
      <c r="E90" s="20">
        <v>45556.6783449074</v>
      </c>
      <c r="F90" s="18">
        <v>1059.96</v>
      </c>
      <c r="G90" s="18">
        <v>0</v>
      </c>
      <c r="H90" s="18">
        <v>1059.96</v>
      </c>
      <c r="I90" s="18">
        <v>36.96</v>
      </c>
      <c r="J90" s="18">
        <v>0</v>
      </c>
      <c r="K90" s="18">
        <v>36.96</v>
      </c>
      <c r="L90" s="18">
        <v>184.4</v>
      </c>
      <c r="M90" s="18">
        <v>24525</v>
      </c>
      <c r="N90" s="18">
        <v>4.44</v>
      </c>
      <c r="O90" s="18">
        <v>590.52</v>
      </c>
      <c r="P90" s="18" t="s">
        <v>34</v>
      </c>
      <c r="Q90" s="18" t="s">
        <v>30</v>
      </c>
      <c r="R90" s="18" t="s">
        <v>162</v>
      </c>
      <c r="S90" s="18">
        <v>0</v>
      </c>
      <c r="T90" s="18">
        <v>1230</v>
      </c>
      <c r="U90" s="18">
        <v>0</v>
      </c>
      <c r="V90" s="18" t="s">
        <v>32</v>
      </c>
      <c r="W90" s="18" t="s">
        <v>32</v>
      </c>
      <c r="X90" s="18" t="s">
        <v>32</v>
      </c>
      <c r="Y90" s="18" t="s">
        <v>32</v>
      </c>
      <c r="Z90" s="18" t="s">
        <v>32</v>
      </c>
      <c r="AA90" s="18" t="s">
        <v>32</v>
      </c>
    </row>
    <row r="91" s="18" customFormat="1" spans="1:27">
      <c r="A91" s="18" t="s">
        <v>27</v>
      </c>
      <c r="B91" s="18" t="s">
        <v>28</v>
      </c>
      <c r="C91" s="18">
        <v>16139548</v>
      </c>
      <c r="D91" s="17">
        <v>254796044714</v>
      </c>
      <c r="E91" s="20">
        <v>45754.4807291667</v>
      </c>
      <c r="F91" s="18">
        <v>282.74</v>
      </c>
      <c r="G91" s="18">
        <v>0</v>
      </c>
      <c r="H91" s="18">
        <v>282.74</v>
      </c>
      <c r="I91" s="18">
        <v>13.18</v>
      </c>
      <c r="J91" s="18">
        <v>0</v>
      </c>
      <c r="K91" s="18">
        <v>13.18</v>
      </c>
      <c r="L91" s="18">
        <v>97.08</v>
      </c>
      <c r="M91" s="18">
        <v>12912</v>
      </c>
      <c r="N91" s="18">
        <v>18.58</v>
      </c>
      <c r="O91" s="18">
        <v>2471.14</v>
      </c>
      <c r="P91" s="18" t="s">
        <v>34</v>
      </c>
      <c r="Q91" s="18" t="s">
        <v>30</v>
      </c>
      <c r="R91" s="18" t="s">
        <v>162</v>
      </c>
      <c r="S91" s="18">
        <v>0</v>
      </c>
      <c r="T91" s="18">
        <v>650</v>
      </c>
      <c r="U91" s="18">
        <v>0</v>
      </c>
      <c r="V91" s="18" t="s">
        <v>32</v>
      </c>
      <c r="W91" s="18" t="s">
        <v>32</v>
      </c>
      <c r="X91" s="18" t="s">
        <v>32</v>
      </c>
      <c r="Y91" s="18" t="s">
        <v>32</v>
      </c>
      <c r="Z91" s="18" t="s">
        <v>32</v>
      </c>
      <c r="AA91" s="18" t="s">
        <v>32</v>
      </c>
    </row>
    <row r="92" s="18" customFormat="1" spans="1:27">
      <c r="A92" s="18" t="s">
        <v>27</v>
      </c>
      <c r="B92" s="18" t="s">
        <v>28</v>
      </c>
      <c r="C92" s="18">
        <v>15493949</v>
      </c>
      <c r="D92" s="17">
        <v>254796670273</v>
      </c>
      <c r="E92" s="20">
        <v>45674.5443634259</v>
      </c>
      <c r="F92" s="18">
        <v>3376.05</v>
      </c>
      <c r="G92" s="18">
        <v>8.74</v>
      </c>
      <c r="H92" s="18">
        <v>3367.32</v>
      </c>
      <c r="I92" s="18">
        <v>162.91</v>
      </c>
      <c r="J92" s="18">
        <v>8.11</v>
      </c>
      <c r="K92" s="18">
        <v>154.8</v>
      </c>
      <c r="L92" s="18">
        <v>813.75</v>
      </c>
      <c r="M92" s="18">
        <v>108229</v>
      </c>
      <c r="N92" s="18">
        <v>187.74</v>
      </c>
      <c r="O92" s="18">
        <v>24969.42</v>
      </c>
      <c r="P92" s="18" t="s">
        <v>29</v>
      </c>
      <c r="Q92" s="18" t="s">
        <v>30</v>
      </c>
      <c r="R92" s="18" t="s">
        <v>162</v>
      </c>
      <c r="S92" s="18">
        <v>0</v>
      </c>
      <c r="T92" s="18">
        <v>5410</v>
      </c>
      <c r="U92" s="18">
        <v>0</v>
      </c>
      <c r="V92" s="18" t="s">
        <v>32</v>
      </c>
      <c r="W92" s="18" t="s">
        <v>32</v>
      </c>
      <c r="X92" s="18" t="s">
        <v>32</v>
      </c>
      <c r="Y92" s="18" t="s">
        <v>32</v>
      </c>
      <c r="Z92" s="18" t="s">
        <v>32</v>
      </c>
      <c r="AA92" s="18" t="s">
        <v>32</v>
      </c>
    </row>
    <row r="93" s="18" customFormat="1" spans="1:27">
      <c r="A93" s="18" t="s">
        <v>27</v>
      </c>
      <c r="B93" s="18" t="s">
        <v>28</v>
      </c>
      <c r="C93" s="18">
        <v>13231498</v>
      </c>
      <c r="D93" s="17">
        <v>254797698365</v>
      </c>
      <c r="E93" s="20">
        <v>45470.7013425926</v>
      </c>
      <c r="F93" s="18">
        <v>1052.02</v>
      </c>
      <c r="G93" s="18">
        <v>0</v>
      </c>
      <c r="H93" s="18">
        <v>1052.02</v>
      </c>
      <c r="I93" s="18">
        <v>28.93</v>
      </c>
      <c r="J93" s="18">
        <v>0</v>
      </c>
      <c r="K93" s="18">
        <v>28.93</v>
      </c>
      <c r="L93" s="18">
        <v>50.96</v>
      </c>
      <c r="M93" s="18">
        <v>6778</v>
      </c>
      <c r="N93" s="18">
        <v>6.58</v>
      </c>
      <c r="O93" s="18">
        <v>875.14</v>
      </c>
      <c r="P93" s="18" t="s">
        <v>29</v>
      </c>
      <c r="Q93" s="18" t="s">
        <v>30</v>
      </c>
      <c r="R93" s="18" t="s">
        <v>162</v>
      </c>
      <c r="S93" s="18">
        <v>0</v>
      </c>
      <c r="T93" s="18">
        <v>340</v>
      </c>
      <c r="U93" s="18">
        <v>0</v>
      </c>
      <c r="V93" s="18" t="s">
        <v>32</v>
      </c>
      <c r="W93" s="18" t="s">
        <v>32</v>
      </c>
      <c r="X93" s="18" t="s">
        <v>32</v>
      </c>
      <c r="Y93" s="18" t="s">
        <v>32</v>
      </c>
      <c r="Z93" s="18" t="s">
        <v>32</v>
      </c>
      <c r="AA93" s="18" t="s">
        <v>32</v>
      </c>
    </row>
    <row r="94" s="18" customFormat="1" spans="1:27">
      <c r="A94" s="18" t="s">
        <v>27</v>
      </c>
      <c r="B94" s="18" t="s">
        <v>28</v>
      </c>
      <c r="C94" s="18">
        <v>17540059</v>
      </c>
      <c r="D94" s="17">
        <v>254797827050</v>
      </c>
      <c r="E94" s="20">
        <v>45862.3262037037</v>
      </c>
      <c r="F94" s="18">
        <v>776.95</v>
      </c>
      <c r="G94" s="18">
        <v>14.8</v>
      </c>
      <c r="H94" s="18">
        <v>762.15</v>
      </c>
      <c r="I94" s="18">
        <v>89.06</v>
      </c>
      <c r="J94" s="18">
        <v>4.75</v>
      </c>
      <c r="K94" s="18">
        <v>84.31</v>
      </c>
      <c r="L94" s="18">
        <v>141.77</v>
      </c>
      <c r="M94" s="18">
        <v>18855</v>
      </c>
      <c r="N94" s="18">
        <v>0.34</v>
      </c>
      <c r="O94" s="18">
        <v>45.22</v>
      </c>
      <c r="P94" s="18" t="s">
        <v>29</v>
      </c>
      <c r="Q94" s="18" t="s">
        <v>30</v>
      </c>
      <c r="R94" s="18" t="s">
        <v>162</v>
      </c>
      <c r="S94" s="18">
        <v>0</v>
      </c>
      <c r="T94" s="18">
        <v>940</v>
      </c>
      <c r="U94" s="18">
        <v>0</v>
      </c>
      <c r="V94" s="18" t="s">
        <v>32</v>
      </c>
      <c r="W94" s="18" t="s">
        <v>32</v>
      </c>
      <c r="X94" s="18" t="s">
        <v>32</v>
      </c>
      <c r="Y94" s="18" t="s">
        <v>32</v>
      </c>
      <c r="Z94" s="18" t="s">
        <v>32</v>
      </c>
      <c r="AA94" s="18" t="s">
        <v>32</v>
      </c>
    </row>
    <row r="95" s="18" customFormat="1" spans="1:27">
      <c r="A95" s="18" t="s">
        <v>27</v>
      </c>
      <c r="B95" s="18" t="s">
        <v>28</v>
      </c>
      <c r="C95" s="18">
        <v>21154849</v>
      </c>
      <c r="D95" s="17">
        <v>254798419208</v>
      </c>
      <c r="E95" s="20">
        <v>46058.3879282407</v>
      </c>
      <c r="F95" s="18">
        <v>4800.65</v>
      </c>
      <c r="G95" s="18">
        <v>0</v>
      </c>
      <c r="H95" s="18">
        <v>4800.65</v>
      </c>
      <c r="I95" s="18">
        <v>287.33</v>
      </c>
      <c r="J95" s="18">
        <v>0</v>
      </c>
      <c r="K95" s="18">
        <v>287.33</v>
      </c>
      <c r="L95" s="18">
        <v>325.71</v>
      </c>
      <c r="M95" s="18">
        <v>43319</v>
      </c>
      <c r="N95" s="18">
        <v>256.24</v>
      </c>
      <c r="O95" s="18">
        <v>34079.92</v>
      </c>
      <c r="P95" s="18" t="s">
        <v>34</v>
      </c>
      <c r="Q95" s="18" t="s">
        <v>30</v>
      </c>
      <c r="R95" s="18" t="s">
        <v>162</v>
      </c>
      <c r="S95" s="18">
        <v>0</v>
      </c>
      <c r="T95" s="18">
        <v>2170</v>
      </c>
      <c r="U95" s="18">
        <v>0</v>
      </c>
      <c r="V95" s="18" t="s">
        <v>32</v>
      </c>
      <c r="W95" s="18" t="s">
        <v>32</v>
      </c>
      <c r="X95" s="18" t="s">
        <v>32</v>
      </c>
      <c r="Y95" s="18" t="s">
        <v>32</v>
      </c>
      <c r="Z95" s="18" t="s">
        <v>32</v>
      </c>
      <c r="AA95" s="18" t="s">
        <v>32</v>
      </c>
    </row>
    <row r="96" s="18" customFormat="1" spans="1:27">
      <c r="A96" s="18" t="s">
        <v>27</v>
      </c>
      <c r="B96" s="18" t="s">
        <v>28</v>
      </c>
      <c r="C96" s="18">
        <v>14046176</v>
      </c>
      <c r="D96" s="17">
        <v>254798584910</v>
      </c>
      <c r="E96" s="20">
        <v>45572.7592708333</v>
      </c>
      <c r="F96" s="18">
        <v>1113</v>
      </c>
      <c r="G96" s="18">
        <v>0.11</v>
      </c>
      <c r="H96" s="18">
        <v>1112.89</v>
      </c>
      <c r="I96" s="18">
        <v>25.49</v>
      </c>
      <c r="J96" s="18">
        <v>0.11</v>
      </c>
      <c r="K96" s="18">
        <v>25.38</v>
      </c>
      <c r="L96" s="18">
        <v>89.17</v>
      </c>
      <c r="M96" s="18">
        <v>11860</v>
      </c>
      <c r="N96" s="18">
        <v>7.05</v>
      </c>
      <c r="O96" s="18">
        <v>937.65</v>
      </c>
      <c r="P96" s="18" t="s">
        <v>34</v>
      </c>
      <c r="Q96" s="18" t="s">
        <v>30</v>
      </c>
      <c r="R96" s="18" t="s">
        <v>162</v>
      </c>
      <c r="S96" s="18">
        <v>0</v>
      </c>
      <c r="T96" s="18">
        <v>590</v>
      </c>
      <c r="U96" s="18">
        <v>0</v>
      </c>
      <c r="V96" s="18" t="s">
        <v>32</v>
      </c>
      <c r="W96" s="18" t="s">
        <v>32</v>
      </c>
      <c r="X96" s="18" t="s">
        <v>32</v>
      </c>
      <c r="Y96" s="18" t="s">
        <v>32</v>
      </c>
      <c r="Z96" s="18" t="s">
        <v>32</v>
      </c>
      <c r="AA96" s="18" t="s">
        <v>32</v>
      </c>
    </row>
    <row r="97" s="18" customFormat="1" spans="1:27">
      <c r="A97" s="18" t="s">
        <v>27</v>
      </c>
      <c r="B97" s="18" t="s">
        <v>28</v>
      </c>
      <c r="C97" s="18">
        <v>21299267</v>
      </c>
      <c r="D97" s="17">
        <v>254798946247</v>
      </c>
      <c r="E97" s="20">
        <v>46065.8735185185</v>
      </c>
      <c r="F97" s="18">
        <v>349.32</v>
      </c>
      <c r="G97" s="18">
        <v>0</v>
      </c>
      <c r="H97" s="18">
        <v>349.32</v>
      </c>
      <c r="I97" s="18">
        <v>-175.75</v>
      </c>
      <c r="J97" s="18">
        <v>0</v>
      </c>
      <c r="K97" s="18">
        <v>-175.75</v>
      </c>
      <c r="L97" s="18">
        <v>152.98</v>
      </c>
      <c r="M97" s="18">
        <v>20347</v>
      </c>
      <c r="N97" s="18">
        <v>107.28</v>
      </c>
      <c r="O97" s="18">
        <v>14268.24</v>
      </c>
      <c r="P97" s="18" t="s">
        <v>29</v>
      </c>
      <c r="Q97" s="18" t="s">
        <v>30</v>
      </c>
      <c r="R97" s="18" t="s">
        <v>162</v>
      </c>
      <c r="S97" s="18">
        <v>0</v>
      </c>
      <c r="T97" s="18">
        <v>1020</v>
      </c>
      <c r="U97" s="18">
        <v>0</v>
      </c>
      <c r="V97" s="18" t="s">
        <v>32</v>
      </c>
      <c r="W97" s="18" t="s">
        <v>32</v>
      </c>
      <c r="X97" s="18" t="s">
        <v>32</v>
      </c>
      <c r="Y97" s="18" t="s">
        <v>32</v>
      </c>
      <c r="Z97" s="18" t="s">
        <v>32</v>
      </c>
      <c r="AA97" s="18" t="s">
        <v>32</v>
      </c>
    </row>
    <row r="98" s="4" customFormat="1" spans="1:27">
      <c r="A98" s="4" t="s">
        <v>36</v>
      </c>
      <c r="B98" s="4" t="s">
        <v>28</v>
      </c>
      <c r="C98" s="4">
        <v>14114747</v>
      </c>
      <c r="D98" s="19" t="s">
        <v>163</v>
      </c>
      <c r="E98" s="21">
        <v>45577.8571990741</v>
      </c>
      <c r="F98" s="4">
        <v>1131.35</v>
      </c>
      <c r="G98" s="4">
        <v>0.43</v>
      </c>
      <c r="H98" s="4">
        <v>1130.92</v>
      </c>
      <c r="I98" s="4">
        <v>91.99</v>
      </c>
      <c r="J98" s="4">
        <v>0.43</v>
      </c>
      <c r="K98" s="4">
        <v>91.56</v>
      </c>
      <c r="L98" s="4">
        <v>266.69</v>
      </c>
      <c r="M98" s="4">
        <v>35470</v>
      </c>
      <c r="N98" s="4">
        <v>89.3</v>
      </c>
      <c r="O98" s="4">
        <v>11876.9</v>
      </c>
      <c r="P98" s="4" t="s">
        <v>34</v>
      </c>
      <c r="Q98" s="4" t="s">
        <v>30</v>
      </c>
      <c r="R98" s="4" t="s">
        <v>164</v>
      </c>
      <c r="S98" s="4">
        <v>0</v>
      </c>
      <c r="T98" s="4">
        <v>1770</v>
      </c>
      <c r="U98" s="4">
        <v>0</v>
      </c>
      <c r="V98" s="4" t="s">
        <v>32</v>
      </c>
      <c r="W98" s="4" t="s">
        <v>32</v>
      </c>
      <c r="X98" s="4" t="s">
        <v>32</v>
      </c>
      <c r="Y98" s="4" t="s">
        <v>32</v>
      </c>
      <c r="Z98" s="4" t="s">
        <v>32</v>
      </c>
      <c r="AA98" s="4" t="s">
        <v>32</v>
      </c>
    </row>
    <row r="99" s="4" customFormat="1" spans="1:27">
      <c r="A99" s="4" t="s">
        <v>36</v>
      </c>
      <c r="B99" s="4" t="s">
        <v>28</v>
      </c>
      <c r="C99" s="4">
        <v>20922247</v>
      </c>
      <c r="D99" s="19" t="s">
        <v>165</v>
      </c>
      <c r="E99" s="21">
        <v>46044.9610532407</v>
      </c>
      <c r="F99" s="4">
        <v>3011.85</v>
      </c>
      <c r="G99" s="4">
        <v>0</v>
      </c>
      <c r="H99" s="4">
        <v>3011.85</v>
      </c>
      <c r="I99" s="4">
        <v>211.38</v>
      </c>
      <c r="J99" s="4">
        <v>0</v>
      </c>
      <c r="K99" s="4">
        <v>211.38</v>
      </c>
      <c r="L99" s="4">
        <v>478.41</v>
      </c>
      <c r="M99" s="4">
        <v>63628</v>
      </c>
      <c r="N99" s="4">
        <v>417.69</v>
      </c>
      <c r="O99" s="4">
        <v>55552.77</v>
      </c>
      <c r="P99" s="4" t="s">
        <v>34</v>
      </c>
      <c r="Q99" s="4" t="s">
        <v>30</v>
      </c>
      <c r="R99" s="4" t="s">
        <v>164</v>
      </c>
      <c r="S99" s="4">
        <v>0</v>
      </c>
      <c r="T99" s="4">
        <v>3180</v>
      </c>
      <c r="U99" s="4">
        <v>0</v>
      </c>
      <c r="V99" s="4" t="s">
        <v>32</v>
      </c>
      <c r="W99" s="4" t="s">
        <v>32</v>
      </c>
      <c r="X99" s="4" t="s">
        <v>32</v>
      </c>
      <c r="Y99" s="4" t="s">
        <v>32</v>
      </c>
      <c r="Z99" s="4" t="s">
        <v>32</v>
      </c>
      <c r="AA99" s="4" t="s">
        <v>32</v>
      </c>
    </row>
    <row r="100" s="4" customFormat="1" spans="1:27">
      <c r="A100" s="4" t="s">
        <v>36</v>
      </c>
      <c r="B100" s="4" t="s">
        <v>28</v>
      </c>
      <c r="C100" s="4">
        <v>5331377</v>
      </c>
      <c r="D100" s="19" t="s">
        <v>166</v>
      </c>
      <c r="E100" s="21">
        <v>44451.2758217593</v>
      </c>
      <c r="F100" s="4">
        <v>3346.43</v>
      </c>
      <c r="G100" s="4">
        <v>0.8</v>
      </c>
      <c r="H100" s="4">
        <v>3345.63</v>
      </c>
      <c r="I100" s="4">
        <v>-69.71</v>
      </c>
      <c r="J100" s="4">
        <v>0.8</v>
      </c>
      <c r="K100" s="4">
        <v>-70.52</v>
      </c>
      <c r="L100" s="4">
        <v>782.24</v>
      </c>
      <c r="M100" s="4">
        <v>104038</v>
      </c>
      <c r="N100" s="4">
        <v>13.21</v>
      </c>
      <c r="O100" s="4">
        <v>1756.93</v>
      </c>
      <c r="P100" s="4" t="s">
        <v>34</v>
      </c>
      <c r="Q100" s="4" t="s">
        <v>30</v>
      </c>
      <c r="R100" s="4" t="s">
        <v>164</v>
      </c>
      <c r="S100" s="4">
        <v>0</v>
      </c>
      <c r="T100" s="4">
        <v>5200</v>
      </c>
      <c r="U100" s="4">
        <v>0</v>
      </c>
      <c r="V100" s="4" t="s">
        <v>32</v>
      </c>
      <c r="W100" s="4" t="s">
        <v>32</v>
      </c>
      <c r="X100" s="4" t="s">
        <v>32</v>
      </c>
      <c r="Y100" s="4" t="s">
        <v>32</v>
      </c>
      <c r="Z100" s="4" t="s">
        <v>32</v>
      </c>
      <c r="AA100" s="4" t="s">
        <v>32</v>
      </c>
    </row>
    <row r="101" s="4" customFormat="1" spans="1:27">
      <c r="A101" s="4" t="s">
        <v>36</v>
      </c>
      <c r="B101" s="4" t="s">
        <v>28</v>
      </c>
      <c r="C101" s="4">
        <v>16383687</v>
      </c>
      <c r="D101" s="19" t="s">
        <v>167</v>
      </c>
      <c r="E101" s="21">
        <v>45771.3807986111</v>
      </c>
      <c r="F101" s="4">
        <v>3019.74</v>
      </c>
      <c r="G101" s="4">
        <v>0</v>
      </c>
      <c r="H101" s="4">
        <v>3019.74</v>
      </c>
      <c r="I101" s="4">
        <v>-4.36</v>
      </c>
      <c r="J101" s="4">
        <v>0</v>
      </c>
      <c r="K101" s="4">
        <v>-4.36</v>
      </c>
      <c r="L101" s="4">
        <v>309.92</v>
      </c>
      <c r="M101" s="4">
        <v>41220</v>
      </c>
      <c r="N101" s="4">
        <v>0</v>
      </c>
      <c r="O101" s="4">
        <v>0</v>
      </c>
      <c r="P101" s="4" t="s">
        <v>34</v>
      </c>
      <c r="Q101" s="4" t="s">
        <v>30</v>
      </c>
      <c r="R101" s="4" t="s">
        <v>164</v>
      </c>
      <c r="S101" s="4">
        <v>0</v>
      </c>
      <c r="T101" s="4">
        <v>2060</v>
      </c>
      <c r="U101" s="4">
        <v>0</v>
      </c>
      <c r="V101" s="4" t="s">
        <v>32</v>
      </c>
      <c r="W101" s="4" t="s">
        <v>32</v>
      </c>
      <c r="X101" s="4" t="s">
        <v>32</v>
      </c>
      <c r="Y101" s="4" t="s">
        <v>32</v>
      </c>
      <c r="Z101" s="4" t="s">
        <v>32</v>
      </c>
      <c r="AA101" s="4" t="s">
        <v>32</v>
      </c>
    </row>
    <row r="102" s="4" customFormat="1" spans="1:27">
      <c r="A102" s="4" t="s">
        <v>36</v>
      </c>
      <c r="B102" s="4" t="s">
        <v>28</v>
      </c>
      <c r="C102" s="4">
        <v>21072016</v>
      </c>
      <c r="D102" s="19" t="s">
        <v>168</v>
      </c>
      <c r="E102" s="21">
        <v>46053.9037268519</v>
      </c>
      <c r="F102" s="4">
        <v>1367.73</v>
      </c>
      <c r="G102" s="4">
        <v>0</v>
      </c>
      <c r="H102" s="4">
        <v>1367.73</v>
      </c>
      <c r="I102" s="4">
        <v>42.04</v>
      </c>
      <c r="J102" s="4">
        <v>0</v>
      </c>
      <c r="K102" s="4">
        <v>42.04</v>
      </c>
      <c r="L102" s="4">
        <v>138.35</v>
      </c>
      <c r="M102" s="4">
        <v>18401</v>
      </c>
      <c r="N102" s="4">
        <v>68.52</v>
      </c>
      <c r="O102" s="4">
        <v>9113.16</v>
      </c>
      <c r="P102" s="4" t="s">
        <v>29</v>
      </c>
      <c r="Q102" s="4" t="s">
        <v>30</v>
      </c>
      <c r="R102" s="4" t="s">
        <v>164</v>
      </c>
      <c r="S102" s="4">
        <v>0</v>
      </c>
      <c r="T102" s="4">
        <v>920</v>
      </c>
      <c r="U102" s="4">
        <v>0</v>
      </c>
      <c r="V102" s="4" t="s">
        <v>32</v>
      </c>
      <c r="W102" s="4" t="s">
        <v>32</v>
      </c>
      <c r="X102" s="4" t="s">
        <v>32</v>
      </c>
      <c r="Y102" s="4" t="s">
        <v>32</v>
      </c>
      <c r="Z102" s="4" t="s">
        <v>32</v>
      </c>
      <c r="AA102" s="4" t="s">
        <v>32</v>
      </c>
    </row>
    <row r="103" s="4" customFormat="1" spans="1:27">
      <c r="A103" s="4" t="s">
        <v>36</v>
      </c>
      <c r="B103" s="4" t="s">
        <v>28</v>
      </c>
      <c r="C103" s="4">
        <v>22093859</v>
      </c>
      <c r="D103" s="19" t="s">
        <v>169</v>
      </c>
      <c r="E103" s="21">
        <v>46107.3963425926</v>
      </c>
      <c r="F103" s="4">
        <v>14200.11</v>
      </c>
      <c r="G103" s="4">
        <v>0</v>
      </c>
      <c r="H103" s="4">
        <v>14200.11</v>
      </c>
      <c r="I103" s="4">
        <v>666.22</v>
      </c>
      <c r="J103" s="4">
        <v>0</v>
      </c>
      <c r="K103" s="4">
        <v>666.22</v>
      </c>
      <c r="L103" s="4">
        <v>1059.59</v>
      </c>
      <c r="M103" s="4">
        <v>140925</v>
      </c>
      <c r="N103" s="4">
        <v>1006.61</v>
      </c>
      <c r="O103" s="4">
        <v>133879.13</v>
      </c>
      <c r="P103" s="4" t="s">
        <v>29</v>
      </c>
      <c r="Q103" s="4" t="s">
        <v>33</v>
      </c>
      <c r="R103" s="4" t="s">
        <v>164</v>
      </c>
      <c r="S103" s="4">
        <v>0</v>
      </c>
      <c r="T103" s="4">
        <v>7050</v>
      </c>
      <c r="U103" s="4">
        <v>0</v>
      </c>
      <c r="V103" s="4" t="s">
        <v>32</v>
      </c>
      <c r="W103" s="4" t="s">
        <v>32</v>
      </c>
      <c r="X103" s="4" t="s">
        <v>32</v>
      </c>
      <c r="Y103" s="4" t="s">
        <v>32</v>
      </c>
      <c r="Z103" s="4" t="s">
        <v>32</v>
      </c>
      <c r="AA103" s="4" t="s">
        <v>32</v>
      </c>
    </row>
    <row r="104" s="4" customFormat="1" spans="1:27">
      <c r="A104" s="4" t="s">
        <v>36</v>
      </c>
      <c r="B104" s="4" t="s">
        <v>28</v>
      </c>
      <c r="C104" s="4">
        <v>19733687</v>
      </c>
      <c r="D104" s="19" t="s">
        <v>170</v>
      </c>
      <c r="E104" s="21">
        <v>45988.4586111111</v>
      </c>
      <c r="F104" s="4">
        <v>5134.6</v>
      </c>
      <c r="G104" s="4">
        <v>0.42</v>
      </c>
      <c r="H104" s="4">
        <v>5134.18</v>
      </c>
      <c r="I104" s="4">
        <v>-43.99</v>
      </c>
      <c r="J104" s="4">
        <v>-0.24</v>
      </c>
      <c r="K104" s="4">
        <v>-43.75</v>
      </c>
      <c r="L104" s="4">
        <v>508.97</v>
      </c>
      <c r="M104" s="4">
        <v>67693</v>
      </c>
      <c r="N104" s="4">
        <v>6.11</v>
      </c>
      <c r="O104" s="4">
        <v>812.63</v>
      </c>
      <c r="P104" s="4" t="s">
        <v>34</v>
      </c>
      <c r="Q104" s="4" t="s">
        <v>30</v>
      </c>
      <c r="R104" s="4" t="s">
        <v>164</v>
      </c>
      <c r="S104" s="4">
        <v>0</v>
      </c>
      <c r="T104" s="4">
        <v>3380</v>
      </c>
      <c r="U104" s="4">
        <v>0</v>
      </c>
      <c r="V104" s="4" t="s">
        <v>32</v>
      </c>
      <c r="W104" s="4" t="s">
        <v>32</v>
      </c>
      <c r="X104" s="4" t="s">
        <v>32</v>
      </c>
      <c r="Y104" s="4" t="s">
        <v>32</v>
      </c>
      <c r="Z104" s="4" t="s">
        <v>32</v>
      </c>
      <c r="AA104" s="4" t="s">
        <v>32</v>
      </c>
    </row>
    <row r="105" s="4" customFormat="1" spans="1:27">
      <c r="A105" s="4" t="s">
        <v>36</v>
      </c>
      <c r="B105" s="4" t="s">
        <v>28</v>
      </c>
      <c r="C105" s="4">
        <v>21200368</v>
      </c>
      <c r="D105" s="19" t="s">
        <v>171</v>
      </c>
      <c r="E105" s="21">
        <v>46060.7431481481</v>
      </c>
      <c r="F105" s="4">
        <v>1494.79</v>
      </c>
      <c r="G105" s="4">
        <v>0</v>
      </c>
      <c r="H105" s="4">
        <v>1494.79</v>
      </c>
      <c r="I105" s="4">
        <v>103.84</v>
      </c>
      <c r="J105" s="4">
        <v>0</v>
      </c>
      <c r="K105" s="4">
        <v>103.84</v>
      </c>
      <c r="L105" s="4">
        <v>589.61</v>
      </c>
      <c r="M105" s="4">
        <v>78418</v>
      </c>
      <c r="N105" s="4">
        <v>241.11</v>
      </c>
      <c r="O105" s="4">
        <v>32067.63</v>
      </c>
      <c r="P105" s="4" t="s">
        <v>29</v>
      </c>
      <c r="Q105" s="4" t="s">
        <v>30</v>
      </c>
      <c r="R105" s="4" t="s">
        <v>164</v>
      </c>
      <c r="S105" s="4">
        <v>0</v>
      </c>
      <c r="T105" s="4">
        <v>3920</v>
      </c>
      <c r="U105" s="4">
        <v>0</v>
      </c>
      <c r="V105" s="4" t="s">
        <v>32</v>
      </c>
      <c r="W105" s="4" t="s">
        <v>32</v>
      </c>
      <c r="X105" s="4" t="s">
        <v>32</v>
      </c>
      <c r="Y105" s="4" t="s">
        <v>32</v>
      </c>
      <c r="Z105" s="4" t="s">
        <v>32</v>
      </c>
      <c r="AA105" s="4" t="s">
        <v>32</v>
      </c>
    </row>
    <row r="106" s="4" customFormat="1" spans="1:27">
      <c r="A106" s="4" t="s">
        <v>36</v>
      </c>
      <c r="B106" s="4" t="s">
        <v>28</v>
      </c>
      <c r="C106" s="4">
        <v>16251086</v>
      </c>
      <c r="D106" s="19" t="s">
        <v>172</v>
      </c>
      <c r="E106" s="21">
        <v>45761.8418171296</v>
      </c>
      <c r="F106" s="4">
        <v>627.96</v>
      </c>
      <c r="G106" s="4">
        <v>0</v>
      </c>
      <c r="H106" s="4">
        <v>627.96</v>
      </c>
      <c r="I106" s="4">
        <v>123.67</v>
      </c>
      <c r="J106" s="4">
        <v>0</v>
      </c>
      <c r="K106" s="4">
        <v>123.67</v>
      </c>
      <c r="L106" s="4">
        <v>326</v>
      </c>
      <c r="M106" s="4">
        <v>43358</v>
      </c>
      <c r="N106" s="4">
        <v>57.48</v>
      </c>
      <c r="O106" s="4">
        <v>7644.84</v>
      </c>
      <c r="P106" s="4" t="s">
        <v>29</v>
      </c>
      <c r="Q106" s="4" t="s">
        <v>30</v>
      </c>
      <c r="R106" s="4" t="s">
        <v>164</v>
      </c>
      <c r="S106" s="4">
        <v>0</v>
      </c>
      <c r="T106" s="4">
        <v>2170</v>
      </c>
      <c r="U106" s="4">
        <v>0</v>
      </c>
      <c r="V106" s="4" t="s">
        <v>32</v>
      </c>
      <c r="W106" s="4" t="s">
        <v>32</v>
      </c>
      <c r="X106" s="4" t="s">
        <v>32</v>
      </c>
      <c r="Y106" s="4" t="s">
        <v>32</v>
      </c>
      <c r="Z106" s="4" t="s">
        <v>32</v>
      </c>
      <c r="AA106" s="4" t="s">
        <v>32</v>
      </c>
    </row>
    <row r="107" s="4" customFormat="1" spans="1:27">
      <c r="A107" s="4" t="s">
        <v>36</v>
      </c>
      <c r="B107" s="4" t="s">
        <v>28</v>
      </c>
      <c r="C107" s="4">
        <v>18131309</v>
      </c>
      <c r="D107" s="19" t="s">
        <v>173</v>
      </c>
      <c r="E107" s="21">
        <v>45894.3104398148</v>
      </c>
      <c r="F107" s="4">
        <v>817.12</v>
      </c>
      <c r="G107" s="4">
        <v>0</v>
      </c>
      <c r="H107" s="4">
        <v>817.12</v>
      </c>
      <c r="I107" s="4">
        <v>6.43</v>
      </c>
      <c r="J107" s="4">
        <v>0</v>
      </c>
      <c r="K107" s="4">
        <v>6.43</v>
      </c>
      <c r="L107" s="4">
        <v>64.41</v>
      </c>
      <c r="M107" s="4">
        <v>8567</v>
      </c>
      <c r="N107" s="4">
        <v>0</v>
      </c>
      <c r="O107" s="4">
        <v>0</v>
      </c>
      <c r="P107" s="4" t="s">
        <v>29</v>
      </c>
      <c r="Q107" s="4" t="s">
        <v>30</v>
      </c>
      <c r="R107" s="4" t="s">
        <v>164</v>
      </c>
      <c r="S107" s="4">
        <v>0</v>
      </c>
      <c r="T107" s="4">
        <v>430</v>
      </c>
      <c r="U107" s="4">
        <v>0</v>
      </c>
      <c r="V107" s="4" t="s">
        <v>32</v>
      </c>
      <c r="W107" s="4" t="s">
        <v>32</v>
      </c>
      <c r="X107" s="4" t="s">
        <v>32</v>
      </c>
      <c r="Y107" s="4" t="s">
        <v>32</v>
      </c>
      <c r="Z107" s="4" t="s">
        <v>32</v>
      </c>
      <c r="AA107" s="4" t="s">
        <v>32</v>
      </c>
    </row>
    <row r="108" s="4" customFormat="1" spans="1:27">
      <c r="A108" s="4" t="s">
        <v>36</v>
      </c>
      <c r="B108" s="4" t="s">
        <v>28</v>
      </c>
      <c r="C108" s="4">
        <v>20259796</v>
      </c>
      <c r="D108" s="19" t="s">
        <v>174</v>
      </c>
      <c r="E108" s="21">
        <v>46013.5619097222</v>
      </c>
      <c r="F108" s="4">
        <v>381.69</v>
      </c>
      <c r="G108" s="4">
        <v>0.5</v>
      </c>
      <c r="H108" s="4">
        <v>381.19</v>
      </c>
      <c r="I108" s="4">
        <v>-64.44</v>
      </c>
      <c r="J108" s="4">
        <v>0.2</v>
      </c>
      <c r="K108" s="4">
        <v>-64.64</v>
      </c>
      <c r="L108" s="4">
        <v>145.99</v>
      </c>
      <c r="M108" s="4">
        <v>19417</v>
      </c>
      <c r="N108" s="4">
        <v>8.44</v>
      </c>
      <c r="O108" s="4">
        <v>1122.52</v>
      </c>
      <c r="P108" s="4" t="s">
        <v>29</v>
      </c>
      <c r="Q108" s="4" t="s">
        <v>30</v>
      </c>
      <c r="R108" s="4" t="s">
        <v>164</v>
      </c>
      <c r="S108" s="4">
        <v>0</v>
      </c>
      <c r="T108" s="4">
        <v>970</v>
      </c>
      <c r="U108" s="4">
        <v>0</v>
      </c>
      <c r="V108" s="4" t="s">
        <v>32</v>
      </c>
      <c r="W108" s="4" t="s">
        <v>32</v>
      </c>
      <c r="X108" s="4" t="s">
        <v>32</v>
      </c>
      <c r="Y108" s="4" t="s">
        <v>32</v>
      </c>
      <c r="Z108" s="4" t="s">
        <v>32</v>
      </c>
      <c r="AA108" s="4" t="s">
        <v>32</v>
      </c>
    </row>
    <row r="109" s="4" customFormat="1" spans="1:27">
      <c r="A109" s="4" t="s">
        <v>36</v>
      </c>
      <c r="B109" s="4" t="s">
        <v>28</v>
      </c>
      <c r="C109" s="4">
        <v>22517226</v>
      </c>
      <c r="D109" s="19" t="s">
        <v>175</v>
      </c>
      <c r="E109" s="21">
        <v>46132.4320023148</v>
      </c>
      <c r="F109" s="4">
        <v>497.07</v>
      </c>
      <c r="G109" s="4">
        <v>0.34</v>
      </c>
      <c r="H109" s="4">
        <v>496.73</v>
      </c>
      <c r="I109" s="4">
        <v>103.29</v>
      </c>
      <c r="J109" s="4">
        <v>0.34</v>
      </c>
      <c r="K109" s="4">
        <v>102.95</v>
      </c>
      <c r="L109" s="4">
        <v>122.47</v>
      </c>
      <c r="M109" s="4">
        <v>16288</v>
      </c>
      <c r="N109" s="4">
        <v>116.34</v>
      </c>
      <c r="O109" s="4">
        <v>15473.22</v>
      </c>
      <c r="P109" s="4" t="s">
        <v>29</v>
      </c>
      <c r="Q109" s="4" t="s">
        <v>30</v>
      </c>
      <c r="R109" s="4" t="s">
        <v>164</v>
      </c>
      <c r="S109" s="4">
        <v>0</v>
      </c>
      <c r="T109" s="4">
        <v>810</v>
      </c>
      <c r="U109" s="4">
        <v>0</v>
      </c>
      <c r="V109" s="4" t="s">
        <v>32</v>
      </c>
      <c r="W109" s="4" t="s">
        <v>32</v>
      </c>
      <c r="X109" s="4" t="s">
        <v>32</v>
      </c>
      <c r="Y109" s="4" t="s">
        <v>32</v>
      </c>
      <c r="Z109" s="4" t="s">
        <v>32</v>
      </c>
      <c r="AA109" s="4" t="s">
        <v>32</v>
      </c>
    </row>
    <row r="110" s="4" customFormat="1" spans="1:27">
      <c r="A110" s="4" t="s">
        <v>36</v>
      </c>
      <c r="B110" s="4" t="s">
        <v>28</v>
      </c>
      <c r="C110" s="4">
        <v>12213316</v>
      </c>
      <c r="D110" s="19" t="s">
        <v>176</v>
      </c>
      <c r="E110" s="21">
        <v>45322.5766782407</v>
      </c>
      <c r="F110" s="4">
        <v>405.02</v>
      </c>
      <c r="G110" s="4">
        <v>0.18</v>
      </c>
      <c r="H110" s="4">
        <v>404.83</v>
      </c>
      <c r="I110" s="4">
        <v>96.14</v>
      </c>
      <c r="J110" s="4">
        <v>0.18</v>
      </c>
      <c r="K110" s="4">
        <v>95.96</v>
      </c>
      <c r="L110" s="4">
        <v>134.17</v>
      </c>
      <c r="M110" s="4">
        <v>17845</v>
      </c>
      <c r="N110" s="4">
        <v>42.86</v>
      </c>
      <c r="O110" s="4">
        <v>5700.38</v>
      </c>
      <c r="P110" s="4" t="s">
        <v>29</v>
      </c>
      <c r="Q110" s="4" t="s">
        <v>30</v>
      </c>
      <c r="R110" s="4" t="s">
        <v>164</v>
      </c>
      <c r="S110" s="4">
        <v>0</v>
      </c>
      <c r="T110" s="4">
        <v>890</v>
      </c>
      <c r="U110" s="4">
        <v>0</v>
      </c>
      <c r="V110" s="4" t="s">
        <v>32</v>
      </c>
      <c r="W110" s="4" t="s">
        <v>32</v>
      </c>
      <c r="X110" s="4" t="s">
        <v>32</v>
      </c>
      <c r="Y110" s="4" t="s">
        <v>32</v>
      </c>
      <c r="Z110" s="4" t="s">
        <v>32</v>
      </c>
      <c r="AA110" s="4" t="s">
        <v>32</v>
      </c>
    </row>
    <row r="111" s="4" customFormat="1" spans="1:27">
      <c r="A111" s="4" t="s">
        <v>36</v>
      </c>
      <c r="B111" s="4" t="s">
        <v>28</v>
      </c>
      <c r="C111" s="4">
        <v>13938449</v>
      </c>
      <c r="D111" s="19" t="s">
        <v>177</v>
      </c>
      <c r="E111" s="21">
        <v>45563.91875</v>
      </c>
      <c r="F111" s="4">
        <v>123.08</v>
      </c>
      <c r="G111" s="4">
        <v>0</v>
      </c>
      <c r="H111" s="4">
        <v>123.08</v>
      </c>
      <c r="I111" s="4">
        <v>40.31</v>
      </c>
      <c r="J111" s="4">
        <v>0</v>
      </c>
      <c r="K111" s="4">
        <v>40.31</v>
      </c>
      <c r="L111" s="4">
        <v>100.9</v>
      </c>
      <c r="M111" s="4">
        <v>13420</v>
      </c>
      <c r="N111" s="4">
        <v>1.43</v>
      </c>
      <c r="O111" s="4">
        <v>190.19</v>
      </c>
      <c r="P111" s="4" t="s">
        <v>29</v>
      </c>
      <c r="Q111" s="4" t="s">
        <v>30</v>
      </c>
      <c r="R111" s="4" t="s">
        <v>164</v>
      </c>
      <c r="S111" s="4">
        <v>0</v>
      </c>
      <c r="T111" s="4">
        <v>670</v>
      </c>
      <c r="U111" s="4">
        <v>0</v>
      </c>
      <c r="V111" s="4" t="s">
        <v>32</v>
      </c>
      <c r="W111" s="4" t="s">
        <v>32</v>
      </c>
      <c r="X111" s="4" t="s">
        <v>32</v>
      </c>
      <c r="Y111" s="4" t="s">
        <v>32</v>
      </c>
      <c r="Z111" s="4" t="s">
        <v>32</v>
      </c>
      <c r="AA111" s="4" t="s">
        <v>32</v>
      </c>
    </row>
    <row r="112" s="4" customFormat="1" spans="1:27">
      <c r="A112" s="4" t="s">
        <v>36</v>
      </c>
      <c r="B112" s="4" t="s">
        <v>28</v>
      </c>
      <c r="C112" s="4">
        <v>13221199</v>
      </c>
      <c r="D112" s="19" t="s">
        <v>178</v>
      </c>
      <c r="E112" s="21">
        <v>45468.7612268518</v>
      </c>
      <c r="F112" s="4">
        <v>125200.85</v>
      </c>
      <c r="G112" s="4">
        <v>0.12</v>
      </c>
      <c r="H112" s="4">
        <v>125200.73</v>
      </c>
      <c r="I112" s="4">
        <v>4055.68</v>
      </c>
      <c r="J112" s="4">
        <v>0.12</v>
      </c>
      <c r="K112" s="4">
        <v>4055.56</v>
      </c>
      <c r="L112" s="4">
        <v>17376.74</v>
      </c>
      <c r="M112" s="4">
        <v>2311106</v>
      </c>
      <c r="N112" s="4">
        <v>11297.58</v>
      </c>
      <c r="O112" s="4">
        <v>1502578.14</v>
      </c>
      <c r="P112" s="4" t="s">
        <v>29</v>
      </c>
      <c r="Q112" s="4" t="s">
        <v>33</v>
      </c>
      <c r="R112" s="4" t="s">
        <v>164</v>
      </c>
      <c r="S112" s="4">
        <v>0</v>
      </c>
      <c r="T112" s="4">
        <v>30000</v>
      </c>
      <c r="U112" s="4">
        <v>1</v>
      </c>
      <c r="V112" s="4">
        <v>1</v>
      </c>
      <c r="W112" s="4" t="s">
        <v>32</v>
      </c>
      <c r="X112" s="4" t="s">
        <v>32</v>
      </c>
      <c r="Y112" s="4" t="s">
        <v>32</v>
      </c>
      <c r="Z112" s="4" t="s">
        <v>32</v>
      </c>
      <c r="AA112" s="4" t="s">
        <v>32</v>
      </c>
    </row>
    <row r="113" s="4" customFormat="1" spans="1:27">
      <c r="A113" s="4" t="s">
        <v>36</v>
      </c>
      <c r="B113" s="4" t="s">
        <v>28</v>
      </c>
      <c r="C113" s="4">
        <v>21968529</v>
      </c>
      <c r="D113" s="19" t="s">
        <v>179</v>
      </c>
      <c r="E113" s="21">
        <v>46100.2365393518</v>
      </c>
      <c r="F113" s="4">
        <v>168.65</v>
      </c>
      <c r="G113" s="4">
        <v>0.76</v>
      </c>
      <c r="H113" s="4">
        <v>167.89</v>
      </c>
      <c r="I113" s="4">
        <v>21.7</v>
      </c>
      <c r="J113" s="4">
        <v>0.76</v>
      </c>
      <c r="K113" s="4">
        <v>20.95</v>
      </c>
      <c r="L113" s="4">
        <v>116.58</v>
      </c>
      <c r="M113" s="4">
        <v>15505</v>
      </c>
      <c r="N113" s="4">
        <v>110.75</v>
      </c>
      <c r="O113" s="4">
        <v>14729.75</v>
      </c>
      <c r="P113" s="4" t="s">
        <v>34</v>
      </c>
      <c r="Q113" s="4" t="s">
        <v>30</v>
      </c>
      <c r="R113" s="4" t="s">
        <v>164</v>
      </c>
      <c r="S113" s="4">
        <v>0</v>
      </c>
      <c r="T113" s="4">
        <v>780</v>
      </c>
      <c r="U113" s="4">
        <v>0</v>
      </c>
      <c r="V113" s="4" t="s">
        <v>32</v>
      </c>
      <c r="W113" s="4" t="s">
        <v>32</v>
      </c>
      <c r="X113" s="4" t="s">
        <v>32</v>
      </c>
      <c r="Y113" s="4" t="s">
        <v>32</v>
      </c>
      <c r="Z113" s="4" t="s">
        <v>32</v>
      </c>
      <c r="AA113" s="4" t="s">
        <v>32</v>
      </c>
    </row>
    <row r="114" s="4" customFormat="1" spans="1:27">
      <c r="A114" s="4" t="s">
        <v>36</v>
      </c>
      <c r="B114" s="4" t="s">
        <v>28</v>
      </c>
      <c r="C114" s="4">
        <v>13087458</v>
      </c>
      <c r="D114" s="19" t="s">
        <v>180</v>
      </c>
      <c r="E114" s="21">
        <v>45442.6289236111</v>
      </c>
      <c r="F114" s="4">
        <v>403.18</v>
      </c>
      <c r="G114" s="4">
        <v>0.01</v>
      </c>
      <c r="H114" s="4">
        <v>403.17</v>
      </c>
      <c r="I114" s="4">
        <v>23.37</v>
      </c>
      <c r="J114" s="4">
        <v>0.01</v>
      </c>
      <c r="K114" s="4">
        <v>23.37</v>
      </c>
      <c r="L114" s="4">
        <v>55.05</v>
      </c>
      <c r="M114" s="4">
        <v>7322</v>
      </c>
      <c r="N114" s="4">
        <v>0.21</v>
      </c>
      <c r="O114" s="4">
        <v>27.93</v>
      </c>
      <c r="P114" s="4" t="s">
        <v>29</v>
      </c>
      <c r="Q114" s="4" t="s">
        <v>30</v>
      </c>
      <c r="R114" s="4" t="s">
        <v>164</v>
      </c>
      <c r="S114" s="4">
        <v>0</v>
      </c>
      <c r="T114" s="4">
        <v>370</v>
      </c>
      <c r="U114" s="4">
        <v>0</v>
      </c>
      <c r="V114" s="4" t="s">
        <v>32</v>
      </c>
      <c r="W114" s="4" t="s">
        <v>32</v>
      </c>
      <c r="X114" s="4" t="s">
        <v>32</v>
      </c>
      <c r="Y114" s="4" t="s">
        <v>32</v>
      </c>
      <c r="Z114" s="4" t="s">
        <v>32</v>
      </c>
      <c r="AA114" s="4" t="s">
        <v>32</v>
      </c>
    </row>
    <row r="115" s="4" customFormat="1" spans="1:27">
      <c r="A115" s="4" t="s">
        <v>36</v>
      </c>
      <c r="B115" s="4" t="s">
        <v>28</v>
      </c>
      <c r="C115" s="4">
        <v>13199676</v>
      </c>
      <c r="D115" s="19" t="s">
        <v>181</v>
      </c>
      <c r="E115" s="21">
        <v>45464.5248611111</v>
      </c>
      <c r="F115" s="4">
        <v>685.93</v>
      </c>
      <c r="G115" s="4">
        <v>0.12</v>
      </c>
      <c r="H115" s="4">
        <v>685.81</v>
      </c>
      <c r="I115" s="4">
        <v>-99.37</v>
      </c>
      <c r="J115" s="4">
        <v>0.12</v>
      </c>
      <c r="K115" s="4">
        <v>-99.49</v>
      </c>
      <c r="L115" s="4">
        <v>217.82</v>
      </c>
      <c r="M115" s="4">
        <v>28970</v>
      </c>
      <c r="N115" s="4">
        <v>2.57</v>
      </c>
      <c r="O115" s="4">
        <v>341.81</v>
      </c>
      <c r="P115" s="4" t="s">
        <v>34</v>
      </c>
      <c r="Q115" s="4" t="s">
        <v>30</v>
      </c>
      <c r="R115" s="4" t="s">
        <v>164</v>
      </c>
      <c r="S115" s="4">
        <v>0</v>
      </c>
      <c r="T115" s="4">
        <v>1450</v>
      </c>
      <c r="U115" s="4">
        <v>0</v>
      </c>
      <c r="V115" s="4" t="s">
        <v>32</v>
      </c>
      <c r="W115" s="4" t="s">
        <v>32</v>
      </c>
      <c r="X115" s="4" t="s">
        <v>32</v>
      </c>
      <c r="Y115" s="4" t="s">
        <v>32</v>
      </c>
      <c r="Z115" s="4" t="s">
        <v>32</v>
      </c>
      <c r="AA115" s="4" t="s">
        <v>32</v>
      </c>
    </row>
    <row r="116" s="4" customFormat="1" spans="1:27">
      <c r="A116" s="4" t="s">
        <v>36</v>
      </c>
      <c r="B116" s="4" t="s">
        <v>28</v>
      </c>
      <c r="C116" s="4">
        <v>12651879</v>
      </c>
      <c r="D116" s="19" t="s">
        <v>182</v>
      </c>
      <c r="E116" s="21">
        <v>45388.4809259259</v>
      </c>
      <c r="F116" s="4">
        <v>8450.18</v>
      </c>
      <c r="G116" s="4">
        <v>0</v>
      </c>
      <c r="H116" s="4">
        <v>8450.18</v>
      </c>
      <c r="I116" s="4">
        <v>262.13</v>
      </c>
      <c r="J116" s="4">
        <v>0</v>
      </c>
      <c r="K116" s="4">
        <v>262.13</v>
      </c>
      <c r="L116" s="4">
        <v>1219.43</v>
      </c>
      <c r="M116" s="4">
        <v>162184</v>
      </c>
      <c r="N116" s="4">
        <v>1011.12</v>
      </c>
      <c r="O116" s="4">
        <v>134478.96</v>
      </c>
      <c r="P116" s="4" t="s">
        <v>29</v>
      </c>
      <c r="Q116" s="4" t="s">
        <v>33</v>
      </c>
      <c r="R116" s="4" t="s">
        <v>164</v>
      </c>
      <c r="S116" s="4">
        <v>0</v>
      </c>
      <c r="T116" s="4">
        <v>8110</v>
      </c>
      <c r="U116" s="4">
        <v>0</v>
      </c>
      <c r="V116" s="4" t="s">
        <v>32</v>
      </c>
      <c r="W116" s="4" t="s">
        <v>32</v>
      </c>
      <c r="X116" s="4" t="s">
        <v>32</v>
      </c>
      <c r="Y116" s="4" t="s">
        <v>32</v>
      </c>
      <c r="Z116" s="4" t="s">
        <v>32</v>
      </c>
      <c r="AA116" s="4" t="s">
        <v>32</v>
      </c>
    </row>
    <row r="117" s="4" customFormat="1" spans="1:27">
      <c r="A117" s="4" t="s">
        <v>36</v>
      </c>
      <c r="B117" s="4" t="s">
        <v>28</v>
      </c>
      <c r="C117" s="4">
        <v>1678886</v>
      </c>
      <c r="D117" s="19" t="s">
        <v>183</v>
      </c>
      <c r="E117" s="21">
        <v>44009.4476736111</v>
      </c>
      <c r="F117" s="4">
        <v>1162.32</v>
      </c>
      <c r="G117" s="4">
        <v>0.38</v>
      </c>
      <c r="H117" s="4">
        <v>1161.94</v>
      </c>
      <c r="I117" s="4">
        <v>107.36</v>
      </c>
      <c r="J117" s="4">
        <v>0.38</v>
      </c>
      <c r="K117" s="4">
        <v>106.97</v>
      </c>
      <c r="L117" s="4">
        <v>318.42</v>
      </c>
      <c r="M117" s="4">
        <v>42350</v>
      </c>
      <c r="N117" s="4">
        <v>63.57</v>
      </c>
      <c r="O117" s="4">
        <v>8454.81</v>
      </c>
      <c r="P117" s="4" t="s">
        <v>29</v>
      </c>
      <c r="Q117" s="4" t="s">
        <v>30</v>
      </c>
      <c r="R117" s="4" t="s">
        <v>164</v>
      </c>
      <c r="S117" s="4">
        <v>0</v>
      </c>
      <c r="T117" s="4">
        <v>2120</v>
      </c>
      <c r="U117" s="4">
        <v>0</v>
      </c>
      <c r="V117" s="4" t="s">
        <v>32</v>
      </c>
      <c r="W117" s="4" t="s">
        <v>32</v>
      </c>
      <c r="X117" s="4" t="s">
        <v>32</v>
      </c>
      <c r="Y117" s="4" t="s">
        <v>32</v>
      </c>
      <c r="Z117" s="4" t="s">
        <v>32</v>
      </c>
      <c r="AA117" s="4" t="s">
        <v>32</v>
      </c>
    </row>
    <row r="118" s="4" customFormat="1" spans="1:27">
      <c r="A118" s="4" t="s">
        <v>36</v>
      </c>
      <c r="B118" s="4" t="s">
        <v>28</v>
      </c>
      <c r="C118" s="4">
        <v>20688479</v>
      </c>
      <c r="D118" s="19" t="s">
        <v>184</v>
      </c>
      <c r="E118" s="21">
        <v>46033.3520138889</v>
      </c>
      <c r="F118" s="4">
        <v>313.21</v>
      </c>
      <c r="G118" s="4">
        <v>9.18</v>
      </c>
      <c r="H118" s="4">
        <v>304.03</v>
      </c>
      <c r="I118" s="4">
        <v>20.86</v>
      </c>
      <c r="J118" s="4">
        <v>6.92</v>
      </c>
      <c r="K118" s="4">
        <v>13.94</v>
      </c>
      <c r="L118" s="4">
        <v>84.92</v>
      </c>
      <c r="M118" s="4">
        <v>11295</v>
      </c>
      <c r="N118" s="4">
        <v>75.48</v>
      </c>
      <c r="O118" s="4">
        <v>10038.84</v>
      </c>
      <c r="P118" s="4" t="s">
        <v>29</v>
      </c>
      <c r="Q118" s="4" t="s">
        <v>30</v>
      </c>
      <c r="R118" s="4" t="s">
        <v>164</v>
      </c>
      <c r="S118" s="4">
        <v>0</v>
      </c>
      <c r="T118" s="4">
        <v>560</v>
      </c>
      <c r="U118" s="4">
        <v>0</v>
      </c>
      <c r="V118" s="4" t="s">
        <v>32</v>
      </c>
      <c r="W118" s="4" t="s">
        <v>32</v>
      </c>
      <c r="X118" s="4" t="s">
        <v>32</v>
      </c>
      <c r="Y118" s="4" t="s">
        <v>32</v>
      </c>
      <c r="Z118" s="4" t="s">
        <v>32</v>
      </c>
      <c r="AA118" s="4" t="s">
        <v>32</v>
      </c>
    </row>
    <row r="119" s="4" customFormat="1" spans="1:27">
      <c r="A119" s="4" t="s">
        <v>36</v>
      </c>
      <c r="B119" s="4" t="s">
        <v>28</v>
      </c>
      <c r="C119" s="4">
        <v>2958669</v>
      </c>
      <c r="D119" s="19" t="s">
        <v>185</v>
      </c>
      <c r="E119" s="21">
        <v>44128.1270833333</v>
      </c>
      <c r="F119" s="4">
        <v>17978.46</v>
      </c>
      <c r="G119" s="4">
        <v>0</v>
      </c>
      <c r="H119" s="4">
        <v>17978.46</v>
      </c>
      <c r="I119" s="4">
        <v>375.01</v>
      </c>
      <c r="J119" s="4">
        <v>0</v>
      </c>
      <c r="K119" s="4">
        <v>375.01</v>
      </c>
      <c r="L119" s="4">
        <v>1937.11</v>
      </c>
      <c r="M119" s="4">
        <v>257635</v>
      </c>
      <c r="N119" s="4">
        <v>944.25</v>
      </c>
      <c r="O119" s="4">
        <v>125585.25</v>
      </c>
      <c r="P119" s="4" t="s">
        <v>29</v>
      </c>
      <c r="Q119" s="4" t="s">
        <v>33</v>
      </c>
      <c r="R119" s="4" t="s">
        <v>164</v>
      </c>
      <c r="S119" s="4">
        <v>0</v>
      </c>
      <c r="T119" s="4">
        <v>12880</v>
      </c>
      <c r="U119" s="4">
        <v>0</v>
      </c>
      <c r="V119" s="4" t="s">
        <v>32</v>
      </c>
      <c r="W119" s="4" t="s">
        <v>32</v>
      </c>
      <c r="X119" s="4" t="s">
        <v>32</v>
      </c>
      <c r="Y119" s="4" t="s">
        <v>32</v>
      </c>
      <c r="Z119" s="4" t="s">
        <v>32</v>
      </c>
      <c r="AA119" s="4" t="s">
        <v>32</v>
      </c>
    </row>
    <row r="120" s="4" customFormat="1" spans="1:27">
      <c r="A120" s="4" t="s">
        <v>36</v>
      </c>
      <c r="B120" s="4" t="s">
        <v>28</v>
      </c>
      <c r="C120" s="4">
        <v>21957326</v>
      </c>
      <c r="D120" s="19" t="s">
        <v>186</v>
      </c>
      <c r="E120" s="21">
        <v>46099.5242361111</v>
      </c>
      <c r="F120" s="4">
        <v>906.79</v>
      </c>
      <c r="G120" s="4">
        <v>0</v>
      </c>
      <c r="H120" s="4">
        <v>906.79</v>
      </c>
      <c r="I120" s="4">
        <v>27.05</v>
      </c>
      <c r="J120" s="4">
        <v>0</v>
      </c>
      <c r="K120" s="4">
        <v>27.05</v>
      </c>
      <c r="L120" s="4">
        <v>104.4</v>
      </c>
      <c r="M120" s="4">
        <v>13885</v>
      </c>
      <c r="N120" s="4">
        <v>99.18</v>
      </c>
      <c r="O120" s="4">
        <v>13190.94</v>
      </c>
      <c r="P120" s="4" t="s">
        <v>34</v>
      </c>
      <c r="Q120" s="4" t="s">
        <v>30</v>
      </c>
      <c r="R120" s="4" t="s">
        <v>164</v>
      </c>
      <c r="S120" s="4">
        <v>0</v>
      </c>
      <c r="T120" s="4">
        <v>690</v>
      </c>
      <c r="U120" s="4">
        <v>0</v>
      </c>
      <c r="V120" s="4" t="s">
        <v>32</v>
      </c>
      <c r="W120" s="4" t="s">
        <v>32</v>
      </c>
      <c r="X120" s="4" t="s">
        <v>32</v>
      </c>
      <c r="Y120" s="4" t="s">
        <v>32</v>
      </c>
      <c r="Z120" s="4" t="s">
        <v>32</v>
      </c>
      <c r="AA120" s="4" t="s">
        <v>32</v>
      </c>
    </row>
    <row r="121" s="4" customFormat="1" spans="1:27">
      <c r="A121" s="4" t="s">
        <v>36</v>
      </c>
      <c r="B121" s="4" t="s">
        <v>28</v>
      </c>
      <c r="C121" s="4">
        <v>21157018</v>
      </c>
      <c r="D121" s="19" t="s">
        <v>187</v>
      </c>
      <c r="E121" s="21">
        <v>46058.4838194445</v>
      </c>
      <c r="F121" s="4">
        <v>2317.39</v>
      </c>
      <c r="G121" s="4">
        <v>0</v>
      </c>
      <c r="H121" s="4">
        <v>2317.39</v>
      </c>
      <c r="I121" s="4">
        <v>101.84</v>
      </c>
      <c r="J121" s="4">
        <v>0</v>
      </c>
      <c r="K121" s="4">
        <v>101.84</v>
      </c>
      <c r="L121" s="4">
        <v>334.7</v>
      </c>
      <c r="M121" s="4">
        <v>44515</v>
      </c>
      <c r="N121" s="4">
        <v>229.75</v>
      </c>
      <c r="O121" s="4">
        <v>30556.75</v>
      </c>
      <c r="P121" s="4" t="s">
        <v>34</v>
      </c>
      <c r="Q121" s="4" t="s">
        <v>30</v>
      </c>
      <c r="R121" s="4" t="s">
        <v>164</v>
      </c>
      <c r="S121" s="4">
        <v>0</v>
      </c>
      <c r="T121" s="4">
        <v>2230</v>
      </c>
      <c r="U121" s="4">
        <v>0</v>
      </c>
      <c r="V121" s="4" t="s">
        <v>32</v>
      </c>
      <c r="W121" s="4" t="s">
        <v>32</v>
      </c>
      <c r="X121" s="4" t="s">
        <v>32</v>
      </c>
      <c r="Y121" s="4" t="s">
        <v>32</v>
      </c>
      <c r="Z121" s="4" t="s">
        <v>32</v>
      </c>
      <c r="AA121" s="4" t="s">
        <v>32</v>
      </c>
    </row>
    <row r="122" s="4" customFormat="1" spans="1:27">
      <c r="A122" s="4" t="s">
        <v>36</v>
      </c>
      <c r="B122" s="4" t="s">
        <v>28</v>
      </c>
      <c r="C122" s="4">
        <v>1758957</v>
      </c>
      <c r="D122" s="19" t="s">
        <v>188</v>
      </c>
      <c r="E122" s="21">
        <v>44016.7281944444</v>
      </c>
      <c r="F122" s="4">
        <v>879.16</v>
      </c>
      <c r="G122" s="4">
        <v>7.28</v>
      </c>
      <c r="H122" s="4">
        <v>871.88</v>
      </c>
      <c r="I122" s="4">
        <v>76.36</v>
      </c>
      <c r="J122" s="4">
        <v>7.23</v>
      </c>
      <c r="K122" s="4">
        <v>69.89</v>
      </c>
      <c r="L122" s="4">
        <v>175.83</v>
      </c>
      <c r="M122" s="4">
        <v>23385</v>
      </c>
      <c r="N122" s="4">
        <v>0</v>
      </c>
      <c r="O122" s="4">
        <v>0</v>
      </c>
      <c r="P122" s="4" t="s">
        <v>29</v>
      </c>
      <c r="Q122" s="4" t="s">
        <v>30</v>
      </c>
      <c r="R122" s="4" t="s">
        <v>164</v>
      </c>
      <c r="S122" s="4">
        <v>0</v>
      </c>
      <c r="T122" s="4">
        <v>1170</v>
      </c>
      <c r="U122" s="4">
        <v>0</v>
      </c>
      <c r="V122" s="4" t="s">
        <v>32</v>
      </c>
      <c r="W122" s="4" t="s">
        <v>32</v>
      </c>
      <c r="X122" s="4" t="s">
        <v>32</v>
      </c>
      <c r="Y122" s="4" t="s">
        <v>32</v>
      </c>
      <c r="Z122" s="4" t="s">
        <v>32</v>
      </c>
      <c r="AA122" s="4" t="s">
        <v>32</v>
      </c>
    </row>
    <row r="123" s="4" customFormat="1" spans="1:27">
      <c r="A123" s="4" t="s">
        <v>36</v>
      </c>
      <c r="B123" s="4" t="s">
        <v>28</v>
      </c>
      <c r="C123" s="4">
        <v>15246959</v>
      </c>
      <c r="D123" s="19" t="s">
        <v>189</v>
      </c>
      <c r="E123" s="21">
        <v>45656.7896180555</v>
      </c>
      <c r="F123" s="4">
        <v>10491.03</v>
      </c>
      <c r="G123" s="4">
        <v>0</v>
      </c>
      <c r="H123" s="4">
        <v>10491.03</v>
      </c>
      <c r="I123" s="4">
        <v>365.4</v>
      </c>
      <c r="J123" s="4">
        <v>0</v>
      </c>
      <c r="K123" s="4">
        <v>365.4</v>
      </c>
      <c r="L123" s="4">
        <v>2322.05</v>
      </c>
      <c r="M123" s="4">
        <v>308833</v>
      </c>
      <c r="N123" s="4">
        <v>127.19</v>
      </c>
      <c r="O123" s="4">
        <v>16916.27</v>
      </c>
      <c r="P123" s="4" t="s">
        <v>29</v>
      </c>
      <c r="Q123" s="4" t="s">
        <v>33</v>
      </c>
      <c r="R123" s="4" t="s">
        <v>164</v>
      </c>
      <c r="S123" s="4">
        <v>0</v>
      </c>
      <c r="T123" s="4">
        <v>15440</v>
      </c>
      <c r="U123" s="4">
        <v>0</v>
      </c>
      <c r="V123" s="4" t="s">
        <v>32</v>
      </c>
      <c r="W123" s="4" t="s">
        <v>32</v>
      </c>
      <c r="X123" s="4" t="s">
        <v>32</v>
      </c>
      <c r="Y123" s="4" t="s">
        <v>32</v>
      </c>
      <c r="Z123" s="4" t="s">
        <v>32</v>
      </c>
      <c r="AA123" s="4" t="s">
        <v>32</v>
      </c>
    </row>
    <row r="124" s="4" customFormat="1" spans="1:27">
      <c r="A124" s="4" t="s">
        <v>36</v>
      </c>
      <c r="B124" s="4" t="s">
        <v>28</v>
      </c>
      <c r="C124" s="4">
        <v>22700989</v>
      </c>
      <c r="D124" s="19" t="s">
        <v>190</v>
      </c>
      <c r="E124" s="21">
        <v>46144.5611342593</v>
      </c>
      <c r="F124" s="4">
        <v>831.08</v>
      </c>
      <c r="G124" s="4">
        <v>0</v>
      </c>
      <c r="H124" s="4">
        <v>831.08</v>
      </c>
      <c r="I124" s="4">
        <v>-5.87</v>
      </c>
      <c r="J124" s="4">
        <v>0</v>
      </c>
      <c r="K124" s="4">
        <v>-5.87</v>
      </c>
      <c r="L124" s="4">
        <v>104.47</v>
      </c>
      <c r="M124" s="4">
        <v>13894</v>
      </c>
      <c r="N124" s="4">
        <v>99.24</v>
      </c>
      <c r="O124" s="4">
        <v>13198.92</v>
      </c>
      <c r="P124" s="4" t="s">
        <v>29</v>
      </c>
      <c r="Q124" s="4" t="s">
        <v>30</v>
      </c>
      <c r="R124" s="4" t="s">
        <v>164</v>
      </c>
      <c r="S124" s="4">
        <v>0</v>
      </c>
      <c r="T124" s="4">
        <v>690</v>
      </c>
      <c r="U124" s="4">
        <v>0</v>
      </c>
      <c r="V124" s="4" t="s">
        <v>32</v>
      </c>
      <c r="W124" s="4" t="s">
        <v>32</v>
      </c>
      <c r="X124" s="4" t="s">
        <v>32</v>
      </c>
      <c r="Y124" s="4" t="s">
        <v>32</v>
      </c>
      <c r="Z124" s="4" t="s">
        <v>32</v>
      </c>
      <c r="AA124" s="4" t="s">
        <v>32</v>
      </c>
    </row>
    <row r="125" s="4" customFormat="1" spans="1:27">
      <c r="A125" s="4" t="s">
        <v>36</v>
      </c>
      <c r="B125" s="4" t="s">
        <v>28</v>
      </c>
      <c r="C125" s="4">
        <v>22437427</v>
      </c>
      <c r="D125" s="19" t="s">
        <v>191</v>
      </c>
      <c r="E125" s="21">
        <v>46127.454212963</v>
      </c>
      <c r="F125" s="4">
        <v>216.6</v>
      </c>
      <c r="G125" s="4">
        <v>0</v>
      </c>
      <c r="H125" s="4">
        <v>216.6</v>
      </c>
      <c r="I125" s="4">
        <v>6.71</v>
      </c>
      <c r="J125" s="4">
        <v>0</v>
      </c>
      <c r="K125" s="4">
        <v>6.71</v>
      </c>
      <c r="L125" s="4">
        <v>55.06</v>
      </c>
      <c r="M125" s="4">
        <v>7323</v>
      </c>
      <c r="N125" s="4">
        <v>52.31</v>
      </c>
      <c r="O125" s="4">
        <v>6957.23</v>
      </c>
      <c r="P125" s="4" t="s">
        <v>29</v>
      </c>
      <c r="Q125" s="4" t="s">
        <v>30</v>
      </c>
      <c r="R125" s="4" t="s">
        <v>164</v>
      </c>
      <c r="S125" s="4">
        <v>0</v>
      </c>
      <c r="T125" s="4">
        <v>370</v>
      </c>
      <c r="U125" s="4">
        <v>0</v>
      </c>
      <c r="V125" s="4" t="s">
        <v>32</v>
      </c>
      <c r="W125" s="4" t="s">
        <v>32</v>
      </c>
      <c r="X125" s="4" t="s">
        <v>32</v>
      </c>
      <c r="Y125" s="4" t="s">
        <v>32</v>
      </c>
      <c r="Z125" s="4" t="s">
        <v>32</v>
      </c>
      <c r="AA125" s="4" t="s">
        <v>32</v>
      </c>
    </row>
    <row r="126" s="4" customFormat="1" spans="1:27">
      <c r="A126" s="4" t="s">
        <v>36</v>
      </c>
      <c r="B126" s="4" t="s">
        <v>28</v>
      </c>
      <c r="C126" s="4">
        <v>10962028</v>
      </c>
      <c r="D126" s="19" t="s">
        <v>192</v>
      </c>
      <c r="E126" s="21">
        <v>45214.6498611111</v>
      </c>
      <c r="F126" s="4">
        <v>511.31</v>
      </c>
      <c r="G126" s="4">
        <v>0</v>
      </c>
      <c r="H126" s="4">
        <v>511.31</v>
      </c>
      <c r="I126" s="4">
        <v>16.78</v>
      </c>
      <c r="J126" s="4">
        <v>0</v>
      </c>
      <c r="K126" s="4">
        <v>16.78</v>
      </c>
      <c r="L126" s="4">
        <v>51.68</v>
      </c>
      <c r="M126" s="4">
        <v>6873</v>
      </c>
      <c r="N126" s="4">
        <v>5.29</v>
      </c>
      <c r="O126" s="4">
        <v>703.57</v>
      </c>
      <c r="P126" s="4" t="s">
        <v>34</v>
      </c>
      <c r="Q126" s="4" t="s">
        <v>30</v>
      </c>
      <c r="R126" s="4" t="s">
        <v>164</v>
      </c>
      <c r="S126" s="4">
        <v>0</v>
      </c>
      <c r="T126" s="4">
        <v>340</v>
      </c>
      <c r="U126" s="4">
        <v>0</v>
      </c>
      <c r="V126" s="4" t="s">
        <v>32</v>
      </c>
      <c r="W126" s="4" t="s">
        <v>32</v>
      </c>
      <c r="X126" s="4" t="s">
        <v>32</v>
      </c>
      <c r="Y126" s="4" t="s">
        <v>32</v>
      </c>
      <c r="Z126" s="4" t="s">
        <v>32</v>
      </c>
      <c r="AA126" s="4" t="s">
        <v>32</v>
      </c>
    </row>
    <row r="127" s="4" customFormat="1" spans="1:27">
      <c r="A127" s="4" t="s">
        <v>36</v>
      </c>
      <c r="B127" s="4" t="s">
        <v>28</v>
      </c>
      <c r="C127" s="4">
        <v>9414017</v>
      </c>
      <c r="D127" s="19" t="s">
        <v>193</v>
      </c>
      <c r="E127" s="21">
        <v>44953.7331712963</v>
      </c>
      <c r="F127" s="4">
        <v>3275.41</v>
      </c>
      <c r="G127" s="4">
        <v>1.02</v>
      </c>
      <c r="H127" s="4">
        <v>3274.38</v>
      </c>
      <c r="I127" s="4">
        <v>189.5</v>
      </c>
      <c r="J127" s="4">
        <v>0.21</v>
      </c>
      <c r="K127" s="4">
        <v>189.29</v>
      </c>
      <c r="L127" s="4">
        <v>535.78</v>
      </c>
      <c r="M127" s="4">
        <v>71259</v>
      </c>
      <c r="N127" s="4">
        <v>72.79</v>
      </c>
      <c r="O127" s="4">
        <v>9681.07</v>
      </c>
      <c r="P127" s="4" t="s">
        <v>34</v>
      </c>
      <c r="Q127" s="4" t="s">
        <v>30</v>
      </c>
      <c r="R127" s="4" t="s">
        <v>164</v>
      </c>
      <c r="S127" s="4">
        <v>0</v>
      </c>
      <c r="T127" s="4">
        <v>3560</v>
      </c>
      <c r="U127" s="4">
        <v>0</v>
      </c>
      <c r="V127" s="4" t="s">
        <v>32</v>
      </c>
      <c r="W127" s="4" t="s">
        <v>32</v>
      </c>
      <c r="X127" s="4" t="s">
        <v>32</v>
      </c>
      <c r="Y127" s="4" t="s">
        <v>32</v>
      </c>
      <c r="Z127" s="4" t="s">
        <v>32</v>
      </c>
      <c r="AA127" s="4" t="s">
        <v>32</v>
      </c>
    </row>
    <row r="128" s="4" customFormat="1" spans="1:27">
      <c r="A128" s="4" t="s">
        <v>36</v>
      </c>
      <c r="B128" s="4" t="s">
        <v>28</v>
      </c>
      <c r="C128" s="4">
        <v>13947927</v>
      </c>
      <c r="D128" s="19" t="s">
        <v>194</v>
      </c>
      <c r="E128" s="21">
        <v>45564.6909490741</v>
      </c>
      <c r="F128" s="4">
        <v>150</v>
      </c>
      <c r="G128" s="4">
        <v>0</v>
      </c>
      <c r="H128" s="4">
        <v>150</v>
      </c>
      <c r="I128" s="4">
        <v>37.8</v>
      </c>
      <c r="J128" s="4">
        <v>0</v>
      </c>
      <c r="K128" s="4">
        <v>37.8</v>
      </c>
      <c r="L128" s="4">
        <v>80.78</v>
      </c>
      <c r="M128" s="4">
        <v>10744</v>
      </c>
      <c r="N128" s="4">
        <v>6.18</v>
      </c>
      <c r="O128" s="4">
        <v>821.94</v>
      </c>
      <c r="P128" s="4" t="s">
        <v>29</v>
      </c>
      <c r="Q128" s="4" t="s">
        <v>30</v>
      </c>
      <c r="R128" s="4" t="s">
        <v>164</v>
      </c>
      <c r="S128" s="4">
        <v>0</v>
      </c>
      <c r="T128" s="4">
        <v>540</v>
      </c>
      <c r="U128" s="4">
        <v>0</v>
      </c>
      <c r="V128" s="4" t="s">
        <v>32</v>
      </c>
      <c r="W128" s="4" t="s">
        <v>32</v>
      </c>
      <c r="X128" s="4" t="s">
        <v>32</v>
      </c>
      <c r="Y128" s="4" t="s">
        <v>32</v>
      </c>
      <c r="Z128" s="4" t="s">
        <v>32</v>
      </c>
      <c r="AA128" s="4" t="s">
        <v>32</v>
      </c>
    </row>
    <row r="129" s="4" customFormat="1" spans="1:27">
      <c r="A129" s="4" t="s">
        <v>36</v>
      </c>
      <c r="B129" s="4" t="s">
        <v>28</v>
      </c>
      <c r="C129" s="4">
        <v>17168327</v>
      </c>
      <c r="D129" s="19" t="s">
        <v>195</v>
      </c>
      <c r="E129" s="21">
        <v>45835.6033449074</v>
      </c>
      <c r="F129" s="4">
        <v>3214.34</v>
      </c>
      <c r="G129" s="4">
        <v>0</v>
      </c>
      <c r="H129" s="4">
        <v>3214.34</v>
      </c>
      <c r="I129" s="4">
        <v>208.33</v>
      </c>
      <c r="J129" s="4">
        <v>0</v>
      </c>
      <c r="K129" s="4">
        <v>208.33</v>
      </c>
      <c r="L129" s="4">
        <v>210.53</v>
      </c>
      <c r="M129" s="4">
        <v>28000</v>
      </c>
      <c r="N129" s="4">
        <v>41.79</v>
      </c>
      <c r="O129" s="4">
        <v>5558.07</v>
      </c>
      <c r="P129" s="4" t="s">
        <v>29</v>
      </c>
      <c r="Q129" s="4" t="s">
        <v>30</v>
      </c>
      <c r="R129" s="4" t="s">
        <v>164</v>
      </c>
      <c r="S129" s="4">
        <v>0</v>
      </c>
      <c r="T129" s="4">
        <v>1400</v>
      </c>
      <c r="U129" s="4">
        <v>0</v>
      </c>
      <c r="V129" s="4" t="s">
        <v>32</v>
      </c>
      <c r="W129" s="4" t="s">
        <v>32</v>
      </c>
      <c r="X129" s="4" t="s">
        <v>32</v>
      </c>
      <c r="Y129" s="4" t="s">
        <v>32</v>
      </c>
      <c r="Z129" s="4" t="s">
        <v>32</v>
      </c>
      <c r="AA129" s="4" t="s">
        <v>32</v>
      </c>
    </row>
    <row r="130" s="4" customFormat="1" spans="1:27">
      <c r="A130" s="4" t="s">
        <v>36</v>
      </c>
      <c r="B130" s="4" t="s">
        <v>28</v>
      </c>
      <c r="C130" s="4">
        <v>4011299</v>
      </c>
      <c r="D130" s="19" t="s">
        <v>196</v>
      </c>
      <c r="E130" s="21">
        <v>44289.3390625</v>
      </c>
      <c r="F130" s="4">
        <v>1136.9</v>
      </c>
      <c r="G130" s="4">
        <v>0</v>
      </c>
      <c r="H130" s="4">
        <v>1136.9</v>
      </c>
      <c r="I130" s="4">
        <v>-41.96</v>
      </c>
      <c r="J130" s="4">
        <v>0</v>
      </c>
      <c r="K130" s="4">
        <v>-41.96</v>
      </c>
      <c r="L130" s="4">
        <v>395.86</v>
      </c>
      <c r="M130" s="4">
        <v>52650</v>
      </c>
      <c r="N130" s="4">
        <v>100</v>
      </c>
      <c r="O130" s="4">
        <v>13300</v>
      </c>
      <c r="P130" s="4" t="s">
        <v>34</v>
      </c>
      <c r="Q130" s="4" t="s">
        <v>30</v>
      </c>
      <c r="R130" s="4" t="s">
        <v>164</v>
      </c>
      <c r="S130" s="4">
        <v>0</v>
      </c>
      <c r="T130" s="4">
        <v>2630</v>
      </c>
      <c r="U130" s="4">
        <v>0</v>
      </c>
      <c r="V130" s="4" t="s">
        <v>32</v>
      </c>
      <c r="W130" s="4" t="s">
        <v>32</v>
      </c>
      <c r="X130" s="4" t="s">
        <v>32</v>
      </c>
      <c r="Y130" s="4" t="s">
        <v>32</v>
      </c>
      <c r="Z130" s="4" t="s">
        <v>32</v>
      </c>
      <c r="AA130" s="4" t="s">
        <v>32</v>
      </c>
    </row>
    <row r="131" s="4" customFormat="1" spans="1:27">
      <c r="A131" s="4" t="s">
        <v>36</v>
      </c>
      <c r="B131" s="4" t="s">
        <v>28</v>
      </c>
      <c r="C131" s="4">
        <v>13177867</v>
      </c>
      <c r="D131" s="19" t="s">
        <v>197</v>
      </c>
      <c r="E131" s="21">
        <v>45460.3947569444</v>
      </c>
      <c r="F131" s="4">
        <v>784.26</v>
      </c>
      <c r="G131" s="4">
        <v>0</v>
      </c>
      <c r="H131" s="4">
        <v>784.26</v>
      </c>
      <c r="I131" s="4">
        <v>113.38</v>
      </c>
      <c r="J131" s="4">
        <v>0</v>
      </c>
      <c r="K131" s="4">
        <v>113.38</v>
      </c>
      <c r="L131" s="4">
        <v>235.71</v>
      </c>
      <c r="M131" s="4">
        <v>31349</v>
      </c>
      <c r="N131" s="4">
        <v>213.21</v>
      </c>
      <c r="O131" s="4">
        <v>28356.93</v>
      </c>
      <c r="P131" s="4" t="s">
        <v>29</v>
      </c>
      <c r="Q131" s="4" t="s">
        <v>30</v>
      </c>
      <c r="R131" s="4" t="s">
        <v>164</v>
      </c>
      <c r="S131" s="4">
        <v>0</v>
      </c>
      <c r="T131" s="4">
        <v>1570</v>
      </c>
      <c r="U131" s="4">
        <v>0</v>
      </c>
      <c r="V131" s="4" t="s">
        <v>32</v>
      </c>
      <c r="W131" s="4" t="s">
        <v>32</v>
      </c>
      <c r="X131" s="4" t="s">
        <v>32</v>
      </c>
      <c r="Y131" s="4" t="s">
        <v>32</v>
      </c>
      <c r="Z131" s="4" t="s">
        <v>32</v>
      </c>
      <c r="AA131" s="4" t="s">
        <v>32</v>
      </c>
    </row>
    <row r="132" s="4" customFormat="1" spans="1:27">
      <c r="A132" s="4" t="s">
        <v>36</v>
      </c>
      <c r="B132" s="4" t="s">
        <v>28</v>
      </c>
      <c r="C132" s="4">
        <v>2561566</v>
      </c>
      <c r="D132" s="19" t="s">
        <v>198</v>
      </c>
      <c r="E132" s="21">
        <v>44093.4853819444</v>
      </c>
      <c r="F132" s="4">
        <v>488.02</v>
      </c>
      <c r="G132" s="4">
        <v>1.55</v>
      </c>
      <c r="H132" s="4">
        <v>486.47</v>
      </c>
      <c r="I132" s="4">
        <v>14.77</v>
      </c>
      <c r="J132" s="4">
        <v>1.55</v>
      </c>
      <c r="K132" s="4">
        <v>13.22</v>
      </c>
      <c r="L132" s="4">
        <v>82.03</v>
      </c>
      <c r="M132" s="4">
        <v>10910</v>
      </c>
      <c r="N132" s="4">
        <v>0</v>
      </c>
      <c r="O132" s="4">
        <v>0</v>
      </c>
      <c r="P132" s="4" t="s">
        <v>29</v>
      </c>
      <c r="Q132" s="4" t="s">
        <v>30</v>
      </c>
      <c r="R132" s="4" t="s">
        <v>164</v>
      </c>
      <c r="S132" s="4">
        <v>0</v>
      </c>
      <c r="T132" s="4">
        <v>550</v>
      </c>
      <c r="U132" s="4">
        <v>0</v>
      </c>
      <c r="V132" s="4" t="s">
        <v>32</v>
      </c>
      <c r="W132" s="4" t="s">
        <v>32</v>
      </c>
      <c r="X132" s="4" t="s">
        <v>32</v>
      </c>
      <c r="Y132" s="4" t="s">
        <v>32</v>
      </c>
      <c r="Z132" s="4" t="s">
        <v>32</v>
      </c>
      <c r="AA132" s="4" t="s">
        <v>32</v>
      </c>
    </row>
    <row r="133" s="4" customFormat="1" spans="1:27">
      <c r="A133" s="4" t="s">
        <v>36</v>
      </c>
      <c r="B133" s="4" t="s">
        <v>28</v>
      </c>
      <c r="C133" s="4">
        <v>8462548</v>
      </c>
      <c r="D133" s="19" t="s">
        <v>199</v>
      </c>
      <c r="E133" s="21">
        <v>44783.6976851852</v>
      </c>
      <c r="F133" s="4">
        <v>1561.16</v>
      </c>
      <c r="G133" s="4">
        <v>0</v>
      </c>
      <c r="H133" s="4">
        <v>1561.16</v>
      </c>
      <c r="I133" s="4">
        <v>85.56</v>
      </c>
      <c r="J133" s="4">
        <v>0</v>
      </c>
      <c r="K133" s="4">
        <v>88.57</v>
      </c>
      <c r="L133" s="4">
        <v>213.16</v>
      </c>
      <c r="M133" s="4">
        <v>28350</v>
      </c>
      <c r="N133" s="4">
        <v>0</v>
      </c>
      <c r="O133" s="4">
        <v>0</v>
      </c>
      <c r="P133" s="4" t="s">
        <v>34</v>
      </c>
      <c r="Q133" s="4" t="s">
        <v>30</v>
      </c>
      <c r="R133" s="4" t="s">
        <v>164</v>
      </c>
      <c r="S133" s="4">
        <v>0</v>
      </c>
      <c r="T133" s="4">
        <v>1420</v>
      </c>
      <c r="U133" s="4">
        <v>0</v>
      </c>
      <c r="V133" s="4" t="s">
        <v>32</v>
      </c>
      <c r="W133" s="4" t="s">
        <v>32</v>
      </c>
      <c r="X133" s="4" t="s">
        <v>32</v>
      </c>
      <c r="Y133" s="4" t="s">
        <v>32</v>
      </c>
      <c r="Z133" s="4" t="s">
        <v>32</v>
      </c>
      <c r="AA133" s="4" t="s">
        <v>32</v>
      </c>
    </row>
    <row r="134" s="4" customFormat="1" spans="1:27">
      <c r="A134" s="4" t="s">
        <v>36</v>
      </c>
      <c r="B134" s="4" t="s">
        <v>28</v>
      </c>
      <c r="C134" s="4">
        <v>12464747</v>
      </c>
      <c r="D134" s="19" t="s">
        <v>200</v>
      </c>
      <c r="E134" s="21">
        <v>45363.3436111111</v>
      </c>
      <c r="F134" s="4">
        <v>2084.76</v>
      </c>
      <c r="G134" s="4">
        <v>2.26</v>
      </c>
      <c r="H134" s="4">
        <v>2082.5</v>
      </c>
      <c r="I134" s="4">
        <v>69.3</v>
      </c>
      <c r="J134" s="4">
        <v>2.26</v>
      </c>
      <c r="K134" s="4">
        <v>67.04</v>
      </c>
      <c r="L134" s="4">
        <v>139.62</v>
      </c>
      <c r="M134" s="4">
        <v>18570</v>
      </c>
      <c r="N134" s="4">
        <v>47.14</v>
      </c>
      <c r="O134" s="4">
        <v>6269.62</v>
      </c>
      <c r="P134" s="4" t="s">
        <v>29</v>
      </c>
      <c r="Q134" s="4" t="s">
        <v>30</v>
      </c>
      <c r="R134" s="4" t="s">
        <v>164</v>
      </c>
      <c r="S134" s="4">
        <v>0</v>
      </c>
      <c r="T134" s="4">
        <v>930</v>
      </c>
      <c r="U134" s="4">
        <v>0</v>
      </c>
      <c r="V134" s="4" t="s">
        <v>32</v>
      </c>
      <c r="W134" s="4" t="s">
        <v>32</v>
      </c>
      <c r="X134" s="4" t="s">
        <v>32</v>
      </c>
      <c r="Y134" s="4" t="s">
        <v>32</v>
      </c>
      <c r="Z134" s="4" t="s">
        <v>32</v>
      </c>
      <c r="AA134" s="4" t="s">
        <v>32</v>
      </c>
    </row>
    <row r="135" s="4" customFormat="1" spans="1:27">
      <c r="A135" s="4" t="s">
        <v>36</v>
      </c>
      <c r="B135" s="4" t="s">
        <v>28</v>
      </c>
      <c r="C135" s="4">
        <v>2603268</v>
      </c>
      <c r="D135" s="19" t="s">
        <v>201</v>
      </c>
      <c r="E135" s="21">
        <v>44096.0997569444</v>
      </c>
      <c r="F135" s="4">
        <v>1096.33</v>
      </c>
      <c r="G135" s="4">
        <v>0.02</v>
      </c>
      <c r="H135" s="4">
        <v>1096.31</v>
      </c>
      <c r="I135" s="4">
        <v>100.84</v>
      </c>
      <c r="J135" s="4">
        <v>0.02</v>
      </c>
      <c r="K135" s="4">
        <v>100.82</v>
      </c>
      <c r="L135" s="4">
        <v>341.5</v>
      </c>
      <c r="M135" s="4">
        <v>45419</v>
      </c>
      <c r="N135" s="4">
        <v>0</v>
      </c>
      <c r="O135" s="4">
        <v>0</v>
      </c>
      <c r="P135" s="4" t="s">
        <v>34</v>
      </c>
      <c r="Q135" s="4" t="s">
        <v>30</v>
      </c>
      <c r="R135" s="4" t="s">
        <v>164</v>
      </c>
      <c r="S135" s="4">
        <v>0</v>
      </c>
      <c r="T135" s="4">
        <v>2270</v>
      </c>
      <c r="U135" s="4">
        <v>0</v>
      </c>
      <c r="V135" s="4" t="s">
        <v>32</v>
      </c>
      <c r="W135" s="4" t="s">
        <v>32</v>
      </c>
      <c r="X135" s="4" t="s">
        <v>32</v>
      </c>
      <c r="Y135" s="4" t="s">
        <v>32</v>
      </c>
      <c r="Z135" s="4" t="s">
        <v>32</v>
      </c>
      <c r="AA135" s="4" t="s">
        <v>32</v>
      </c>
    </row>
    <row r="136" s="4" customFormat="1" spans="1:27">
      <c r="A136" s="4" t="s">
        <v>36</v>
      </c>
      <c r="B136" s="4" t="s">
        <v>28</v>
      </c>
      <c r="C136" s="4">
        <v>18684898</v>
      </c>
      <c r="D136" s="19" t="s">
        <v>202</v>
      </c>
      <c r="E136" s="21">
        <v>45926.9008101852</v>
      </c>
      <c r="F136" s="4">
        <v>498.92</v>
      </c>
      <c r="G136" s="4">
        <v>0.17</v>
      </c>
      <c r="H136" s="4">
        <v>498.75</v>
      </c>
      <c r="I136" s="4">
        <v>6.9</v>
      </c>
      <c r="J136" s="4">
        <v>-0.04</v>
      </c>
      <c r="K136" s="4">
        <v>6.94</v>
      </c>
      <c r="L136" s="4">
        <v>55.63</v>
      </c>
      <c r="M136" s="4">
        <v>7399</v>
      </c>
      <c r="N136" s="4">
        <v>24.54</v>
      </c>
      <c r="O136" s="4">
        <v>3263.82</v>
      </c>
      <c r="P136" s="4" t="s">
        <v>34</v>
      </c>
      <c r="Q136" s="4" t="s">
        <v>30</v>
      </c>
      <c r="R136" s="4" t="s">
        <v>164</v>
      </c>
      <c r="S136" s="4">
        <v>0</v>
      </c>
      <c r="T136" s="4">
        <v>370</v>
      </c>
      <c r="U136" s="4">
        <v>0</v>
      </c>
      <c r="V136" s="4" t="s">
        <v>32</v>
      </c>
      <c r="W136" s="4" t="s">
        <v>32</v>
      </c>
      <c r="X136" s="4" t="s">
        <v>32</v>
      </c>
      <c r="Y136" s="4" t="s">
        <v>32</v>
      </c>
      <c r="Z136" s="4" t="s">
        <v>32</v>
      </c>
      <c r="AA136" s="4" t="s">
        <v>32</v>
      </c>
    </row>
    <row r="137" s="4" customFormat="1" spans="1:27">
      <c r="A137" s="4" t="s">
        <v>36</v>
      </c>
      <c r="B137" s="4" t="s">
        <v>28</v>
      </c>
      <c r="C137" s="4">
        <v>3514858</v>
      </c>
      <c r="D137" s="19" t="s">
        <v>203</v>
      </c>
      <c r="E137" s="21">
        <v>44238.8059837963</v>
      </c>
      <c r="F137" s="4">
        <v>2666.17</v>
      </c>
      <c r="G137" s="4">
        <v>0</v>
      </c>
      <c r="H137" s="4">
        <v>2666.17</v>
      </c>
      <c r="I137" s="4">
        <v>183.96</v>
      </c>
      <c r="J137" s="4">
        <v>0</v>
      </c>
      <c r="K137" s="4">
        <v>183.96</v>
      </c>
      <c r="L137" s="4">
        <v>468.1</v>
      </c>
      <c r="M137" s="4">
        <v>62257</v>
      </c>
      <c r="N137" s="4">
        <v>220.93</v>
      </c>
      <c r="O137" s="4">
        <v>29383.69</v>
      </c>
      <c r="P137" s="4" t="s">
        <v>34</v>
      </c>
      <c r="Q137" s="4" t="s">
        <v>30</v>
      </c>
      <c r="R137" s="4" t="s">
        <v>164</v>
      </c>
      <c r="S137" s="4">
        <v>0</v>
      </c>
      <c r="T137" s="4">
        <v>3110</v>
      </c>
      <c r="U137" s="4">
        <v>0</v>
      </c>
      <c r="V137" s="4" t="s">
        <v>32</v>
      </c>
      <c r="W137" s="4" t="s">
        <v>32</v>
      </c>
      <c r="X137" s="4" t="s">
        <v>32</v>
      </c>
      <c r="Y137" s="4" t="s">
        <v>32</v>
      </c>
      <c r="Z137" s="4" t="s">
        <v>32</v>
      </c>
      <c r="AA137" s="4" t="s">
        <v>32</v>
      </c>
    </row>
    <row r="138" s="4" customFormat="1" spans="1:27">
      <c r="A138" s="4" t="s">
        <v>36</v>
      </c>
      <c r="B138" s="4" t="s">
        <v>28</v>
      </c>
      <c r="C138" s="4">
        <v>2978588</v>
      </c>
      <c r="D138" s="19" t="s">
        <v>204</v>
      </c>
      <c r="E138" s="21">
        <v>44128.7596064815</v>
      </c>
      <c r="F138" s="4">
        <v>3703.15</v>
      </c>
      <c r="G138" s="4">
        <v>5.29</v>
      </c>
      <c r="H138" s="4">
        <v>3697.86</v>
      </c>
      <c r="I138" s="4">
        <v>199.45</v>
      </c>
      <c r="J138" s="4">
        <v>3.62</v>
      </c>
      <c r="K138" s="4">
        <v>195.83</v>
      </c>
      <c r="L138" s="4">
        <v>532.33</v>
      </c>
      <c r="M138" s="4">
        <v>70800</v>
      </c>
      <c r="N138" s="4">
        <v>390</v>
      </c>
      <c r="O138" s="4">
        <v>51870</v>
      </c>
      <c r="P138" s="4" t="s">
        <v>29</v>
      </c>
      <c r="Q138" s="4" t="s">
        <v>30</v>
      </c>
      <c r="R138" s="4" t="s">
        <v>164</v>
      </c>
      <c r="S138" s="4">
        <v>0</v>
      </c>
      <c r="T138" s="4">
        <v>3540</v>
      </c>
      <c r="U138" s="4">
        <v>0</v>
      </c>
      <c r="V138" s="4" t="s">
        <v>32</v>
      </c>
      <c r="W138" s="4" t="s">
        <v>32</v>
      </c>
      <c r="X138" s="4" t="s">
        <v>32</v>
      </c>
      <c r="Y138" s="4" t="s">
        <v>32</v>
      </c>
      <c r="Z138" s="4" t="s">
        <v>32</v>
      </c>
      <c r="AA138" s="4" t="s">
        <v>32</v>
      </c>
    </row>
    <row r="139" s="4" customFormat="1" spans="1:27">
      <c r="A139" s="4" t="s">
        <v>36</v>
      </c>
      <c r="B139" s="4" t="s">
        <v>28</v>
      </c>
      <c r="C139" s="4">
        <v>11372946</v>
      </c>
      <c r="D139" s="19" t="s">
        <v>205</v>
      </c>
      <c r="E139" s="21">
        <v>45247.7870023148</v>
      </c>
      <c r="F139" s="4">
        <v>390.09</v>
      </c>
      <c r="G139" s="4">
        <v>47.74</v>
      </c>
      <c r="H139" s="4">
        <v>342.35</v>
      </c>
      <c r="I139" s="4">
        <v>23.48</v>
      </c>
      <c r="J139" s="4">
        <v>27.52</v>
      </c>
      <c r="K139" s="4">
        <v>-4.04</v>
      </c>
      <c r="L139" s="4">
        <v>66.3</v>
      </c>
      <c r="M139" s="4">
        <v>8818</v>
      </c>
      <c r="N139" s="4">
        <v>17.57</v>
      </c>
      <c r="O139" s="4">
        <v>2336.81</v>
      </c>
      <c r="P139" s="4" t="s">
        <v>35</v>
      </c>
      <c r="Q139" s="4" t="s">
        <v>30</v>
      </c>
      <c r="R139" s="4" t="s">
        <v>164</v>
      </c>
      <c r="S139" s="4">
        <v>2000</v>
      </c>
      <c r="T139" s="4">
        <v>220</v>
      </c>
      <c r="U139" s="4">
        <v>0</v>
      </c>
      <c r="V139" s="4" t="s">
        <v>32</v>
      </c>
      <c r="W139" s="4" t="s">
        <v>32</v>
      </c>
      <c r="X139" s="4" t="s">
        <v>32</v>
      </c>
      <c r="Y139" s="4" t="s">
        <v>32</v>
      </c>
      <c r="Z139" s="4" t="s">
        <v>32</v>
      </c>
      <c r="AA139" s="4" t="s">
        <v>32</v>
      </c>
    </row>
    <row r="140" s="4" customFormat="1" spans="1:27">
      <c r="A140" s="4" t="s">
        <v>36</v>
      </c>
      <c r="B140" s="4" t="s">
        <v>28</v>
      </c>
      <c r="C140" s="4">
        <v>9402236</v>
      </c>
      <c r="D140" s="19" t="s">
        <v>206</v>
      </c>
      <c r="E140" s="21">
        <v>44950.7422222222</v>
      </c>
      <c r="F140" s="4">
        <v>5367.34</v>
      </c>
      <c r="G140" s="4">
        <v>0</v>
      </c>
      <c r="H140" s="4">
        <v>5367.34</v>
      </c>
      <c r="I140" s="4">
        <v>199.73</v>
      </c>
      <c r="J140" s="4">
        <v>0</v>
      </c>
      <c r="K140" s="4">
        <v>199.73</v>
      </c>
      <c r="L140" s="4">
        <v>1277.65</v>
      </c>
      <c r="M140" s="4">
        <v>169927</v>
      </c>
      <c r="N140" s="4">
        <v>35.64</v>
      </c>
      <c r="O140" s="4">
        <v>4740.12</v>
      </c>
      <c r="P140" s="4" t="s">
        <v>34</v>
      </c>
      <c r="Q140" s="4" t="s">
        <v>33</v>
      </c>
      <c r="R140" s="4" t="s">
        <v>164</v>
      </c>
      <c r="S140" s="4">
        <v>0</v>
      </c>
      <c r="T140" s="4">
        <v>8500</v>
      </c>
      <c r="U140" s="4">
        <v>0</v>
      </c>
      <c r="V140" s="4" t="s">
        <v>32</v>
      </c>
      <c r="W140" s="4" t="s">
        <v>32</v>
      </c>
      <c r="X140" s="4" t="s">
        <v>32</v>
      </c>
      <c r="Y140" s="4" t="s">
        <v>32</v>
      </c>
      <c r="Z140" s="4" t="s">
        <v>32</v>
      </c>
      <c r="AA140" s="4" t="s">
        <v>32</v>
      </c>
    </row>
    <row r="141" s="4" customFormat="1" spans="1:27">
      <c r="A141" s="4" t="s">
        <v>36</v>
      </c>
      <c r="B141" s="4" t="s">
        <v>28</v>
      </c>
      <c r="C141" s="4">
        <v>389786</v>
      </c>
      <c r="D141" s="19" t="s">
        <v>207</v>
      </c>
      <c r="E141" s="21">
        <v>43919.2748032407</v>
      </c>
      <c r="F141" s="4">
        <v>58.99</v>
      </c>
      <c r="G141" s="4">
        <v>37.08</v>
      </c>
      <c r="H141" s="4">
        <v>21.91</v>
      </c>
      <c r="I141" s="4">
        <v>55.38</v>
      </c>
      <c r="J141" s="4">
        <v>37.08</v>
      </c>
      <c r="K141" s="4">
        <v>18.3</v>
      </c>
      <c r="L141" s="4">
        <v>58.29</v>
      </c>
      <c r="M141" s="4">
        <v>7753</v>
      </c>
      <c r="N141" s="4">
        <v>5.38</v>
      </c>
      <c r="O141" s="4">
        <v>715.54</v>
      </c>
      <c r="P141" s="4" t="s">
        <v>35</v>
      </c>
      <c r="Q141" s="4" t="s">
        <v>30</v>
      </c>
      <c r="R141" s="4" t="s">
        <v>164</v>
      </c>
      <c r="S141" s="4">
        <v>2000</v>
      </c>
      <c r="T141" s="4">
        <v>195</v>
      </c>
      <c r="U141" s="4">
        <v>0</v>
      </c>
      <c r="V141" s="4" t="s">
        <v>32</v>
      </c>
      <c r="W141" s="4" t="s">
        <v>32</v>
      </c>
      <c r="X141" s="4" t="s">
        <v>32</v>
      </c>
      <c r="Y141" s="4" t="s">
        <v>32</v>
      </c>
      <c r="Z141" s="4" t="s">
        <v>32</v>
      </c>
      <c r="AA141" s="4" t="s">
        <v>32</v>
      </c>
    </row>
    <row r="142" s="4" customFormat="1" spans="1:27">
      <c r="A142" s="4" t="s">
        <v>36</v>
      </c>
      <c r="B142" s="4" t="s">
        <v>28</v>
      </c>
      <c r="C142" s="4">
        <v>20339536</v>
      </c>
      <c r="D142" s="19" t="s">
        <v>208</v>
      </c>
      <c r="E142" s="21">
        <v>46017.2011226852</v>
      </c>
      <c r="F142" s="4">
        <v>6575.62</v>
      </c>
      <c r="G142" s="4">
        <v>0</v>
      </c>
      <c r="H142" s="4">
        <v>6575.62</v>
      </c>
      <c r="I142" s="4">
        <v>131.7</v>
      </c>
      <c r="J142" s="4">
        <v>0</v>
      </c>
      <c r="K142" s="4">
        <v>131.7</v>
      </c>
      <c r="L142" s="4">
        <v>883.17</v>
      </c>
      <c r="M142" s="4">
        <v>117461</v>
      </c>
      <c r="N142" s="4">
        <v>301.39</v>
      </c>
      <c r="O142" s="4">
        <v>40084.87</v>
      </c>
      <c r="P142" s="4" t="s">
        <v>29</v>
      </c>
      <c r="Q142" s="4" t="s">
        <v>30</v>
      </c>
      <c r="R142" s="4" t="s">
        <v>164</v>
      </c>
      <c r="S142" s="4">
        <v>0</v>
      </c>
      <c r="T142" s="4">
        <v>5870</v>
      </c>
      <c r="U142" s="4">
        <v>0</v>
      </c>
      <c r="V142" s="4" t="s">
        <v>32</v>
      </c>
      <c r="W142" s="4" t="s">
        <v>32</v>
      </c>
      <c r="X142" s="4" t="s">
        <v>32</v>
      </c>
      <c r="Y142" s="4" t="s">
        <v>32</v>
      </c>
      <c r="Z142" s="4" t="s">
        <v>32</v>
      </c>
      <c r="AA142" s="4" t="s">
        <v>32</v>
      </c>
    </row>
    <row r="143" s="4" customFormat="1" spans="1:27">
      <c r="A143" s="4" t="s">
        <v>36</v>
      </c>
      <c r="B143" s="4" t="s">
        <v>28</v>
      </c>
      <c r="C143" s="4">
        <v>2442779</v>
      </c>
      <c r="D143" s="19" t="s">
        <v>209</v>
      </c>
      <c r="E143" s="21">
        <v>44082.3582986111</v>
      </c>
      <c r="F143" s="4">
        <v>171.12</v>
      </c>
      <c r="G143" s="4">
        <v>62.17</v>
      </c>
      <c r="H143" s="4">
        <v>108.95</v>
      </c>
      <c r="I143" s="4">
        <v>15.84</v>
      </c>
      <c r="J143" s="4">
        <v>42.72</v>
      </c>
      <c r="K143" s="4">
        <v>-26.87</v>
      </c>
      <c r="L143" s="4">
        <v>91.74</v>
      </c>
      <c r="M143" s="4">
        <v>12201</v>
      </c>
      <c r="N143" s="4">
        <v>20.35</v>
      </c>
      <c r="O143" s="4">
        <v>2706.55</v>
      </c>
      <c r="P143" s="4" t="s">
        <v>35</v>
      </c>
      <c r="Q143" s="4" t="s">
        <v>30</v>
      </c>
      <c r="R143" s="4" t="s">
        <v>164</v>
      </c>
      <c r="S143" s="4">
        <v>2000</v>
      </c>
      <c r="T143" s="4">
        <v>305</v>
      </c>
      <c r="U143" s="4">
        <v>0</v>
      </c>
      <c r="V143" s="4" t="s">
        <v>32</v>
      </c>
      <c r="W143" s="4" t="s">
        <v>32</v>
      </c>
      <c r="X143" s="4" t="s">
        <v>32</v>
      </c>
      <c r="Y143" s="4" t="s">
        <v>32</v>
      </c>
      <c r="Z143" s="4" t="s">
        <v>32</v>
      </c>
      <c r="AA143" s="4" t="s">
        <v>32</v>
      </c>
    </row>
    <row r="144" s="4" customFormat="1" spans="1:27">
      <c r="A144" s="4" t="s">
        <v>36</v>
      </c>
      <c r="B144" s="4" t="s">
        <v>28</v>
      </c>
      <c r="C144" s="4">
        <v>22600877</v>
      </c>
      <c r="D144" s="19" t="s">
        <v>210</v>
      </c>
      <c r="E144" s="21">
        <v>46137.5613425926</v>
      </c>
      <c r="F144" s="4">
        <v>691.11</v>
      </c>
      <c r="G144" s="4">
        <v>0</v>
      </c>
      <c r="H144" s="4">
        <v>691.11</v>
      </c>
      <c r="I144" s="4">
        <v>32.74</v>
      </c>
      <c r="J144" s="4">
        <v>0</v>
      </c>
      <c r="K144" s="4">
        <v>32.74</v>
      </c>
      <c r="L144" s="4">
        <v>75.19</v>
      </c>
      <c r="M144" s="4">
        <v>10000</v>
      </c>
      <c r="N144" s="4">
        <v>71.43</v>
      </c>
      <c r="O144" s="4">
        <v>9500.19</v>
      </c>
      <c r="P144" s="4" t="s">
        <v>34</v>
      </c>
      <c r="Q144" s="4" t="s">
        <v>30</v>
      </c>
      <c r="R144" s="4" t="s">
        <v>164</v>
      </c>
      <c r="S144" s="4">
        <v>0</v>
      </c>
      <c r="T144" s="4">
        <v>500</v>
      </c>
      <c r="U144" s="4">
        <v>0</v>
      </c>
      <c r="V144" s="4" t="s">
        <v>32</v>
      </c>
      <c r="W144" s="4" t="s">
        <v>32</v>
      </c>
      <c r="X144" s="4" t="s">
        <v>32</v>
      </c>
      <c r="Y144" s="4" t="s">
        <v>32</v>
      </c>
      <c r="Z144" s="4" t="s">
        <v>32</v>
      </c>
      <c r="AA144" s="4" t="s">
        <v>32</v>
      </c>
    </row>
    <row r="145" s="4" customFormat="1" spans="1:27">
      <c r="A145" s="4" t="s">
        <v>36</v>
      </c>
      <c r="B145" s="4" t="s">
        <v>28</v>
      </c>
      <c r="C145" s="4">
        <v>30417</v>
      </c>
      <c r="D145" s="19" t="s">
        <v>211</v>
      </c>
      <c r="E145" s="21">
        <v>43821.2596527778</v>
      </c>
      <c r="F145" s="4">
        <v>2346.88</v>
      </c>
      <c r="G145" s="4">
        <v>0</v>
      </c>
      <c r="H145" s="4">
        <v>2346.88</v>
      </c>
      <c r="I145" s="4">
        <v>227.47</v>
      </c>
      <c r="J145" s="4">
        <v>0</v>
      </c>
      <c r="K145" s="4">
        <v>228.22</v>
      </c>
      <c r="L145" s="4">
        <v>401.8</v>
      </c>
      <c r="M145" s="4">
        <v>53440</v>
      </c>
      <c r="N145" s="4">
        <v>150.71</v>
      </c>
      <c r="O145" s="4">
        <v>20044.43</v>
      </c>
      <c r="P145" s="4" t="s">
        <v>34</v>
      </c>
      <c r="Q145" s="4" t="s">
        <v>30</v>
      </c>
      <c r="R145" s="4" t="s">
        <v>164</v>
      </c>
      <c r="S145" s="4">
        <v>0</v>
      </c>
      <c r="T145" s="4">
        <v>2670</v>
      </c>
      <c r="U145" s="4">
        <v>0</v>
      </c>
      <c r="V145" s="4" t="s">
        <v>32</v>
      </c>
      <c r="W145" s="4" t="s">
        <v>32</v>
      </c>
      <c r="X145" s="4" t="s">
        <v>32</v>
      </c>
      <c r="Y145" s="4" t="s">
        <v>32</v>
      </c>
      <c r="Z145" s="4" t="s">
        <v>32</v>
      </c>
      <c r="AA145" s="4" t="s">
        <v>32</v>
      </c>
    </row>
    <row r="146" s="4" customFormat="1" spans="1:27">
      <c r="A146" s="4" t="s">
        <v>36</v>
      </c>
      <c r="B146" s="4" t="s">
        <v>28</v>
      </c>
      <c r="C146" s="4">
        <v>20565706</v>
      </c>
      <c r="D146" s="19" t="s">
        <v>212</v>
      </c>
      <c r="E146" s="21">
        <v>46027.8951041667</v>
      </c>
      <c r="F146" s="4">
        <v>152.22</v>
      </c>
      <c r="G146" s="4">
        <v>0</v>
      </c>
      <c r="H146" s="4">
        <v>152.22</v>
      </c>
      <c r="I146" s="4">
        <v>57.26</v>
      </c>
      <c r="J146" s="4">
        <v>0</v>
      </c>
      <c r="K146" s="4">
        <v>57.26</v>
      </c>
      <c r="L146" s="4">
        <v>92.03</v>
      </c>
      <c r="M146" s="4">
        <v>12240</v>
      </c>
      <c r="N146" s="4">
        <v>42.86</v>
      </c>
      <c r="O146" s="4">
        <v>5700.38</v>
      </c>
      <c r="P146" s="4" t="s">
        <v>34</v>
      </c>
      <c r="Q146" s="4" t="s">
        <v>30</v>
      </c>
      <c r="R146" s="4" t="s">
        <v>164</v>
      </c>
      <c r="S146" s="4">
        <v>0</v>
      </c>
      <c r="T146" s="4">
        <v>610</v>
      </c>
      <c r="U146" s="4">
        <v>0</v>
      </c>
      <c r="V146" s="4" t="s">
        <v>32</v>
      </c>
      <c r="W146" s="4" t="s">
        <v>32</v>
      </c>
      <c r="X146" s="4" t="s">
        <v>32</v>
      </c>
      <c r="Y146" s="4" t="s">
        <v>32</v>
      </c>
      <c r="Z146" s="4" t="s">
        <v>32</v>
      </c>
      <c r="AA146" s="4" t="s">
        <v>32</v>
      </c>
    </row>
    <row r="147" s="4" customFormat="1" spans="1:27">
      <c r="A147" s="4" t="s">
        <v>36</v>
      </c>
      <c r="B147" s="4" t="s">
        <v>28</v>
      </c>
      <c r="C147" s="4">
        <v>893529</v>
      </c>
      <c r="D147" s="19" t="s">
        <v>213</v>
      </c>
      <c r="E147" s="21">
        <v>43979.9054976852</v>
      </c>
      <c r="F147" s="4">
        <v>743.61</v>
      </c>
      <c r="G147" s="4">
        <v>0.07</v>
      </c>
      <c r="H147" s="4">
        <v>743.54</v>
      </c>
      <c r="I147" s="4">
        <v>74.77</v>
      </c>
      <c r="J147" s="4">
        <v>0.05</v>
      </c>
      <c r="K147" s="4">
        <v>75.47</v>
      </c>
      <c r="L147" s="4">
        <v>116.88</v>
      </c>
      <c r="M147" s="4">
        <v>15545</v>
      </c>
      <c r="N147" s="4">
        <v>12.14</v>
      </c>
      <c r="O147" s="4">
        <v>1614.62</v>
      </c>
      <c r="P147" s="4" t="s">
        <v>34</v>
      </c>
      <c r="Q147" s="4" t="s">
        <v>30</v>
      </c>
      <c r="R147" s="4" t="s">
        <v>164</v>
      </c>
      <c r="S147" s="4">
        <v>0</v>
      </c>
      <c r="T147" s="4">
        <v>780</v>
      </c>
      <c r="U147" s="4">
        <v>0</v>
      </c>
      <c r="V147" s="4" t="s">
        <v>32</v>
      </c>
      <c r="W147" s="4" t="s">
        <v>32</v>
      </c>
      <c r="X147" s="4" t="s">
        <v>32</v>
      </c>
      <c r="Y147" s="4" t="s">
        <v>32</v>
      </c>
      <c r="Z147" s="4" t="s">
        <v>32</v>
      </c>
      <c r="AA147" s="4" t="s">
        <v>32</v>
      </c>
    </row>
    <row r="148" s="4" customFormat="1" spans="1:27">
      <c r="A148" s="4" t="s">
        <v>36</v>
      </c>
      <c r="B148" s="4" t="s">
        <v>28</v>
      </c>
      <c r="C148" s="4">
        <v>15469378</v>
      </c>
      <c r="D148" s="19" t="s">
        <v>214</v>
      </c>
      <c r="E148" s="21">
        <v>45672.7582986111</v>
      </c>
      <c r="F148" s="4">
        <v>242.47</v>
      </c>
      <c r="G148" s="4">
        <v>0.3</v>
      </c>
      <c r="H148" s="4">
        <v>242.17</v>
      </c>
      <c r="I148" s="4">
        <v>34.61</v>
      </c>
      <c r="J148" s="4">
        <v>0.27</v>
      </c>
      <c r="K148" s="4">
        <v>34.34</v>
      </c>
      <c r="L148" s="4">
        <v>73.19</v>
      </c>
      <c r="M148" s="4">
        <v>9734</v>
      </c>
      <c r="N148" s="4">
        <v>0</v>
      </c>
      <c r="O148" s="4">
        <v>0</v>
      </c>
      <c r="P148" s="4" t="s">
        <v>29</v>
      </c>
      <c r="Q148" s="4" t="s">
        <v>30</v>
      </c>
      <c r="R148" s="4" t="s">
        <v>164</v>
      </c>
      <c r="S148" s="4">
        <v>0</v>
      </c>
      <c r="T148" s="4">
        <v>490</v>
      </c>
      <c r="U148" s="4">
        <v>0</v>
      </c>
      <c r="V148" s="4" t="s">
        <v>32</v>
      </c>
      <c r="W148" s="4" t="s">
        <v>32</v>
      </c>
      <c r="X148" s="4" t="s">
        <v>32</v>
      </c>
      <c r="Y148" s="4" t="s">
        <v>32</v>
      </c>
      <c r="Z148" s="4" t="s">
        <v>32</v>
      </c>
      <c r="AA148" s="4" t="s">
        <v>32</v>
      </c>
    </row>
    <row r="149" s="4" customFormat="1" spans="1:27">
      <c r="A149" s="4" t="s">
        <v>36</v>
      </c>
      <c r="B149" s="4" t="s">
        <v>28</v>
      </c>
      <c r="C149" s="4">
        <v>11983119</v>
      </c>
      <c r="D149" s="19" t="s">
        <v>215</v>
      </c>
      <c r="E149" s="21">
        <v>45302.255625</v>
      </c>
      <c r="F149" s="4">
        <v>386.44</v>
      </c>
      <c r="G149" s="4">
        <v>4.26</v>
      </c>
      <c r="H149" s="4">
        <v>382.19</v>
      </c>
      <c r="I149" s="4">
        <v>-52.62</v>
      </c>
      <c r="J149" s="4">
        <v>4.14</v>
      </c>
      <c r="K149" s="4">
        <v>-56.75</v>
      </c>
      <c r="L149" s="4">
        <v>108.31</v>
      </c>
      <c r="M149" s="4">
        <v>14405</v>
      </c>
      <c r="N149" s="4">
        <v>36.79</v>
      </c>
      <c r="O149" s="4">
        <v>4893.07</v>
      </c>
      <c r="P149" s="4" t="s">
        <v>34</v>
      </c>
      <c r="Q149" s="4" t="s">
        <v>30</v>
      </c>
      <c r="R149" s="4" t="s">
        <v>164</v>
      </c>
      <c r="S149" s="4">
        <v>0</v>
      </c>
      <c r="T149" s="4">
        <v>720</v>
      </c>
      <c r="U149" s="4">
        <v>0</v>
      </c>
      <c r="V149" s="4" t="s">
        <v>32</v>
      </c>
      <c r="W149" s="4" t="s">
        <v>32</v>
      </c>
      <c r="X149" s="4" t="s">
        <v>32</v>
      </c>
      <c r="Y149" s="4" t="s">
        <v>32</v>
      </c>
      <c r="Z149" s="4" t="s">
        <v>32</v>
      </c>
      <c r="AA149" s="4" t="s">
        <v>32</v>
      </c>
    </row>
    <row r="150" s="4" customFormat="1" spans="1:27">
      <c r="A150" s="4" t="s">
        <v>36</v>
      </c>
      <c r="B150" s="4" t="s">
        <v>28</v>
      </c>
      <c r="C150" s="4">
        <v>17600418</v>
      </c>
      <c r="D150" s="19" t="s">
        <v>216</v>
      </c>
      <c r="E150" s="21">
        <v>45865.2453819444</v>
      </c>
      <c r="F150" s="4">
        <v>780.31</v>
      </c>
      <c r="G150" s="4">
        <v>0.02</v>
      </c>
      <c r="H150" s="4">
        <v>780.29</v>
      </c>
      <c r="I150" s="4">
        <v>62.36</v>
      </c>
      <c r="J150" s="4">
        <v>-0.01</v>
      </c>
      <c r="K150" s="4">
        <v>62.36</v>
      </c>
      <c r="L150" s="4">
        <v>149.64</v>
      </c>
      <c r="M150" s="4">
        <v>19902</v>
      </c>
      <c r="N150" s="4">
        <v>0</v>
      </c>
      <c r="O150" s="4">
        <v>0</v>
      </c>
      <c r="P150" s="4" t="s">
        <v>29</v>
      </c>
      <c r="Q150" s="4" t="s">
        <v>30</v>
      </c>
      <c r="R150" s="4" t="s">
        <v>164</v>
      </c>
      <c r="S150" s="4">
        <v>0</v>
      </c>
      <c r="T150" s="4">
        <v>1000</v>
      </c>
      <c r="U150" s="4">
        <v>0</v>
      </c>
      <c r="V150" s="4" t="s">
        <v>32</v>
      </c>
      <c r="W150" s="4" t="s">
        <v>32</v>
      </c>
      <c r="X150" s="4" t="s">
        <v>32</v>
      </c>
      <c r="Y150" s="4" t="s">
        <v>32</v>
      </c>
      <c r="Z150" s="4" t="s">
        <v>32</v>
      </c>
      <c r="AA150" s="4" t="s">
        <v>32</v>
      </c>
    </row>
    <row r="151" s="4" customFormat="1" spans="1:27">
      <c r="A151" s="4" t="s">
        <v>36</v>
      </c>
      <c r="B151" s="4" t="s">
        <v>28</v>
      </c>
      <c r="C151" s="4">
        <v>21065177</v>
      </c>
      <c r="D151" s="19" t="s">
        <v>217</v>
      </c>
      <c r="E151" s="21">
        <v>46053.5653240741</v>
      </c>
      <c r="F151" s="4">
        <v>493.56</v>
      </c>
      <c r="G151" s="4">
        <v>0</v>
      </c>
      <c r="H151" s="4">
        <v>493.56</v>
      </c>
      <c r="I151" s="4">
        <v>28.03</v>
      </c>
      <c r="J151" s="4">
        <v>0</v>
      </c>
      <c r="K151" s="4">
        <v>28.03</v>
      </c>
      <c r="L151" s="4">
        <v>89.02</v>
      </c>
      <c r="M151" s="4">
        <v>11840</v>
      </c>
      <c r="N151" s="4">
        <v>62.36</v>
      </c>
      <c r="O151" s="4">
        <v>8293.88</v>
      </c>
      <c r="P151" s="4" t="s">
        <v>34</v>
      </c>
      <c r="Q151" s="4" t="s">
        <v>30</v>
      </c>
      <c r="R151" s="4" t="s">
        <v>164</v>
      </c>
      <c r="S151" s="4">
        <v>0</v>
      </c>
      <c r="T151" s="4">
        <v>590</v>
      </c>
      <c r="U151" s="4">
        <v>0</v>
      </c>
      <c r="V151" s="4" t="s">
        <v>32</v>
      </c>
      <c r="W151" s="4" t="s">
        <v>32</v>
      </c>
      <c r="X151" s="4" t="s">
        <v>32</v>
      </c>
      <c r="Y151" s="4" t="s">
        <v>32</v>
      </c>
      <c r="Z151" s="4" t="s">
        <v>32</v>
      </c>
      <c r="AA151" s="4" t="s">
        <v>32</v>
      </c>
    </row>
    <row r="152" s="4" customFormat="1" spans="1:27">
      <c r="A152" s="4" t="s">
        <v>36</v>
      </c>
      <c r="B152" s="4" t="s">
        <v>28</v>
      </c>
      <c r="C152" s="4">
        <v>22928467</v>
      </c>
      <c r="D152" s="19" t="s">
        <v>218</v>
      </c>
      <c r="E152" s="21">
        <v>46161.0280902778</v>
      </c>
      <c r="F152" s="4">
        <v>154.14</v>
      </c>
      <c r="G152" s="4">
        <v>0</v>
      </c>
      <c r="H152" s="4">
        <v>154.14</v>
      </c>
      <c r="I152" s="4">
        <v>52.29</v>
      </c>
      <c r="J152" s="4">
        <v>0</v>
      </c>
      <c r="K152" s="4">
        <v>52.29</v>
      </c>
      <c r="L152" s="4">
        <v>71.43</v>
      </c>
      <c r="M152" s="4">
        <v>9500</v>
      </c>
      <c r="N152" s="4">
        <v>67.86</v>
      </c>
      <c r="O152" s="4">
        <v>9025.38</v>
      </c>
      <c r="P152" s="4" t="s">
        <v>34</v>
      </c>
      <c r="Q152" s="4" t="s">
        <v>30</v>
      </c>
      <c r="R152" s="4" t="s">
        <v>164</v>
      </c>
      <c r="S152" s="4">
        <v>0</v>
      </c>
      <c r="T152" s="4">
        <v>480</v>
      </c>
      <c r="U152" s="4">
        <v>0</v>
      </c>
      <c r="V152" s="4" t="s">
        <v>32</v>
      </c>
      <c r="W152" s="4" t="s">
        <v>32</v>
      </c>
      <c r="X152" s="4" t="s">
        <v>32</v>
      </c>
      <c r="Y152" s="4" t="s">
        <v>32</v>
      </c>
      <c r="Z152" s="4" t="s">
        <v>32</v>
      </c>
      <c r="AA152" s="4" t="s">
        <v>32</v>
      </c>
    </row>
    <row r="153" s="4" customFormat="1" spans="1:27">
      <c r="A153" s="4" t="s">
        <v>36</v>
      </c>
      <c r="B153" s="4" t="s">
        <v>28</v>
      </c>
      <c r="C153" s="4">
        <v>496299</v>
      </c>
      <c r="D153" s="19" t="s">
        <v>219</v>
      </c>
      <c r="E153" s="21">
        <v>43922.6250694445</v>
      </c>
      <c r="F153" s="4">
        <v>307.68</v>
      </c>
      <c r="G153" s="4">
        <v>4.24</v>
      </c>
      <c r="H153" s="4">
        <v>303.44</v>
      </c>
      <c r="I153" s="4">
        <v>50.89</v>
      </c>
      <c r="J153" s="4">
        <v>-0.98</v>
      </c>
      <c r="K153" s="4">
        <v>51.86</v>
      </c>
      <c r="L153" s="4">
        <v>110.02</v>
      </c>
      <c r="M153" s="4">
        <v>14633</v>
      </c>
      <c r="N153" s="4">
        <v>44.67</v>
      </c>
      <c r="O153" s="4">
        <v>5941.11</v>
      </c>
      <c r="P153" s="4" t="s">
        <v>29</v>
      </c>
      <c r="Q153" s="4" t="s">
        <v>30</v>
      </c>
      <c r="R153" s="4" t="s">
        <v>164</v>
      </c>
      <c r="S153" s="4">
        <v>0</v>
      </c>
      <c r="T153" s="4">
        <v>730</v>
      </c>
      <c r="U153" s="4">
        <v>0</v>
      </c>
      <c r="V153" s="4" t="s">
        <v>32</v>
      </c>
      <c r="W153" s="4" t="s">
        <v>32</v>
      </c>
      <c r="X153" s="4" t="s">
        <v>32</v>
      </c>
      <c r="Y153" s="4" t="s">
        <v>32</v>
      </c>
      <c r="Z153" s="4" t="s">
        <v>32</v>
      </c>
      <c r="AA153" s="4" t="s">
        <v>32</v>
      </c>
    </row>
    <row r="154" s="4" customFormat="1" spans="1:27">
      <c r="A154" s="4" t="s">
        <v>36</v>
      </c>
      <c r="B154" s="4" t="s">
        <v>28</v>
      </c>
      <c r="C154" s="4">
        <v>3928458</v>
      </c>
      <c r="D154" s="19" t="s">
        <v>220</v>
      </c>
      <c r="E154" s="21">
        <v>44280.4294444445</v>
      </c>
      <c r="F154" s="4">
        <v>17031.39</v>
      </c>
      <c r="G154" s="4">
        <v>0.02</v>
      </c>
      <c r="H154" s="4">
        <v>17031.37</v>
      </c>
      <c r="I154" s="4">
        <v>455.15</v>
      </c>
      <c r="J154" s="4">
        <v>0.02</v>
      </c>
      <c r="K154" s="4">
        <v>455.13</v>
      </c>
      <c r="L154" s="4">
        <v>1525.4</v>
      </c>
      <c r="M154" s="4">
        <v>202878</v>
      </c>
      <c r="N154" s="4">
        <v>121.43</v>
      </c>
      <c r="O154" s="4">
        <v>16150.19</v>
      </c>
      <c r="P154" s="4" t="s">
        <v>29</v>
      </c>
      <c r="Q154" s="4" t="s">
        <v>33</v>
      </c>
      <c r="R154" s="4" t="s">
        <v>164</v>
      </c>
      <c r="S154" s="4">
        <v>0</v>
      </c>
      <c r="T154" s="4">
        <v>10140</v>
      </c>
      <c r="U154" s="4">
        <v>0</v>
      </c>
      <c r="V154" s="4" t="s">
        <v>32</v>
      </c>
      <c r="W154" s="4" t="s">
        <v>32</v>
      </c>
      <c r="X154" s="4" t="s">
        <v>32</v>
      </c>
      <c r="Y154" s="4" t="s">
        <v>32</v>
      </c>
      <c r="Z154" s="4" t="s">
        <v>32</v>
      </c>
      <c r="AA154" s="4" t="s">
        <v>32</v>
      </c>
    </row>
    <row r="155" s="4" customFormat="1" spans="1:27">
      <c r="A155" s="4" t="s">
        <v>36</v>
      </c>
      <c r="B155" s="4" t="s">
        <v>28</v>
      </c>
      <c r="C155" s="4">
        <v>17990817</v>
      </c>
      <c r="D155" s="19" t="s">
        <v>221</v>
      </c>
      <c r="E155" s="21">
        <v>45887.4550231481</v>
      </c>
      <c r="F155" s="4">
        <v>2432.49</v>
      </c>
      <c r="G155" s="4">
        <v>0</v>
      </c>
      <c r="H155" s="4">
        <v>2432.49</v>
      </c>
      <c r="I155" s="4">
        <v>85.75</v>
      </c>
      <c r="J155" s="4">
        <v>0</v>
      </c>
      <c r="K155" s="4">
        <v>85.75</v>
      </c>
      <c r="L155" s="4">
        <v>160.14</v>
      </c>
      <c r="M155" s="4">
        <v>21298</v>
      </c>
      <c r="N155" s="4">
        <v>35.29</v>
      </c>
      <c r="O155" s="4">
        <v>4693.57</v>
      </c>
      <c r="P155" s="4" t="s">
        <v>29</v>
      </c>
      <c r="Q155" s="4" t="s">
        <v>30</v>
      </c>
      <c r="R155" s="4" t="s">
        <v>164</v>
      </c>
      <c r="S155" s="4">
        <v>0</v>
      </c>
      <c r="T155" s="4">
        <v>1060</v>
      </c>
      <c r="U155" s="4">
        <v>0</v>
      </c>
      <c r="V155" s="4" t="s">
        <v>32</v>
      </c>
      <c r="W155" s="4" t="s">
        <v>32</v>
      </c>
      <c r="X155" s="4" t="s">
        <v>32</v>
      </c>
      <c r="Y155" s="4" t="s">
        <v>32</v>
      </c>
      <c r="Z155" s="4" t="s">
        <v>32</v>
      </c>
      <c r="AA155" s="4" t="s">
        <v>32</v>
      </c>
    </row>
    <row r="156" s="4" customFormat="1" spans="1:27">
      <c r="A156" s="4" t="s">
        <v>36</v>
      </c>
      <c r="B156" s="4" t="s">
        <v>28</v>
      </c>
      <c r="C156" s="4">
        <v>15965797</v>
      </c>
      <c r="D156" s="19" t="s">
        <v>222</v>
      </c>
      <c r="E156" s="21">
        <v>45724.2435185185</v>
      </c>
      <c r="F156" s="4">
        <v>2492.77</v>
      </c>
      <c r="G156" s="4">
        <v>3.26</v>
      </c>
      <c r="H156" s="4">
        <v>2489.51</v>
      </c>
      <c r="I156" s="4">
        <v>145.27</v>
      </c>
      <c r="J156" s="4">
        <v>2.33</v>
      </c>
      <c r="K156" s="4">
        <v>142.94</v>
      </c>
      <c r="L156" s="4">
        <v>639.98</v>
      </c>
      <c r="M156" s="4">
        <v>85118</v>
      </c>
      <c r="N156" s="4">
        <v>511.75</v>
      </c>
      <c r="O156" s="4">
        <v>68062.75</v>
      </c>
      <c r="P156" s="4" t="s">
        <v>29</v>
      </c>
      <c r="Q156" s="4" t="s">
        <v>30</v>
      </c>
      <c r="R156" s="4" t="s">
        <v>164</v>
      </c>
      <c r="S156" s="4">
        <v>0</v>
      </c>
      <c r="T156" s="4">
        <v>4260</v>
      </c>
      <c r="U156" s="4">
        <v>0</v>
      </c>
      <c r="V156" s="4" t="s">
        <v>32</v>
      </c>
      <c r="W156" s="4" t="s">
        <v>32</v>
      </c>
      <c r="X156" s="4" t="s">
        <v>32</v>
      </c>
      <c r="Y156" s="4" t="s">
        <v>32</v>
      </c>
      <c r="Z156" s="4" t="s">
        <v>32</v>
      </c>
      <c r="AA156" s="4" t="s">
        <v>32</v>
      </c>
    </row>
    <row r="157" s="4" customFormat="1" spans="1:27">
      <c r="A157" s="4" t="s">
        <v>36</v>
      </c>
      <c r="B157" s="4" t="s">
        <v>28</v>
      </c>
      <c r="C157" s="4">
        <v>18779629</v>
      </c>
      <c r="D157" s="19" t="s">
        <v>223</v>
      </c>
      <c r="E157" s="21">
        <v>45933.2550694444</v>
      </c>
      <c r="F157" s="4">
        <v>2864.7</v>
      </c>
      <c r="G157" s="4">
        <v>0.01</v>
      </c>
      <c r="H157" s="4">
        <v>2864.69</v>
      </c>
      <c r="I157" s="4">
        <v>78.39</v>
      </c>
      <c r="J157" s="4">
        <v>0.01</v>
      </c>
      <c r="K157" s="4">
        <v>78.38</v>
      </c>
      <c r="L157" s="4">
        <v>465</v>
      </c>
      <c r="M157" s="4">
        <v>61845</v>
      </c>
      <c r="N157" s="4">
        <v>441.42</v>
      </c>
      <c r="O157" s="4">
        <v>58708.86</v>
      </c>
      <c r="P157" s="4" t="s">
        <v>29</v>
      </c>
      <c r="Q157" s="4" t="s">
        <v>30</v>
      </c>
      <c r="R157" s="4" t="s">
        <v>164</v>
      </c>
      <c r="S157" s="4">
        <v>0</v>
      </c>
      <c r="T157" s="4">
        <v>3090</v>
      </c>
      <c r="U157" s="4">
        <v>0</v>
      </c>
      <c r="V157" s="4" t="s">
        <v>32</v>
      </c>
      <c r="W157" s="4" t="s">
        <v>32</v>
      </c>
      <c r="X157" s="4" t="s">
        <v>32</v>
      </c>
      <c r="Y157" s="4" t="s">
        <v>32</v>
      </c>
      <c r="Z157" s="4" t="s">
        <v>32</v>
      </c>
      <c r="AA157" s="4" t="s">
        <v>32</v>
      </c>
    </row>
    <row r="158" s="4" customFormat="1" spans="1:27">
      <c r="A158" s="4" t="s">
        <v>36</v>
      </c>
      <c r="B158" s="4" t="s">
        <v>28</v>
      </c>
      <c r="C158" s="4">
        <v>9189327</v>
      </c>
      <c r="D158" s="19" t="s">
        <v>224</v>
      </c>
      <c r="E158" s="21">
        <v>44904.9475</v>
      </c>
      <c r="F158" s="4">
        <v>1126.33</v>
      </c>
      <c r="G158" s="4">
        <v>0</v>
      </c>
      <c r="H158" s="4">
        <v>1126.33</v>
      </c>
      <c r="I158" s="4">
        <v>93.96</v>
      </c>
      <c r="J158" s="4">
        <v>0</v>
      </c>
      <c r="K158" s="4">
        <v>93.96</v>
      </c>
      <c r="L158" s="4">
        <v>153.11</v>
      </c>
      <c r="M158" s="4">
        <v>20364</v>
      </c>
      <c r="N158" s="4">
        <v>13.48</v>
      </c>
      <c r="O158" s="4">
        <v>1792.84</v>
      </c>
      <c r="P158" s="4" t="s">
        <v>34</v>
      </c>
      <c r="Q158" s="4" t="s">
        <v>30</v>
      </c>
      <c r="R158" s="4" t="s">
        <v>164</v>
      </c>
      <c r="S158" s="4">
        <v>0</v>
      </c>
      <c r="T158" s="4">
        <v>1020</v>
      </c>
      <c r="U158" s="4">
        <v>0</v>
      </c>
      <c r="V158" s="4" t="s">
        <v>32</v>
      </c>
      <c r="W158" s="4" t="s">
        <v>32</v>
      </c>
      <c r="X158" s="4" t="s">
        <v>32</v>
      </c>
      <c r="Y158" s="4" t="s">
        <v>32</v>
      </c>
      <c r="Z158" s="4" t="s">
        <v>32</v>
      </c>
      <c r="AA158" s="4" t="s">
        <v>32</v>
      </c>
    </row>
    <row r="159" s="4" customFormat="1" spans="1:27">
      <c r="A159" s="4" t="s">
        <v>36</v>
      </c>
      <c r="B159" s="4" t="s">
        <v>28</v>
      </c>
      <c r="C159" s="4">
        <v>12855236</v>
      </c>
      <c r="D159" s="19" t="s">
        <v>225</v>
      </c>
      <c r="E159" s="21">
        <v>45411.6622800926</v>
      </c>
      <c r="F159" s="4">
        <v>1686.78</v>
      </c>
      <c r="G159" s="4">
        <v>10.86</v>
      </c>
      <c r="H159" s="4">
        <v>1675.92</v>
      </c>
      <c r="I159" s="4">
        <v>38.75</v>
      </c>
      <c r="J159" s="4">
        <v>-31.88</v>
      </c>
      <c r="K159" s="4">
        <v>70.63</v>
      </c>
      <c r="L159" s="4">
        <v>389.08</v>
      </c>
      <c r="M159" s="4">
        <v>51748</v>
      </c>
      <c r="N159" s="4">
        <v>318.93</v>
      </c>
      <c r="O159" s="4">
        <v>42417.69</v>
      </c>
      <c r="P159" s="4" t="s">
        <v>34</v>
      </c>
      <c r="Q159" s="4" t="s">
        <v>30</v>
      </c>
      <c r="R159" s="4" t="s">
        <v>164</v>
      </c>
      <c r="S159" s="4">
        <v>0</v>
      </c>
      <c r="T159" s="4">
        <v>2590</v>
      </c>
      <c r="U159" s="4">
        <v>0</v>
      </c>
      <c r="V159" s="4" t="s">
        <v>32</v>
      </c>
      <c r="W159" s="4" t="s">
        <v>32</v>
      </c>
      <c r="X159" s="4" t="s">
        <v>32</v>
      </c>
      <c r="Y159" s="4" t="s">
        <v>32</v>
      </c>
      <c r="Z159" s="4" t="s">
        <v>32</v>
      </c>
      <c r="AA159" s="4" t="s">
        <v>32</v>
      </c>
    </row>
    <row r="160" s="4" customFormat="1" spans="1:27">
      <c r="A160" s="4" t="s">
        <v>36</v>
      </c>
      <c r="B160" s="4" t="s">
        <v>28</v>
      </c>
      <c r="C160" s="4">
        <v>11139746</v>
      </c>
      <c r="D160" s="19" t="s">
        <v>226</v>
      </c>
      <c r="E160" s="21">
        <v>45229.7352662037</v>
      </c>
      <c r="F160" s="4">
        <v>3996.74</v>
      </c>
      <c r="G160" s="4">
        <v>153.89</v>
      </c>
      <c r="H160" s="4">
        <v>3842.85</v>
      </c>
      <c r="I160" s="4">
        <v>309.07</v>
      </c>
      <c r="J160" s="4">
        <v>114.19</v>
      </c>
      <c r="K160" s="4">
        <v>195.64</v>
      </c>
      <c r="L160" s="4">
        <v>1326.02</v>
      </c>
      <c r="M160" s="4">
        <v>176360</v>
      </c>
      <c r="N160" s="4">
        <v>353.64</v>
      </c>
      <c r="O160" s="4">
        <v>47034.12</v>
      </c>
      <c r="P160" s="4" t="s">
        <v>29</v>
      </c>
      <c r="Q160" s="4" t="s">
        <v>33</v>
      </c>
      <c r="R160" s="4" t="s">
        <v>164</v>
      </c>
      <c r="S160" s="4">
        <v>0</v>
      </c>
      <c r="T160" s="4">
        <v>8820</v>
      </c>
      <c r="U160" s="4">
        <v>0</v>
      </c>
      <c r="V160" s="4" t="s">
        <v>32</v>
      </c>
      <c r="W160" s="4" t="s">
        <v>32</v>
      </c>
      <c r="X160" s="4" t="s">
        <v>32</v>
      </c>
      <c r="Y160" s="4" t="s">
        <v>32</v>
      </c>
      <c r="Z160" s="4" t="s">
        <v>32</v>
      </c>
      <c r="AA160" s="4" t="s">
        <v>32</v>
      </c>
    </row>
    <row r="161" s="4" customFormat="1" spans="1:27">
      <c r="A161" s="4" t="s">
        <v>36</v>
      </c>
      <c r="B161" s="4" t="s">
        <v>28</v>
      </c>
      <c r="C161" s="4">
        <v>20848257</v>
      </c>
      <c r="D161" s="19" t="s">
        <v>227</v>
      </c>
      <c r="E161" s="21">
        <v>46041.4728240741</v>
      </c>
      <c r="F161" s="4">
        <v>271.53</v>
      </c>
      <c r="G161" s="4">
        <v>2.26</v>
      </c>
      <c r="H161" s="4">
        <v>269.28</v>
      </c>
      <c r="I161" s="4">
        <v>14.75</v>
      </c>
      <c r="J161" s="4">
        <v>2.26</v>
      </c>
      <c r="K161" s="4">
        <v>12.49</v>
      </c>
      <c r="L161" s="4">
        <v>51.88</v>
      </c>
      <c r="M161" s="4">
        <v>6900</v>
      </c>
      <c r="N161" s="4">
        <v>0</v>
      </c>
      <c r="O161" s="4">
        <v>0</v>
      </c>
      <c r="P161" s="4" t="s">
        <v>29</v>
      </c>
      <c r="Q161" s="4" t="s">
        <v>30</v>
      </c>
      <c r="R161" s="4" t="s">
        <v>164</v>
      </c>
      <c r="S161" s="4">
        <v>0</v>
      </c>
      <c r="T161" s="4">
        <v>340</v>
      </c>
      <c r="U161" s="4">
        <v>0</v>
      </c>
      <c r="V161" s="4" t="s">
        <v>32</v>
      </c>
      <c r="W161" s="4" t="s">
        <v>32</v>
      </c>
      <c r="X161" s="4" t="s">
        <v>32</v>
      </c>
      <c r="Y161" s="4" t="s">
        <v>32</v>
      </c>
      <c r="Z161" s="4" t="s">
        <v>32</v>
      </c>
      <c r="AA161" s="4" t="s">
        <v>32</v>
      </c>
    </row>
    <row r="162" s="4" customFormat="1" spans="1:27">
      <c r="A162" s="4" t="s">
        <v>36</v>
      </c>
      <c r="B162" s="4" t="s">
        <v>28</v>
      </c>
      <c r="C162" s="4">
        <v>13270956</v>
      </c>
      <c r="D162" s="19" t="s">
        <v>228</v>
      </c>
      <c r="E162" s="21">
        <v>45479.142650463</v>
      </c>
      <c r="F162" s="4">
        <v>187.29</v>
      </c>
      <c r="G162" s="4">
        <v>0</v>
      </c>
      <c r="H162" s="4">
        <v>187.29</v>
      </c>
      <c r="I162" s="4">
        <v>37.76</v>
      </c>
      <c r="J162" s="4">
        <v>0</v>
      </c>
      <c r="K162" s="4">
        <v>37.76</v>
      </c>
      <c r="L162" s="4">
        <v>56.39</v>
      </c>
      <c r="M162" s="4">
        <v>7500</v>
      </c>
      <c r="N162" s="4">
        <v>53.57</v>
      </c>
      <c r="O162" s="4">
        <v>7124.81</v>
      </c>
      <c r="P162" s="4" t="s">
        <v>34</v>
      </c>
      <c r="Q162" s="4" t="s">
        <v>30</v>
      </c>
      <c r="R162" s="4" t="s">
        <v>164</v>
      </c>
      <c r="S162" s="4">
        <v>0</v>
      </c>
      <c r="T162" s="4">
        <v>380</v>
      </c>
      <c r="U162" s="4">
        <v>0</v>
      </c>
      <c r="V162" s="4" t="s">
        <v>32</v>
      </c>
      <c r="W162" s="4" t="s">
        <v>32</v>
      </c>
      <c r="X162" s="4" t="s">
        <v>32</v>
      </c>
      <c r="Y162" s="4" t="s">
        <v>32</v>
      </c>
      <c r="Z162" s="4" t="s">
        <v>32</v>
      </c>
      <c r="AA162" s="4" t="s">
        <v>32</v>
      </c>
    </row>
    <row r="163" s="4" customFormat="1" spans="1:27">
      <c r="A163" s="4" t="s">
        <v>36</v>
      </c>
      <c r="B163" s="4" t="s">
        <v>28</v>
      </c>
      <c r="C163" s="4">
        <v>22250936</v>
      </c>
      <c r="D163" s="19" t="s">
        <v>229</v>
      </c>
      <c r="E163" s="21">
        <v>46116.7978587963</v>
      </c>
      <c r="F163" s="4">
        <v>1800.77</v>
      </c>
      <c r="G163" s="4">
        <v>0</v>
      </c>
      <c r="H163" s="4">
        <v>1800.77</v>
      </c>
      <c r="I163" s="4">
        <v>2.23</v>
      </c>
      <c r="J163" s="4">
        <v>0</v>
      </c>
      <c r="K163" s="4">
        <v>2.23</v>
      </c>
      <c r="L163" s="4">
        <v>161.49</v>
      </c>
      <c r="M163" s="4">
        <v>21478</v>
      </c>
      <c r="N163" s="4">
        <v>153.41</v>
      </c>
      <c r="O163" s="4">
        <v>20403.53</v>
      </c>
      <c r="P163" s="4" t="s">
        <v>29</v>
      </c>
      <c r="Q163" s="4" t="s">
        <v>30</v>
      </c>
      <c r="R163" s="4" t="s">
        <v>164</v>
      </c>
      <c r="S163" s="4">
        <v>0</v>
      </c>
      <c r="T163" s="4">
        <v>1070</v>
      </c>
      <c r="U163" s="4">
        <v>0</v>
      </c>
      <c r="V163" s="4" t="s">
        <v>32</v>
      </c>
      <c r="W163" s="4" t="s">
        <v>32</v>
      </c>
      <c r="X163" s="4" t="s">
        <v>32</v>
      </c>
      <c r="Y163" s="4" t="s">
        <v>32</v>
      </c>
      <c r="Z163" s="4" t="s">
        <v>32</v>
      </c>
      <c r="AA163" s="4" t="s">
        <v>32</v>
      </c>
    </row>
    <row r="164" s="4" customFormat="1" spans="1:27">
      <c r="A164" s="4" t="s">
        <v>36</v>
      </c>
      <c r="B164" s="4" t="s">
        <v>28</v>
      </c>
      <c r="C164" s="4">
        <v>12457218</v>
      </c>
      <c r="D164" s="19" t="s">
        <v>230</v>
      </c>
      <c r="E164" s="21">
        <v>45362.2400810185</v>
      </c>
      <c r="F164" s="4">
        <v>46486.12</v>
      </c>
      <c r="G164" s="4">
        <v>0</v>
      </c>
      <c r="H164" s="4">
        <v>46486.12</v>
      </c>
      <c r="I164" s="4">
        <v>-9.73</v>
      </c>
      <c r="J164" s="4">
        <v>0</v>
      </c>
      <c r="K164" s="4">
        <v>-9.73</v>
      </c>
      <c r="L164" s="4">
        <v>2817.17</v>
      </c>
      <c r="M164" s="4">
        <v>374684</v>
      </c>
      <c r="N164" s="4">
        <v>0</v>
      </c>
      <c r="O164" s="4">
        <v>0</v>
      </c>
      <c r="P164" s="4" t="s">
        <v>34</v>
      </c>
      <c r="Q164" s="4" t="s">
        <v>33</v>
      </c>
      <c r="R164" s="4" t="s">
        <v>164</v>
      </c>
      <c r="S164" s="4">
        <v>0</v>
      </c>
      <c r="T164" s="4">
        <v>18730</v>
      </c>
      <c r="U164" s="4">
        <v>1</v>
      </c>
      <c r="V164" s="4">
        <v>1</v>
      </c>
      <c r="W164" s="4" t="s">
        <v>32</v>
      </c>
      <c r="X164" s="4" t="s">
        <v>32</v>
      </c>
      <c r="Y164" s="4" t="s">
        <v>32</v>
      </c>
      <c r="Z164" s="4" t="s">
        <v>32</v>
      </c>
      <c r="AA164" s="4" t="s">
        <v>32</v>
      </c>
    </row>
    <row r="165" s="4" customFormat="1" spans="1:27">
      <c r="A165" s="4" t="s">
        <v>36</v>
      </c>
      <c r="B165" s="4" t="s">
        <v>28</v>
      </c>
      <c r="C165" s="4">
        <v>10327637</v>
      </c>
      <c r="D165" s="19" t="s">
        <v>231</v>
      </c>
      <c r="E165" s="21">
        <v>45136.4804976852</v>
      </c>
      <c r="F165" s="4">
        <v>520.41</v>
      </c>
      <c r="G165" s="4">
        <v>0</v>
      </c>
      <c r="H165" s="4">
        <v>520.41</v>
      </c>
      <c r="I165" s="4">
        <v>-29.91</v>
      </c>
      <c r="J165" s="4">
        <v>0</v>
      </c>
      <c r="K165" s="4">
        <v>-29.91</v>
      </c>
      <c r="L165" s="4">
        <v>79.77</v>
      </c>
      <c r="M165" s="4">
        <v>10610</v>
      </c>
      <c r="N165" s="4">
        <v>4.74</v>
      </c>
      <c r="O165" s="4">
        <v>630.42</v>
      </c>
      <c r="P165" s="4" t="s">
        <v>34</v>
      </c>
      <c r="Q165" s="4" t="s">
        <v>30</v>
      </c>
      <c r="R165" s="4" t="s">
        <v>164</v>
      </c>
      <c r="S165" s="4">
        <v>0</v>
      </c>
      <c r="T165" s="4">
        <v>530</v>
      </c>
      <c r="U165" s="4">
        <v>0</v>
      </c>
      <c r="V165" s="4" t="s">
        <v>32</v>
      </c>
      <c r="W165" s="4" t="s">
        <v>32</v>
      </c>
      <c r="X165" s="4" t="s">
        <v>32</v>
      </c>
      <c r="Y165" s="4" t="s">
        <v>32</v>
      </c>
      <c r="Z165" s="4" t="s">
        <v>32</v>
      </c>
      <c r="AA165" s="4" t="s">
        <v>32</v>
      </c>
    </row>
    <row r="166" s="4" customFormat="1" spans="1:27">
      <c r="A166" s="4" t="s">
        <v>36</v>
      </c>
      <c r="B166" s="4" t="s">
        <v>28</v>
      </c>
      <c r="C166" s="4">
        <v>18022448</v>
      </c>
      <c r="D166" s="19" t="s">
        <v>232</v>
      </c>
      <c r="E166" s="21">
        <v>45889.6515740741</v>
      </c>
      <c r="F166" s="4">
        <v>1954.68</v>
      </c>
      <c r="G166" s="4">
        <v>0</v>
      </c>
      <c r="H166" s="4">
        <v>1954.68</v>
      </c>
      <c r="I166" s="4">
        <v>69.02</v>
      </c>
      <c r="J166" s="4">
        <v>0</v>
      </c>
      <c r="K166" s="4">
        <v>69.02</v>
      </c>
      <c r="L166" s="4">
        <v>310.98</v>
      </c>
      <c r="M166" s="4">
        <v>41360</v>
      </c>
      <c r="N166" s="4">
        <v>118.93</v>
      </c>
      <c r="O166" s="4">
        <v>15817.69</v>
      </c>
      <c r="P166" s="4" t="s">
        <v>29</v>
      </c>
      <c r="Q166" s="4" t="s">
        <v>30</v>
      </c>
      <c r="R166" s="4" t="s">
        <v>164</v>
      </c>
      <c r="S166" s="4">
        <v>0</v>
      </c>
      <c r="T166" s="4">
        <v>2070</v>
      </c>
      <c r="U166" s="4">
        <v>0</v>
      </c>
      <c r="V166" s="4" t="s">
        <v>32</v>
      </c>
      <c r="W166" s="4" t="s">
        <v>32</v>
      </c>
      <c r="X166" s="4" t="s">
        <v>32</v>
      </c>
      <c r="Y166" s="4" t="s">
        <v>32</v>
      </c>
      <c r="Z166" s="4" t="s">
        <v>32</v>
      </c>
      <c r="AA166" s="4" t="s">
        <v>32</v>
      </c>
    </row>
    <row r="167" s="4" customFormat="1" spans="1:27">
      <c r="A167" s="4" t="s">
        <v>36</v>
      </c>
      <c r="B167" s="4" t="s">
        <v>28</v>
      </c>
      <c r="C167" s="4">
        <v>15196607</v>
      </c>
      <c r="D167" s="19" t="s">
        <v>233</v>
      </c>
      <c r="E167" s="21">
        <v>45653.2386111111</v>
      </c>
      <c r="F167" s="4">
        <v>12208.89</v>
      </c>
      <c r="G167" s="4">
        <v>0</v>
      </c>
      <c r="H167" s="4">
        <v>12208.89</v>
      </c>
      <c r="I167" s="4">
        <v>208.92</v>
      </c>
      <c r="J167" s="4">
        <v>0</v>
      </c>
      <c r="K167" s="4">
        <v>208.92</v>
      </c>
      <c r="L167" s="4">
        <v>1347.35</v>
      </c>
      <c r="M167" s="4">
        <v>179198</v>
      </c>
      <c r="N167" s="4">
        <v>777.99</v>
      </c>
      <c r="O167" s="4">
        <v>103472.67</v>
      </c>
      <c r="P167" s="4" t="s">
        <v>29</v>
      </c>
      <c r="Q167" s="4" t="s">
        <v>33</v>
      </c>
      <c r="R167" s="4" t="s">
        <v>164</v>
      </c>
      <c r="S167" s="4">
        <v>0</v>
      </c>
      <c r="T167" s="4">
        <v>8960</v>
      </c>
      <c r="U167" s="4">
        <v>0</v>
      </c>
      <c r="V167" s="4" t="s">
        <v>32</v>
      </c>
      <c r="W167" s="4" t="s">
        <v>32</v>
      </c>
      <c r="X167" s="4" t="s">
        <v>32</v>
      </c>
      <c r="Y167" s="4" t="s">
        <v>32</v>
      </c>
      <c r="Z167" s="4" t="s">
        <v>32</v>
      </c>
      <c r="AA167" s="4" t="s">
        <v>32</v>
      </c>
    </row>
    <row r="168" s="4" customFormat="1" spans="1:27">
      <c r="A168" s="4" t="s">
        <v>36</v>
      </c>
      <c r="B168" s="4" t="s">
        <v>28</v>
      </c>
      <c r="C168" s="4">
        <v>670937</v>
      </c>
      <c r="D168" s="19" t="s">
        <v>234</v>
      </c>
      <c r="E168" s="21">
        <v>43937.6918055556</v>
      </c>
      <c r="F168" s="4">
        <v>790.53</v>
      </c>
      <c r="G168" s="4">
        <v>0.08</v>
      </c>
      <c r="H168" s="4">
        <v>790.44</v>
      </c>
      <c r="I168" s="4">
        <v>9.14</v>
      </c>
      <c r="J168" s="4">
        <v>0.08</v>
      </c>
      <c r="K168" s="4">
        <v>9.05</v>
      </c>
      <c r="L168" s="4">
        <v>69.83</v>
      </c>
      <c r="M168" s="4">
        <v>9288</v>
      </c>
      <c r="N168" s="4">
        <v>2.52</v>
      </c>
      <c r="O168" s="4">
        <v>335.16</v>
      </c>
      <c r="P168" s="4" t="s">
        <v>29</v>
      </c>
      <c r="Q168" s="4" t="s">
        <v>30</v>
      </c>
      <c r="R168" s="4" t="s">
        <v>164</v>
      </c>
      <c r="S168" s="4">
        <v>0</v>
      </c>
      <c r="T168" s="4">
        <v>460</v>
      </c>
      <c r="U168" s="4">
        <v>0</v>
      </c>
      <c r="V168" s="4" t="s">
        <v>32</v>
      </c>
      <c r="W168" s="4" t="s">
        <v>32</v>
      </c>
      <c r="X168" s="4" t="s">
        <v>32</v>
      </c>
      <c r="Y168" s="4" t="s">
        <v>32</v>
      </c>
      <c r="Z168" s="4" t="s">
        <v>32</v>
      </c>
      <c r="AA168" s="4" t="s">
        <v>32</v>
      </c>
    </row>
    <row r="169" s="4" customFormat="1" spans="1:27">
      <c r="A169" s="4" t="s">
        <v>36</v>
      </c>
      <c r="B169" s="4" t="s">
        <v>28</v>
      </c>
      <c r="C169" s="4">
        <v>18989997</v>
      </c>
      <c r="D169" s="19" t="s">
        <v>235</v>
      </c>
      <c r="E169" s="21">
        <v>45947.2795949074</v>
      </c>
      <c r="F169" s="4">
        <v>14281.17</v>
      </c>
      <c r="G169" s="4">
        <v>0</v>
      </c>
      <c r="H169" s="4">
        <v>14281.17</v>
      </c>
      <c r="I169" s="4">
        <v>-1516.65</v>
      </c>
      <c r="J169" s="4">
        <v>0</v>
      </c>
      <c r="K169" s="4">
        <v>-1516.65</v>
      </c>
      <c r="L169" s="4">
        <v>2163.43</v>
      </c>
      <c r="M169" s="4">
        <v>287736</v>
      </c>
      <c r="N169" s="4">
        <v>1771.44</v>
      </c>
      <c r="O169" s="4">
        <v>235601.52</v>
      </c>
      <c r="P169" s="4" t="s">
        <v>29</v>
      </c>
      <c r="Q169" s="4" t="s">
        <v>33</v>
      </c>
      <c r="R169" s="4" t="s">
        <v>164</v>
      </c>
      <c r="S169" s="4">
        <v>0</v>
      </c>
      <c r="T169" s="4">
        <v>14390</v>
      </c>
      <c r="U169" s="4">
        <v>0</v>
      </c>
      <c r="V169" s="4" t="s">
        <v>32</v>
      </c>
      <c r="W169" s="4" t="s">
        <v>32</v>
      </c>
      <c r="X169" s="4" t="s">
        <v>32</v>
      </c>
      <c r="Y169" s="4" t="s">
        <v>32</v>
      </c>
      <c r="Z169" s="4" t="s">
        <v>32</v>
      </c>
      <c r="AA169" s="4" t="s">
        <v>32</v>
      </c>
    </row>
    <row r="170" s="4" customFormat="1" spans="1:27">
      <c r="A170" s="4" t="s">
        <v>36</v>
      </c>
      <c r="B170" s="4" t="s">
        <v>28</v>
      </c>
      <c r="C170" s="4">
        <v>12779996</v>
      </c>
      <c r="D170" s="19" t="s">
        <v>236</v>
      </c>
      <c r="E170" s="21">
        <v>45403.7815856481</v>
      </c>
      <c r="F170" s="4">
        <v>983.64</v>
      </c>
      <c r="G170" s="4">
        <v>2</v>
      </c>
      <c r="H170" s="4">
        <v>981.64</v>
      </c>
      <c r="I170" s="4">
        <v>59.46</v>
      </c>
      <c r="J170" s="4">
        <v>1.94</v>
      </c>
      <c r="K170" s="4">
        <v>57.53</v>
      </c>
      <c r="L170" s="4">
        <v>101.43</v>
      </c>
      <c r="M170" s="4">
        <v>13490</v>
      </c>
      <c r="N170" s="4">
        <v>0.64</v>
      </c>
      <c r="O170" s="4">
        <v>85.12</v>
      </c>
      <c r="P170" s="4" t="s">
        <v>34</v>
      </c>
      <c r="Q170" s="4" t="s">
        <v>30</v>
      </c>
      <c r="R170" s="4" t="s">
        <v>164</v>
      </c>
      <c r="S170" s="4">
        <v>0</v>
      </c>
      <c r="T170" s="4">
        <v>670</v>
      </c>
      <c r="U170" s="4">
        <v>0</v>
      </c>
      <c r="V170" s="4" t="s">
        <v>32</v>
      </c>
      <c r="W170" s="4" t="s">
        <v>32</v>
      </c>
      <c r="X170" s="4" t="s">
        <v>32</v>
      </c>
      <c r="Y170" s="4" t="s">
        <v>32</v>
      </c>
      <c r="Z170" s="4" t="s">
        <v>32</v>
      </c>
      <c r="AA170" s="4" t="s">
        <v>32</v>
      </c>
    </row>
    <row r="171" s="4" customFormat="1" spans="1:27">
      <c r="A171" s="4" t="s">
        <v>36</v>
      </c>
      <c r="B171" s="4" t="s">
        <v>28</v>
      </c>
      <c r="C171" s="4">
        <v>20276246</v>
      </c>
      <c r="D171" s="19" t="s">
        <v>237</v>
      </c>
      <c r="E171" s="21">
        <v>46014.4787962963</v>
      </c>
      <c r="F171" s="4">
        <v>1080.61</v>
      </c>
      <c r="G171" s="4">
        <v>0</v>
      </c>
      <c r="H171" s="4">
        <v>1080.61</v>
      </c>
      <c r="I171" s="4">
        <v>29.6</v>
      </c>
      <c r="J171" s="4">
        <v>0</v>
      </c>
      <c r="K171" s="4">
        <v>29.6</v>
      </c>
      <c r="L171" s="4">
        <v>98.93</v>
      </c>
      <c r="M171" s="4">
        <v>13158</v>
      </c>
      <c r="N171" s="4">
        <v>0</v>
      </c>
      <c r="O171" s="4">
        <v>0</v>
      </c>
      <c r="P171" s="4" t="s">
        <v>29</v>
      </c>
      <c r="Q171" s="4" t="s">
        <v>30</v>
      </c>
      <c r="R171" s="4" t="s">
        <v>164</v>
      </c>
      <c r="S171" s="4">
        <v>0</v>
      </c>
      <c r="T171" s="4">
        <v>660</v>
      </c>
      <c r="U171" s="4">
        <v>0</v>
      </c>
      <c r="V171" s="4" t="s">
        <v>32</v>
      </c>
      <c r="W171" s="4" t="s">
        <v>32</v>
      </c>
      <c r="X171" s="4" t="s">
        <v>32</v>
      </c>
      <c r="Y171" s="4" t="s">
        <v>32</v>
      </c>
      <c r="Z171" s="4" t="s">
        <v>32</v>
      </c>
      <c r="AA171" s="4" t="s">
        <v>32</v>
      </c>
    </row>
    <row r="172" s="4" customFormat="1" spans="1:27">
      <c r="A172" s="4" t="s">
        <v>36</v>
      </c>
      <c r="B172" s="4" t="s">
        <v>28</v>
      </c>
      <c r="C172" s="4">
        <v>2960066</v>
      </c>
      <c r="D172" s="19" t="s">
        <v>238</v>
      </c>
      <c r="E172" s="21">
        <v>44128.2996064815</v>
      </c>
      <c r="F172" s="4">
        <v>379.23</v>
      </c>
      <c r="G172" s="4">
        <v>25.92</v>
      </c>
      <c r="H172" s="4">
        <v>353.31</v>
      </c>
      <c r="I172" s="4">
        <v>22.34</v>
      </c>
      <c r="J172" s="4">
        <v>25.92</v>
      </c>
      <c r="K172" s="4">
        <v>-3.58</v>
      </c>
      <c r="L172" s="4">
        <v>74.32</v>
      </c>
      <c r="M172" s="4">
        <v>9885</v>
      </c>
      <c r="N172" s="4">
        <v>58.91</v>
      </c>
      <c r="O172" s="4">
        <v>7835.03</v>
      </c>
      <c r="P172" s="4" t="s">
        <v>34</v>
      </c>
      <c r="Q172" s="4" t="s">
        <v>30</v>
      </c>
      <c r="R172" s="4" t="s">
        <v>164</v>
      </c>
      <c r="S172" s="4">
        <v>0</v>
      </c>
      <c r="T172" s="4">
        <v>490</v>
      </c>
      <c r="U172" s="4">
        <v>0</v>
      </c>
      <c r="V172" s="4" t="s">
        <v>32</v>
      </c>
      <c r="W172" s="4" t="s">
        <v>32</v>
      </c>
      <c r="X172" s="4" t="s">
        <v>32</v>
      </c>
      <c r="Y172" s="4" t="s">
        <v>32</v>
      </c>
      <c r="Z172" s="4" t="s">
        <v>32</v>
      </c>
      <c r="AA172" s="4" t="s">
        <v>32</v>
      </c>
    </row>
    <row r="173" s="4" customFormat="1" spans="1:27">
      <c r="A173" s="4" t="s">
        <v>36</v>
      </c>
      <c r="B173" s="4" t="s">
        <v>28</v>
      </c>
      <c r="C173" s="4">
        <v>14667218</v>
      </c>
      <c r="D173" s="19" t="s">
        <v>239</v>
      </c>
      <c r="E173" s="21">
        <v>45610.6219791667</v>
      </c>
      <c r="F173" s="4">
        <v>9448.32</v>
      </c>
      <c r="G173" s="4">
        <v>0.01</v>
      </c>
      <c r="H173" s="4">
        <v>9448.31</v>
      </c>
      <c r="I173" s="4">
        <v>700.92</v>
      </c>
      <c r="J173" s="4">
        <v>0.01</v>
      </c>
      <c r="K173" s="4">
        <v>700.91</v>
      </c>
      <c r="L173" s="4">
        <v>2677.71</v>
      </c>
      <c r="M173" s="4">
        <v>356136</v>
      </c>
      <c r="N173" s="4">
        <v>296</v>
      </c>
      <c r="O173" s="4">
        <v>39368</v>
      </c>
      <c r="P173" s="4" t="s">
        <v>29</v>
      </c>
      <c r="Q173" s="4" t="s">
        <v>33</v>
      </c>
      <c r="R173" s="4" t="s">
        <v>164</v>
      </c>
      <c r="S173" s="4">
        <v>0</v>
      </c>
      <c r="T173" s="4">
        <v>17810</v>
      </c>
      <c r="U173" s="4">
        <v>0</v>
      </c>
      <c r="V173" s="4" t="s">
        <v>32</v>
      </c>
      <c r="W173" s="4" t="s">
        <v>32</v>
      </c>
      <c r="X173" s="4" t="s">
        <v>32</v>
      </c>
      <c r="Y173" s="4" t="s">
        <v>32</v>
      </c>
      <c r="Z173" s="4" t="s">
        <v>32</v>
      </c>
      <c r="AA173" s="4" t="s">
        <v>32</v>
      </c>
    </row>
    <row r="174" s="4" customFormat="1" spans="1:27">
      <c r="A174" s="4" t="s">
        <v>36</v>
      </c>
      <c r="B174" s="4" t="s">
        <v>28</v>
      </c>
      <c r="C174" s="4">
        <v>10241436</v>
      </c>
      <c r="D174" s="19" t="s">
        <v>240</v>
      </c>
      <c r="E174" s="21">
        <v>45122.5950115741</v>
      </c>
      <c r="F174" s="4">
        <v>184.53</v>
      </c>
      <c r="G174" s="4">
        <v>0.05</v>
      </c>
      <c r="H174" s="4">
        <v>184.47</v>
      </c>
      <c r="I174" s="4">
        <v>-4.55</v>
      </c>
      <c r="J174" s="4">
        <v>0.05</v>
      </c>
      <c r="K174" s="4">
        <v>-4.6</v>
      </c>
      <c r="L174" s="4">
        <v>69.16</v>
      </c>
      <c r="M174" s="4">
        <v>9198</v>
      </c>
      <c r="N174" s="4">
        <v>29.31</v>
      </c>
      <c r="O174" s="4">
        <v>3898.23</v>
      </c>
      <c r="P174" s="4" t="s">
        <v>34</v>
      </c>
      <c r="Q174" s="4" t="s">
        <v>30</v>
      </c>
      <c r="R174" s="4" t="s">
        <v>164</v>
      </c>
      <c r="S174" s="4">
        <v>0</v>
      </c>
      <c r="T174" s="4">
        <v>460</v>
      </c>
      <c r="U174" s="4">
        <v>0</v>
      </c>
      <c r="V174" s="4" t="s">
        <v>32</v>
      </c>
      <c r="W174" s="4" t="s">
        <v>32</v>
      </c>
      <c r="X174" s="4" t="s">
        <v>32</v>
      </c>
      <c r="Y174" s="4" t="s">
        <v>32</v>
      </c>
      <c r="Z174" s="4" t="s">
        <v>32</v>
      </c>
      <c r="AA174" s="4" t="s">
        <v>32</v>
      </c>
    </row>
    <row r="175" s="4" customFormat="1" spans="1:27">
      <c r="A175" s="4" t="s">
        <v>36</v>
      </c>
      <c r="B175" s="4" t="s">
        <v>28</v>
      </c>
      <c r="C175" s="4">
        <v>13462169</v>
      </c>
      <c r="D175" s="19" t="s">
        <v>241</v>
      </c>
      <c r="E175" s="21">
        <v>45520.6929976852</v>
      </c>
      <c r="F175" s="4">
        <v>921.05</v>
      </c>
      <c r="G175" s="4">
        <v>3.11</v>
      </c>
      <c r="H175" s="4">
        <v>917.93</v>
      </c>
      <c r="I175" s="4">
        <v>-11.76</v>
      </c>
      <c r="J175" s="4">
        <v>3.08</v>
      </c>
      <c r="K175" s="4">
        <v>-14.09</v>
      </c>
      <c r="L175" s="4">
        <v>300.56</v>
      </c>
      <c r="M175" s="4">
        <v>39975</v>
      </c>
      <c r="N175" s="4">
        <v>0.5</v>
      </c>
      <c r="O175" s="4">
        <v>66.5</v>
      </c>
      <c r="P175" s="4" t="s">
        <v>29</v>
      </c>
      <c r="Q175" s="4" t="s">
        <v>30</v>
      </c>
      <c r="R175" s="4" t="s">
        <v>164</v>
      </c>
      <c r="S175" s="4">
        <v>0</v>
      </c>
      <c r="T175" s="4">
        <v>2000</v>
      </c>
      <c r="U175" s="4">
        <v>0</v>
      </c>
      <c r="V175" s="4" t="s">
        <v>32</v>
      </c>
      <c r="W175" s="4" t="s">
        <v>32</v>
      </c>
      <c r="X175" s="4" t="s">
        <v>32</v>
      </c>
      <c r="Y175" s="4" t="s">
        <v>32</v>
      </c>
      <c r="Z175" s="4" t="s">
        <v>32</v>
      </c>
      <c r="AA175" s="4" t="s">
        <v>32</v>
      </c>
    </row>
    <row r="176" s="4" customFormat="1" spans="1:27">
      <c r="A176" s="4" t="s">
        <v>36</v>
      </c>
      <c r="B176" s="4" t="s">
        <v>28</v>
      </c>
      <c r="C176" s="4">
        <v>21748128</v>
      </c>
      <c r="D176" s="19" t="s">
        <v>242</v>
      </c>
      <c r="E176" s="21">
        <v>46088.2539236111</v>
      </c>
      <c r="F176" s="4">
        <v>960.01</v>
      </c>
      <c r="G176" s="4">
        <v>1.95</v>
      </c>
      <c r="H176" s="4">
        <v>958.05</v>
      </c>
      <c r="I176" s="4">
        <v>74.54</v>
      </c>
      <c r="J176" s="4">
        <v>1.72</v>
      </c>
      <c r="K176" s="4">
        <v>72.83</v>
      </c>
      <c r="L176" s="4">
        <v>316.34</v>
      </c>
      <c r="M176" s="4">
        <v>42073</v>
      </c>
      <c r="N176" s="4">
        <v>300.52</v>
      </c>
      <c r="O176" s="4">
        <v>39969.16</v>
      </c>
      <c r="P176" s="4" t="s">
        <v>29</v>
      </c>
      <c r="Q176" s="4" t="s">
        <v>30</v>
      </c>
      <c r="R176" s="4" t="s">
        <v>164</v>
      </c>
      <c r="S176" s="4">
        <v>0</v>
      </c>
      <c r="T176" s="4">
        <v>2100</v>
      </c>
      <c r="U176" s="4">
        <v>0</v>
      </c>
      <c r="V176" s="4" t="s">
        <v>32</v>
      </c>
      <c r="W176" s="4" t="s">
        <v>32</v>
      </c>
      <c r="X176" s="4" t="s">
        <v>32</v>
      </c>
      <c r="Y176" s="4" t="s">
        <v>32</v>
      </c>
      <c r="Z176" s="4" t="s">
        <v>32</v>
      </c>
      <c r="AA176" s="4" t="s">
        <v>32</v>
      </c>
    </row>
    <row r="177" s="4" customFormat="1" spans="1:27">
      <c r="A177" s="4" t="s">
        <v>36</v>
      </c>
      <c r="B177" s="4" t="s">
        <v>28</v>
      </c>
      <c r="C177" s="4">
        <v>20589507</v>
      </c>
      <c r="D177" s="19" t="s">
        <v>243</v>
      </c>
      <c r="E177" s="21">
        <v>46029.3155787037</v>
      </c>
      <c r="F177" s="4">
        <v>618.18</v>
      </c>
      <c r="G177" s="4">
        <v>0</v>
      </c>
      <c r="H177" s="4">
        <v>618.18</v>
      </c>
      <c r="I177" s="4">
        <v>43.63</v>
      </c>
      <c r="J177" s="4">
        <v>0</v>
      </c>
      <c r="K177" s="4">
        <v>43.63</v>
      </c>
      <c r="L177" s="4">
        <v>88.42</v>
      </c>
      <c r="M177" s="4">
        <v>11760</v>
      </c>
      <c r="N177" s="4">
        <v>77.14</v>
      </c>
      <c r="O177" s="4">
        <v>10259.62</v>
      </c>
      <c r="P177" s="4" t="s">
        <v>29</v>
      </c>
      <c r="Q177" s="4" t="s">
        <v>30</v>
      </c>
      <c r="R177" s="4" t="s">
        <v>164</v>
      </c>
      <c r="S177" s="4">
        <v>0</v>
      </c>
      <c r="T177" s="4">
        <v>590</v>
      </c>
      <c r="U177" s="4">
        <v>0</v>
      </c>
      <c r="V177" s="4" t="s">
        <v>32</v>
      </c>
      <c r="W177" s="4" t="s">
        <v>32</v>
      </c>
      <c r="X177" s="4" t="s">
        <v>32</v>
      </c>
      <c r="Y177" s="4" t="s">
        <v>32</v>
      </c>
      <c r="Z177" s="4" t="s">
        <v>32</v>
      </c>
      <c r="AA177" s="4" t="s">
        <v>32</v>
      </c>
    </row>
    <row r="178" s="4" customFormat="1" spans="1:27">
      <c r="A178" s="4" t="s">
        <v>36</v>
      </c>
      <c r="B178" s="4" t="s">
        <v>28</v>
      </c>
      <c r="C178" s="4">
        <v>96297</v>
      </c>
      <c r="D178" s="19" t="s">
        <v>244</v>
      </c>
      <c r="E178" s="21">
        <v>43877.2899189815</v>
      </c>
      <c r="F178" s="4">
        <v>1712.22</v>
      </c>
      <c r="G178" s="4">
        <v>1.32</v>
      </c>
      <c r="H178" s="4">
        <v>1710.89</v>
      </c>
      <c r="I178" s="4">
        <v>62.6</v>
      </c>
      <c r="J178" s="4">
        <v>1.32</v>
      </c>
      <c r="K178" s="4">
        <v>62.02</v>
      </c>
      <c r="L178" s="4">
        <v>200.65</v>
      </c>
      <c r="M178" s="4">
        <v>26687</v>
      </c>
      <c r="N178" s="4">
        <v>169.91</v>
      </c>
      <c r="O178" s="4">
        <v>22598.03</v>
      </c>
      <c r="P178" s="4" t="s">
        <v>29</v>
      </c>
      <c r="Q178" s="4" t="s">
        <v>30</v>
      </c>
      <c r="R178" s="4" t="s">
        <v>164</v>
      </c>
      <c r="S178" s="4">
        <v>0</v>
      </c>
      <c r="T178" s="4">
        <v>1330</v>
      </c>
      <c r="U178" s="4">
        <v>0</v>
      </c>
      <c r="V178" s="4" t="s">
        <v>32</v>
      </c>
      <c r="W178" s="4" t="s">
        <v>32</v>
      </c>
      <c r="X178" s="4" t="s">
        <v>32</v>
      </c>
      <c r="Y178" s="4" t="s">
        <v>32</v>
      </c>
      <c r="Z178" s="4" t="s">
        <v>32</v>
      </c>
      <c r="AA178" s="4" t="s">
        <v>32</v>
      </c>
    </row>
    <row r="179" s="4" customFormat="1" spans="1:27">
      <c r="A179" s="4" t="s">
        <v>36</v>
      </c>
      <c r="B179" s="4" t="s">
        <v>28</v>
      </c>
      <c r="C179" s="4">
        <v>13485937</v>
      </c>
      <c r="D179" s="19" t="s">
        <v>245</v>
      </c>
      <c r="E179" s="21">
        <v>45524.7815162037</v>
      </c>
      <c r="F179" s="4">
        <v>608.42</v>
      </c>
      <c r="G179" s="4">
        <v>0.15</v>
      </c>
      <c r="H179" s="4">
        <v>608.27</v>
      </c>
      <c r="I179" s="4">
        <v>55.3</v>
      </c>
      <c r="J179" s="4">
        <v>0.15</v>
      </c>
      <c r="K179" s="4">
        <v>55.15</v>
      </c>
      <c r="L179" s="4">
        <v>103.2</v>
      </c>
      <c r="M179" s="4">
        <v>13725</v>
      </c>
      <c r="N179" s="4">
        <v>0.66</v>
      </c>
      <c r="O179" s="4">
        <v>87.78</v>
      </c>
      <c r="P179" s="4" t="s">
        <v>29</v>
      </c>
      <c r="Q179" s="4" t="s">
        <v>30</v>
      </c>
      <c r="R179" s="4" t="s">
        <v>164</v>
      </c>
      <c r="S179" s="4">
        <v>0</v>
      </c>
      <c r="T179" s="4">
        <v>690</v>
      </c>
      <c r="U179" s="4">
        <v>0</v>
      </c>
      <c r="V179" s="4" t="s">
        <v>32</v>
      </c>
      <c r="W179" s="4" t="s">
        <v>32</v>
      </c>
      <c r="X179" s="4" t="s">
        <v>32</v>
      </c>
      <c r="Y179" s="4" t="s">
        <v>32</v>
      </c>
      <c r="Z179" s="4" t="s">
        <v>32</v>
      </c>
      <c r="AA179" s="4" t="s">
        <v>32</v>
      </c>
    </row>
    <row r="180" s="4" customFormat="1" spans="1:27">
      <c r="A180" s="4" t="s">
        <v>36</v>
      </c>
      <c r="B180" s="4" t="s">
        <v>28</v>
      </c>
      <c r="C180" s="4">
        <v>15777068</v>
      </c>
      <c r="D180" s="19" t="s">
        <v>246</v>
      </c>
      <c r="E180" s="21">
        <v>45695.7871180556</v>
      </c>
      <c r="F180" s="4">
        <v>11488.04</v>
      </c>
      <c r="G180" s="4">
        <v>0</v>
      </c>
      <c r="H180" s="4">
        <v>11488.04</v>
      </c>
      <c r="I180" s="4">
        <v>494.93</v>
      </c>
      <c r="J180" s="4">
        <v>0</v>
      </c>
      <c r="K180" s="4">
        <v>494.93</v>
      </c>
      <c r="L180" s="4">
        <v>1749.4</v>
      </c>
      <c r="M180" s="4">
        <v>232670</v>
      </c>
      <c r="N180" s="4">
        <v>245.86</v>
      </c>
      <c r="O180" s="4">
        <v>32699.38</v>
      </c>
      <c r="P180" s="4" t="s">
        <v>34</v>
      </c>
      <c r="Q180" s="4" t="s">
        <v>33</v>
      </c>
      <c r="R180" s="4" t="s">
        <v>164</v>
      </c>
      <c r="S180" s="4">
        <v>0</v>
      </c>
      <c r="T180" s="4">
        <v>11630</v>
      </c>
      <c r="U180" s="4">
        <v>0</v>
      </c>
      <c r="V180" s="4" t="s">
        <v>32</v>
      </c>
      <c r="W180" s="4" t="s">
        <v>32</v>
      </c>
      <c r="X180" s="4" t="s">
        <v>32</v>
      </c>
      <c r="Y180" s="4" t="s">
        <v>32</v>
      </c>
      <c r="Z180" s="4" t="s">
        <v>32</v>
      </c>
      <c r="AA180" s="4" t="s">
        <v>32</v>
      </c>
    </row>
    <row r="181" s="4" customFormat="1" spans="1:27">
      <c r="A181" s="4" t="s">
        <v>36</v>
      </c>
      <c r="B181" s="4" t="s">
        <v>28</v>
      </c>
      <c r="C181" s="4">
        <v>12267077</v>
      </c>
      <c r="D181" s="19" t="s">
        <v>247</v>
      </c>
      <c r="E181" s="21">
        <v>45328.8240162037</v>
      </c>
      <c r="F181" s="4">
        <v>496.74</v>
      </c>
      <c r="G181" s="4">
        <v>0</v>
      </c>
      <c r="H181" s="4">
        <v>496.74</v>
      </c>
      <c r="I181" s="4">
        <v>-42.53</v>
      </c>
      <c r="J181" s="4">
        <v>0</v>
      </c>
      <c r="K181" s="4">
        <v>-42.53</v>
      </c>
      <c r="L181" s="4">
        <v>58.6</v>
      </c>
      <c r="M181" s="4">
        <v>7794</v>
      </c>
      <c r="N181" s="4">
        <v>25.32</v>
      </c>
      <c r="O181" s="4">
        <v>3367.56</v>
      </c>
      <c r="P181" s="4" t="s">
        <v>34</v>
      </c>
      <c r="Q181" s="4" t="s">
        <v>30</v>
      </c>
      <c r="R181" s="4" t="s">
        <v>164</v>
      </c>
      <c r="S181" s="4">
        <v>0</v>
      </c>
      <c r="T181" s="4">
        <v>390</v>
      </c>
      <c r="U181" s="4">
        <v>0</v>
      </c>
      <c r="V181" s="4" t="s">
        <v>32</v>
      </c>
      <c r="W181" s="4" t="s">
        <v>32</v>
      </c>
      <c r="X181" s="4" t="s">
        <v>32</v>
      </c>
      <c r="Y181" s="4" t="s">
        <v>32</v>
      </c>
      <c r="Z181" s="4" t="s">
        <v>32</v>
      </c>
      <c r="AA181" s="4" t="s">
        <v>32</v>
      </c>
    </row>
    <row r="182" s="4" customFormat="1" spans="1:27">
      <c r="A182" s="4" t="s">
        <v>104</v>
      </c>
      <c r="B182" s="4" t="s">
        <v>28</v>
      </c>
      <c r="C182" s="4">
        <v>18179479</v>
      </c>
      <c r="D182" s="19">
        <v>254110954782</v>
      </c>
      <c r="E182" s="21">
        <v>45897.3421527778</v>
      </c>
      <c r="F182" s="4">
        <v>195.4</v>
      </c>
      <c r="G182" s="4">
        <v>0</v>
      </c>
      <c r="H182" s="4">
        <v>195.4</v>
      </c>
      <c r="I182" s="4">
        <v>21.44</v>
      </c>
      <c r="J182" s="4">
        <v>0</v>
      </c>
      <c r="K182" s="4">
        <v>21.44</v>
      </c>
      <c r="L182" s="4">
        <v>63.26</v>
      </c>
      <c r="M182" s="4">
        <v>8414</v>
      </c>
      <c r="N182" s="4">
        <v>4.97</v>
      </c>
      <c r="O182" s="4">
        <v>661.2</v>
      </c>
      <c r="P182" s="4" t="s">
        <v>29</v>
      </c>
      <c r="Q182" s="4" t="s">
        <v>30</v>
      </c>
      <c r="R182" s="4" t="s">
        <v>164</v>
      </c>
      <c r="S182" s="4">
        <v>0</v>
      </c>
      <c r="T182" s="4">
        <v>420</v>
      </c>
      <c r="U182" s="4">
        <v>0</v>
      </c>
      <c r="V182" s="4" t="s">
        <v>32</v>
      </c>
      <c r="W182" s="4" t="s">
        <v>32</v>
      </c>
      <c r="X182" s="4" t="s">
        <v>32</v>
      </c>
      <c r="Y182" s="4" t="s">
        <v>32</v>
      </c>
      <c r="Z182" s="4" t="s">
        <v>32</v>
      </c>
      <c r="AA182" s="4" t="s">
        <v>32</v>
      </c>
    </row>
    <row r="183" s="4" customFormat="1" spans="1:27">
      <c r="A183" s="4" t="s">
        <v>104</v>
      </c>
      <c r="B183" s="4" t="s">
        <v>28</v>
      </c>
      <c r="C183" s="4">
        <v>13559487</v>
      </c>
      <c r="D183" s="19">
        <v>254111912405</v>
      </c>
      <c r="E183" s="21">
        <v>45535.8809375</v>
      </c>
      <c r="F183" s="4">
        <v>229.14</v>
      </c>
      <c r="G183" s="4">
        <v>0</v>
      </c>
      <c r="H183" s="4">
        <v>229.14</v>
      </c>
      <c r="I183" s="4">
        <v>4.94</v>
      </c>
      <c r="J183" s="4">
        <v>0</v>
      </c>
      <c r="K183" s="4">
        <v>4.94</v>
      </c>
      <c r="L183" s="4">
        <v>69.5</v>
      </c>
      <c r="M183" s="4">
        <v>9244</v>
      </c>
      <c r="N183" s="4">
        <v>22.84</v>
      </c>
      <c r="O183" s="4">
        <v>3037.15</v>
      </c>
      <c r="P183" s="4" t="s">
        <v>29</v>
      </c>
      <c r="Q183" s="4" t="s">
        <v>30</v>
      </c>
      <c r="R183" s="4" t="s">
        <v>164</v>
      </c>
      <c r="S183" s="4">
        <v>0</v>
      </c>
      <c r="T183" s="4">
        <v>460</v>
      </c>
      <c r="U183" s="4">
        <v>0</v>
      </c>
      <c r="V183" s="4" t="s">
        <v>32</v>
      </c>
      <c r="W183" s="4" t="s">
        <v>32</v>
      </c>
      <c r="X183" s="4" t="s">
        <v>32</v>
      </c>
      <c r="Y183" s="4" t="s">
        <v>32</v>
      </c>
      <c r="Z183" s="4" t="s">
        <v>32</v>
      </c>
      <c r="AA183" s="4" t="s">
        <v>32</v>
      </c>
    </row>
    <row r="184" s="4" customFormat="1" spans="1:27">
      <c r="A184" s="4" t="s">
        <v>104</v>
      </c>
      <c r="B184" s="4" t="s">
        <v>28</v>
      </c>
      <c r="C184" s="4">
        <v>13412347</v>
      </c>
      <c r="D184" s="19">
        <v>254113550481</v>
      </c>
      <c r="E184" s="21">
        <v>45508.6665277778</v>
      </c>
      <c r="F184" s="4">
        <v>286.22</v>
      </c>
      <c r="G184" s="4">
        <v>0</v>
      </c>
      <c r="H184" s="4">
        <v>286.22</v>
      </c>
      <c r="I184" s="4">
        <v>31.89</v>
      </c>
      <c r="J184" s="4">
        <v>0</v>
      </c>
      <c r="K184" s="4">
        <v>31.89</v>
      </c>
      <c r="L184" s="4">
        <v>118.07</v>
      </c>
      <c r="M184" s="4">
        <v>15703</v>
      </c>
      <c r="N184" s="4">
        <v>18.86</v>
      </c>
      <c r="O184" s="4">
        <v>2508</v>
      </c>
      <c r="P184" s="4" t="s">
        <v>34</v>
      </c>
      <c r="Q184" s="4" t="s">
        <v>30</v>
      </c>
      <c r="R184" s="4" t="s">
        <v>164</v>
      </c>
      <c r="S184" s="4">
        <v>0</v>
      </c>
      <c r="T184" s="4">
        <v>790</v>
      </c>
      <c r="U184" s="4">
        <v>0</v>
      </c>
      <c r="V184" s="4" t="s">
        <v>32</v>
      </c>
      <c r="W184" s="4" t="s">
        <v>32</v>
      </c>
      <c r="X184" s="4" t="s">
        <v>32</v>
      </c>
      <c r="Y184" s="4" t="s">
        <v>32</v>
      </c>
      <c r="Z184" s="4" t="s">
        <v>32</v>
      </c>
      <c r="AA184" s="4" t="s">
        <v>32</v>
      </c>
    </row>
    <row r="185" s="4" customFormat="1" spans="1:27">
      <c r="A185" s="4" t="s">
        <v>104</v>
      </c>
      <c r="B185" s="4" t="s">
        <v>28</v>
      </c>
      <c r="C185" s="4">
        <v>19322957</v>
      </c>
      <c r="D185" s="19">
        <v>254113883464</v>
      </c>
      <c r="E185" s="21">
        <v>45968.5262615741</v>
      </c>
      <c r="F185" s="4">
        <v>331.78</v>
      </c>
      <c r="G185" s="4">
        <v>0</v>
      </c>
      <c r="H185" s="4">
        <v>331.78</v>
      </c>
      <c r="I185" s="4">
        <v>4.24</v>
      </c>
      <c r="J185" s="4">
        <v>0</v>
      </c>
      <c r="K185" s="4">
        <v>4.24</v>
      </c>
      <c r="L185" s="4">
        <v>68.2</v>
      </c>
      <c r="M185" s="4">
        <v>9070</v>
      </c>
      <c r="N185" s="4">
        <v>5.71</v>
      </c>
      <c r="O185" s="4">
        <v>760</v>
      </c>
      <c r="P185" s="4" t="s">
        <v>34</v>
      </c>
      <c r="Q185" s="4" t="s">
        <v>30</v>
      </c>
      <c r="R185" s="4" t="s">
        <v>164</v>
      </c>
      <c r="S185" s="4">
        <v>0</v>
      </c>
      <c r="T185" s="4">
        <v>450</v>
      </c>
      <c r="U185" s="4">
        <v>0</v>
      </c>
      <c r="V185" s="4" t="s">
        <v>32</v>
      </c>
      <c r="W185" s="4" t="s">
        <v>32</v>
      </c>
      <c r="X185" s="4" t="s">
        <v>32</v>
      </c>
      <c r="Y185" s="4" t="s">
        <v>32</v>
      </c>
      <c r="Z185" s="4" t="s">
        <v>32</v>
      </c>
      <c r="AA185" s="4" t="s">
        <v>32</v>
      </c>
    </row>
    <row r="186" s="4" customFormat="1" spans="1:27">
      <c r="A186" s="4" t="s">
        <v>104</v>
      </c>
      <c r="B186" s="4" t="s">
        <v>28</v>
      </c>
      <c r="C186" s="4">
        <v>22180608</v>
      </c>
      <c r="D186" s="19">
        <v>254114092921</v>
      </c>
      <c r="E186" s="21">
        <v>46112.6813657407</v>
      </c>
      <c r="F186" s="4">
        <v>376.3</v>
      </c>
      <c r="G186" s="4">
        <v>0</v>
      </c>
      <c r="H186" s="4">
        <v>376.3</v>
      </c>
      <c r="I186" s="4">
        <v>7.25</v>
      </c>
      <c r="J186" s="4">
        <v>0</v>
      </c>
      <c r="K186" s="4">
        <v>7.25</v>
      </c>
      <c r="L186" s="4">
        <v>61.62</v>
      </c>
      <c r="M186" s="4">
        <v>8195</v>
      </c>
      <c r="N186" s="4">
        <v>58.54</v>
      </c>
      <c r="O186" s="4">
        <v>7785.25</v>
      </c>
      <c r="P186" s="4" t="s">
        <v>34</v>
      </c>
      <c r="Q186" s="4" t="s">
        <v>30</v>
      </c>
      <c r="R186" s="4" t="s">
        <v>164</v>
      </c>
      <c r="S186" s="4">
        <v>0</v>
      </c>
      <c r="T186" s="4">
        <v>410</v>
      </c>
      <c r="U186" s="4">
        <v>0</v>
      </c>
      <c r="V186" s="4" t="s">
        <v>32</v>
      </c>
      <c r="W186" s="4" t="s">
        <v>32</v>
      </c>
      <c r="X186" s="4" t="s">
        <v>32</v>
      </c>
      <c r="Y186" s="4" t="s">
        <v>32</v>
      </c>
      <c r="Z186" s="4" t="s">
        <v>32</v>
      </c>
      <c r="AA186" s="4" t="s">
        <v>32</v>
      </c>
    </row>
    <row r="187" s="4" customFormat="1" spans="1:27">
      <c r="A187" s="4" t="s">
        <v>104</v>
      </c>
      <c r="B187" s="4" t="s">
        <v>28</v>
      </c>
      <c r="C187" s="4">
        <v>12836199</v>
      </c>
      <c r="D187" s="19">
        <v>254115151700</v>
      </c>
      <c r="E187" s="21">
        <v>45409.5500115741</v>
      </c>
      <c r="F187" s="4">
        <v>372.06</v>
      </c>
      <c r="G187" s="4">
        <v>0.2</v>
      </c>
      <c r="H187" s="4">
        <v>371.87</v>
      </c>
      <c r="I187" s="4">
        <v>33.89</v>
      </c>
      <c r="J187" s="4">
        <v>-0.46</v>
      </c>
      <c r="K187" s="4">
        <v>34.35</v>
      </c>
      <c r="L187" s="4">
        <v>78.35</v>
      </c>
      <c r="M187" s="4">
        <v>10420</v>
      </c>
      <c r="N187" s="4">
        <v>25.79</v>
      </c>
      <c r="O187" s="4">
        <v>3429.5</v>
      </c>
      <c r="P187" s="4" t="s">
        <v>34</v>
      </c>
      <c r="Q187" s="4" t="s">
        <v>30</v>
      </c>
      <c r="R187" s="4" t="s">
        <v>164</v>
      </c>
      <c r="S187" s="4">
        <v>0</v>
      </c>
      <c r="T187" s="4">
        <v>520</v>
      </c>
      <c r="U187" s="4">
        <v>0</v>
      </c>
      <c r="V187" s="4" t="s">
        <v>32</v>
      </c>
      <c r="W187" s="4" t="s">
        <v>32</v>
      </c>
      <c r="X187" s="4" t="s">
        <v>32</v>
      </c>
      <c r="Y187" s="4" t="s">
        <v>32</v>
      </c>
      <c r="Z187" s="4" t="s">
        <v>32</v>
      </c>
      <c r="AA187" s="4" t="s">
        <v>32</v>
      </c>
    </row>
    <row r="188" s="4" customFormat="1" spans="1:27">
      <c r="A188" s="4" t="s">
        <v>104</v>
      </c>
      <c r="B188" s="4" t="s">
        <v>28</v>
      </c>
      <c r="C188" s="4">
        <v>8455158</v>
      </c>
      <c r="D188" s="19">
        <v>254115792654</v>
      </c>
      <c r="E188" s="21">
        <v>44782.6896064815</v>
      </c>
      <c r="F188" s="4">
        <v>1202.59</v>
      </c>
      <c r="G188" s="4">
        <v>0</v>
      </c>
      <c r="H188" s="4">
        <v>1202.59</v>
      </c>
      <c r="I188" s="4">
        <v>95.03</v>
      </c>
      <c r="J188" s="4">
        <v>0</v>
      </c>
      <c r="K188" s="4">
        <v>95.03</v>
      </c>
      <c r="L188" s="4">
        <v>242.02</v>
      </c>
      <c r="M188" s="4">
        <v>32188</v>
      </c>
      <c r="N188" s="4">
        <v>147.29</v>
      </c>
      <c r="O188" s="4">
        <v>19589</v>
      </c>
      <c r="P188" s="4" t="s">
        <v>29</v>
      </c>
      <c r="Q188" s="4" t="s">
        <v>30</v>
      </c>
      <c r="R188" s="4" t="s">
        <v>164</v>
      </c>
      <c r="S188" s="4">
        <v>0</v>
      </c>
      <c r="T188" s="4">
        <v>1610</v>
      </c>
      <c r="U188" s="4">
        <v>0</v>
      </c>
      <c r="V188" s="4" t="s">
        <v>32</v>
      </c>
      <c r="W188" s="4" t="s">
        <v>32</v>
      </c>
      <c r="X188" s="4" t="s">
        <v>32</v>
      </c>
      <c r="Y188" s="4" t="s">
        <v>32</v>
      </c>
      <c r="Z188" s="4" t="s">
        <v>32</v>
      </c>
      <c r="AA188" s="4" t="s">
        <v>32</v>
      </c>
    </row>
    <row r="189" s="4" customFormat="1" spans="1:27">
      <c r="A189" s="4" t="s">
        <v>104</v>
      </c>
      <c r="B189" s="4" t="s">
        <v>28</v>
      </c>
      <c r="C189" s="4">
        <v>20460788</v>
      </c>
      <c r="D189" s="19">
        <v>254115978345</v>
      </c>
      <c r="E189" s="21">
        <v>46023.3769675926</v>
      </c>
      <c r="F189" s="4">
        <v>2830.79</v>
      </c>
      <c r="G189" s="4">
        <v>1.8</v>
      </c>
      <c r="H189" s="4">
        <v>2828.98</v>
      </c>
      <c r="I189" s="4">
        <v>128.21</v>
      </c>
      <c r="J189" s="4">
        <v>1.32</v>
      </c>
      <c r="K189" s="4">
        <v>126.9</v>
      </c>
      <c r="L189" s="4">
        <v>371.66</v>
      </c>
      <c r="M189" s="4">
        <v>49431</v>
      </c>
      <c r="N189" s="4">
        <v>270.79</v>
      </c>
      <c r="O189" s="4">
        <v>36015.45</v>
      </c>
      <c r="P189" s="4" t="s">
        <v>29</v>
      </c>
      <c r="Q189" s="4" t="s">
        <v>30</v>
      </c>
      <c r="R189" s="4" t="s">
        <v>164</v>
      </c>
      <c r="S189" s="4">
        <v>0</v>
      </c>
      <c r="T189" s="4">
        <v>2470</v>
      </c>
      <c r="U189" s="4">
        <v>0</v>
      </c>
      <c r="V189" s="4" t="s">
        <v>32</v>
      </c>
      <c r="W189" s="4" t="s">
        <v>32</v>
      </c>
      <c r="X189" s="4" t="s">
        <v>32</v>
      </c>
      <c r="Y189" s="4" t="s">
        <v>32</v>
      </c>
      <c r="Z189" s="4" t="s">
        <v>32</v>
      </c>
      <c r="AA189" s="4" t="s">
        <v>32</v>
      </c>
    </row>
    <row r="190" s="4" customFormat="1" spans="1:27">
      <c r="A190" s="4" t="s">
        <v>104</v>
      </c>
      <c r="B190" s="4" t="s">
        <v>28</v>
      </c>
      <c r="C190" s="4">
        <v>22053319</v>
      </c>
      <c r="D190" s="19">
        <v>254119623455</v>
      </c>
      <c r="E190" s="21">
        <v>46104.9321296296</v>
      </c>
      <c r="F190" s="4">
        <v>4466.29</v>
      </c>
      <c r="G190" s="4">
        <v>0.35</v>
      </c>
      <c r="H190" s="4">
        <v>4465.94</v>
      </c>
      <c r="I190" s="4">
        <v>3.38</v>
      </c>
      <c r="J190" s="4">
        <v>-0.23</v>
      </c>
      <c r="K190" s="4">
        <v>3.61</v>
      </c>
      <c r="L190" s="4">
        <v>412.84</v>
      </c>
      <c r="M190" s="4">
        <v>54908</v>
      </c>
      <c r="N190" s="4">
        <v>392.2</v>
      </c>
      <c r="O190" s="4">
        <v>52162.6</v>
      </c>
      <c r="P190" s="4" t="s">
        <v>34</v>
      </c>
      <c r="Q190" s="4" t="s">
        <v>30</v>
      </c>
      <c r="R190" s="4" t="s">
        <v>164</v>
      </c>
      <c r="S190" s="4">
        <v>0</v>
      </c>
      <c r="T190" s="4">
        <v>2750</v>
      </c>
      <c r="U190" s="4">
        <v>0</v>
      </c>
      <c r="V190" s="4" t="s">
        <v>32</v>
      </c>
      <c r="W190" s="4" t="s">
        <v>32</v>
      </c>
      <c r="X190" s="4" t="s">
        <v>32</v>
      </c>
      <c r="Y190" s="4" t="s">
        <v>32</v>
      </c>
      <c r="Z190" s="4" t="s">
        <v>32</v>
      </c>
      <c r="AA190" s="4" t="s">
        <v>32</v>
      </c>
    </row>
    <row r="191" s="4" customFormat="1" spans="1:27">
      <c r="A191" s="4" t="s">
        <v>104</v>
      </c>
      <c r="B191" s="4" t="s">
        <v>28</v>
      </c>
      <c r="C191" s="4">
        <v>33816</v>
      </c>
      <c r="D191" s="19">
        <v>254700118787</v>
      </c>
      <c r="E191" s="21">
        <v>43826.4609837963</v>
      </c>
      <c r="F191" s="4">
        <v>3010.64</v>
      </c>
      <c r="G191" s="4">
        <v>0.35</v>
      </c>
      <c r="H191" s="4">
        <v>3010.3</v>
      </c>
      <c r="I191" s="4">
        <v>85.03</v>
      </c>
      <c r="J191" s="4">
        <v>0.35</v>
      </c>
      <c r="K191" s="4">
        <v>84.68</v>
      </c>
      <c r="L191" s="4">
        <v>863.18</v>
      </c>
      <c r="M191" s="4">
        <v>114803</v>
      </c>
      <c r="N191" s="4">
        <v>7.97</v>
      </c>
      <c r="O191" s="4">
        <v>1060.2</v>
      </c>
      <c r="P191" s="4" t="s">
        <v>34</v>
      </c>
      <c r="Q191" s="4" t="s">
        <v>30</v>
      </c>
      <c r="R191" s="4" t="s">
        <v>164</v>
      </c>
      <c r="S191" s="4">
        <v>0</v>
      </c>
      <c r="T191" s="4">
        <v>5740</v>
      </c>
      <c r="U191" s="4">
        <v>0</v>
      </c>
      <c r="V191" s="4" t="s">
        <v>32</v>
      </c>
      <c r="W191" s="4" t="s">
        <v>32</v>
      </c>
      <c r="X191" s="4" t="s">
        <v>32</v>
      </c>
      <c r="Y191" s="4" t="s">
        <v>32</v>
      </c>
      <c r="Z191" s="4" t="s">
        <v>32</v>
      </c>
      <c r="AA191" s="4" t="s">
        <v>32</v>
      </c>
    </row>
    <row r="192" s="4" customFormat="1" spans="1:27">
      <c r="A192" s="4" t="s">
        <v>104</v>
      </c>
      <c r="B192" s="4" t="s">
        <v>28</v>
      </c>
      <c r="C192" s="4">
        <v>22679109</v>
      </c>
      <c r="D192" s="19">
        <v>254703582991</v>
      </c>
      <c r="E192" s="21">
        <v>46142.8895023148</v>
      </c>
      <c r="F192" s="4">
        <v>872.83</v>
      </c>
      <c r="G192" s="4">
        <v>0</v>
      </c>
      <c r="H192" s="4">
        <v>872.83</v>
      </c>
      <c r="I192" s="4">
        <v>24.99</v>
      </c>
      <c r="J192" s="4">
        <v>0</v>
      </c>
      <c r="K192" s="4">
        <v>24.99</v>
      </c>
      <c r="L192" s="4">
        <v>71.95</v>
      </c>
      <c r="M192" s="4">
        <v>9570</v>
      </c>
      <c r="N192" s="4">
        <v>68.36</v>
      </c>
      <c r="O192" s="4">
        <v>9091.5</v>
      </c>
      <c r="P192" s="4" t="s">
        <v>29</v>
      </c>
      <c r="Q192" s="4" t="s">
        <v>30</v>
      </c>
      <c r="R192" s="4" t="s">
        <v>164</v>
      </c>
      <c r="S192" s="4">
        <v>0</v>
      </c>
      <c r="T192" s="4">
        <v>480</v>
      </c>
      <c r="U192" s="4">
        <v>0</v>
      </c>
      <c r="V192" s="4" t="s">
        <v>32</v>
      </c>
      <c r="W192" s="4" t="s">
        <v>32</v>
      </c>
      <c r="X192" s="4" t="s">
        <v>32</v>
      </c>
      <c r="Y192" s="4" t="s">
        <v>32</v>
      </c>
      <c r="Z192" s="4" t="s">
        <v>32</v>
      </c>
      <c r="AA192" s="4" t="s">
        <v>32</v>
      </c>
    </row>
    <row r="193" s="4" customFormat="1" spans="1:27">
      <c r="A193" s="4" t="s">
        <v>104</v>
      </c>
      <c r="B193" s="4" t="s">
        <v>28</v>
      </c>
      <c r="C193" s="4">
        <v>4612969</v>
      </c>
      <c r="D193" s="19">
        <v>254704114547</v>
      </c>
      <c r="E193" s="21">
        <v>44339.3442476852</v>
      </c>
      <c r="F193" s="4">
        <v>1911.21</v>
      </c>
      <c r="G193" s="4">
        <v>0.26</v>
      </c>
      <c r="H193" s="4">
        <v>1910.95</v>
      </c>
      <c r="I193" s="4">
        <v>212.21</v>
      </c>
      <c r="J193" s="4">
        <v>0.26</v>
      </c>
      <c r="K193" s="4">
        <v>211.94</v>
      </c>
      <c r="L193" s="4">
        <v>361.74</v>
      </c>
      <c r="M193" s="4">
        <v>48112</v>
      </c>
      <c r="N193" s="4">
        <v>268.46</v>
      </c>
      <c r="O193" s="4">
        <v>35705.75</v>
      </c>
      <c r="P193" s="4" t="s">
        <v>34</v>
      </c>
      <c r="Q193" s="4" t="s">
        <v>30</v>
      </c>
      <c r="R193" s="4" t="s">
        <v>164</v>
      </c>
      <c r="S193" s="4">
        <v>0</v>
      </c>
      <c r="T193" s="4">
        <v>2410</v>
      </c>
      <c r="U193" s="4">
        <v>0</v>
      </c>
      <c r="V193" s="4" t="s">
        <v>32</v>
      </c>
      <c r="W193" s="4" t="s">
        <v>32</v>
      </c>
      <c r="X193" s="4" t="s">
        <v>32</v>
      </c>
      <c r="Y193" s="4" t="s">
        <v>32</v>
      </c>
      <c r="Z193" s="4" t="s">
        <v>32</v>
      </c>
      <c r="AA193" s="4" t="s">
        <v>32</v>
      </c>
    </row>
    <row r="194" s="4" customFormat="1" spans="1:27">
      <c r="A194" s="4" t="s">
        <v>104</v>
      </c>
      <c r="B194" s="4" t="s">
        <v>28</v>
      </c>
      <c r="C194" s="4">
        <v>15361986</v>
      </c>
      <c r="D194" s="19">
        <v>254704158703</v>
      </c>
      <c r="E194" s="21">
        <v>45665.4764583333</v>
      </c>
      <c r="F194" s="4">
        <v>7854.85</v>
      </c>
      <c r="G194" s="4">
        <v>0.18</v>
      </c>
      <c r="H194" s="4">
        <v>7854.67</v>
      </c>
      <c r="I194" s="4">
        <v>69.98</v>
      </c>
      <c r="J194" s="4">
        <v>0.18</v>
      </c>
      <c r="K194" s="4">
        <v>69.8</v>
      </c>
      <c r="L194" s="4">
        <v>940.25</v>
      </c>
      <c r="M194" s="4">
        <v>125053</v>
      </c>
      <c r="N194" s="4">
        <v>144.95</v>
      </c>
      <c r="O194" s="4">
        <v>19278.35</v>
      </c>
      <c r="P194" s="4" t="s">
        <v>29</v>
      </c>
      <c r="Q194" s="4" t="s">
        <v>30</v>
      </c>
      <c r="R194" s="4" t="s">
        <v>164</v>
      </c>
      <c r="S194" s="4">
        <v>0</v>
      </c>
      <c r="T194" s="4">
        <v>6250</v>
      </c>
      <c r="U194" s="4">
        <v>0</v>
      </c>
      <c r="V194" s="4" t="s">
        <v>32</v>
      </c>
      <c r="W194" s="4" t="s">
        <v>32</v>
      </c>
      <c r="X194" s="4" t="s">
        <v>32</v>
      </c>
      <c r="Y194" s="4" t="s">
        <v>32</v>
      </c>
      <c r="Z194" s="4" t="s">
        <v>32</v>
      </c>
      <c r="AA194" s="4" t="s">
        <v>32</v>
      </c>
    </row>
    <row r="195" s="4" customFormat="1" spans="1:27">
      <c r="A195" s="4" t="s">
        <v>104</v>
      </c>
      <c r="B195" s="4" t="s">
        <v>28</v>
      </c>
      <c r="C195" s="4">
        <v>17206919</v>
      </c>
      <c r="D195" s="19">
        <v>254704695335</v>
      </c>
      <c r="E195" s="21">
        <v>45839.2948032407</v>
      </c>
      <c r="F195" s="4">
        <v>347.46</v>
      </c>
      <c r="G195" s="4">
        <v>0.02</v>
      </c>
      <c r="H195" s="4">
        <v>347.45</v>
      </c>
      <c r="I195" s="4">
        <v>-13.03</v>
      </c>
      <c r="J195" s="4">
        <v>0</v>
      </c>
      <c r="K195" s="4">
        <v>-13.03</v>
      </c>
      <c r="L195" s="4">
        <v>107.9</v>
      </c>
      <c r="M195" s="4">
        <v>14351</v>
      </c>
      <c r="N195" s="4">
        <v>27.07</v>
      </c>
      <c r="O195" s="4">
        <v>3600.5</v>
      </c>
      <c r="P195" s="4" t="s">
        <v>34</v>
      </c>
      <c r="Q195" s="4" t="s">
        <v>30</v>
      </c>
      <c r="R195" s="4" t="s">
        <v>164</v>
      </c>
      <c r="S195" s="4">
        <v>0</v>
      </c>
      <c r="T195" s="4">
        <v>720</v>
      </c>
      <c r="U195" s="4">
        <v>0</v>
      </c>
      <c r="V195" s="4" t="s">
        <v>32</v>
      </c>
      <c r="W195" s="4" t="s">
        <v>32</v>
      </c>
      <c r="X195" s="4" t="s">
        <v>32</v>
      </c>
      <c r="Y195" s="4" t="s">
        <v>32</v>
      </c>
      <c r="Z195" s="4" t="s">
        <v>32</v>
      </c>
      <c r="AA195" s="4" t="s">
        <v>32</v>
      </c>
    </row>
    <row r="196" s="4" customFormat="1" spans="1:27">
      <c r="A196" s="4" t="s">
        <v>104</v>
      </c>
      <c r="B196" s="4" t="s">
        <v>28</v>
      </c>
      <c r="C196" s="4">
        <v>12602626</v>
      </c>
      <c r="D196" s="19">
        <v>254705000972</v>
      </c>
      <c r="E196" s="21">
        <v>45381.950162037</v>
      </c>
      <c r="F196" s="4">
        <v>5530.47</v>
      </c>
      <c r="G196" s="4">
        <v>0.15</v>
      </c>
      <c r="H196" s="4">
        <v>5530.32</v>
      </c>
      <c r="I196" s="4">
        <v>677.44</v>
      </c>
      <c r="J196" s="4">
        <v>0.15</v>
      </c>
      <c r="K196" s="4">
        <v>677.29</v>
      </c>
      <c r="L196" s="4">
        <v>720</v>
      </c>
      <c r="M196" s="4">
        <v>95760</v>
      </c>
      <c r="N196" s="4">
        <v>443.79</v>
      </c>
      <c r="O196" s="4">
        <v>59023.5</v>
      </c>
      <c r="P196" s="4" t="s">
        <v>34</v>
      </c>
      <c r="Q196" s="4" t="s">
        <v>30</v>
      </c>
      <c r="R196" s="4" t="s">
        <v>164</v>
      </c>
      <c r="S196" s="4">
        <v>0</v>
      </c>
      <c r="T196" s="4">
        <v>4790</v>
      </c>
      <c r="U196" s="4">
        <v>0</v>
      </c>
      <c r="V196" s="4" t="s">
        <v>32</v>
      </c>
      <c r="W196" s="4" t="s">
        <v>32</v>
      </c>
      <c r="X196" s="4" t="s">
        <v>32</v>
      </c>
      <c r="Y196" s="4" t="s">
        <v>32</v>
      </c>
      <c r="Z196" s="4" t="s">
        <v>32</v>
      </c>
      <c r="AA196" s="4" t="s">
        <v>32</v>
      </c>
    </row>
    <row r="197" s="4" customFormat="1" spans="1:27">
      <c r="A197" s="4" t="s">
        <v>104</v>
      </c>
      <c r="B197" s="4" t="s">
        <v>28</v>
      </c>
      <c r="C197" s="4">
        <v>839358</v>
      </c>
      <c r="D197" s="19">
        <v>254706670874</v>
      </c>
      <c r="E197" s="21">
        <v>43970.5230671296</v>
      </c>
      <c r="F197" s="4">
        <v>117.31</v>
      </c>
      <c r="G197" s="4">
        <v>64.53</v>
      </c>
      <c r="H197" s="4">
        <v>52.79</v>
      </c>
      <c r="I197" s="4">
        <v>32.62</v>
      </c>
      <c r="J197" s="4">
        <v>23.46</v>
      </c>
      <c r="K197" s="4">
        <v>9.16</v>
      </c>
      <c r="L197" s="4">
        <v>64.71</v>
      </c>
      <c r="M197" s="4">
        <v>8606</v>
      </c>
      <c r="N197" s="4">
        <v>1.31</v>
      </c>
      <c r="O197" s="4">
        <v>173.85</v>
      </c>
      <c r="P197" s="4" t="s">
        <v>35</v>
      </c>
      <c r="Q197" s="4" t="s">
        <v>30</v>
      </c>
      <c r="R197" s="4" t="s">
        <v>164</v>
      </c>
      <c r="S197" s="4">
        <v>2000</v>
      </c>
      <c r="T197" s="4">
        <v>215</v>
      </c>
      <c r="U197" s="4">
        <v>0</v>
      </c>
      <c r="V197" s="4" t="s">
        <v>32</v>
      </c>
      <c r="W197" s="4" t="s">
        <v>32</v>
      </c>
      <c r="X197" s="4" t="s">
        <v>32</v>
      </c>
      <c r="Y197" s="4" t="s">
        <v>32</v>
      </c>
      <c r="Z197" s="4" t="s">
        <v>32</v>
      </c>
      <c r="AA197" s="4" t="s">
        <v>32</v>
      </c>
    </row>
    <row r="198" s="4" customFormat="1" spans="1:27">
      <c r="A198" s="4" t="s">
        <v>104</v>
      </c>
      <c r="B198" s="4" t="s">
        <v>28</v>
      </c>
      <c r="C198" s="4">
        <v>19161116</v>
      </c>
      <c r="D198" s="19">
        <v>254706880969</v>
      </c>
      <c r="E198" s="21">
        <v>45958.5213773148</v>
      </c>
      <c r="F198" s="4">
        <v>677.04</v>
      </c>
      <c r="G198" s="4">
        <v>0.2</v>
      </c>
      <c r="H198" s="4">
        <v>676.85</v>
      </c>
      <c r="I198" s="4">
        <v>39.99</v>
      </c>
      <c r="J198" s="4">
        <v>-0.05</v>
      </c>
      <c r="K198" s="4">
        <v>40.04</v>
      </c>
      <c r="L198" s="4">
        <v>167.26</v>
      </c>
      <c r="M198" s="4">
        <v>22245</v>
      </c>
      <c r="N198" s="4">
        <v>78.06</v>
      </c>
      <c r="O198" s="4">
        <v>10381.6</v>
      </c>
      <c r="P198" s="4" t="s">
        <v>29</v>
      </c>
      <c r="Q198" s="4" t="s">
        <v>30</v>
      </c>
      <c r="R198" s="4" t="s">
        <v>164</v>
      </c>
      <c r="S198" s="4">
        <v>0</v>
      </c>
      <c r="T198" s="4">
        <v>1110</v>
      </c>
      <c r="U198" s="4">
        <v>0</v>
      </c>
      <c r="V198" s="4" t="s">
        <v>32</v>
      </c>
      <c r="W198" s="4" t="s">
        <v>32</v>
      </c>
      <c r="X198" s="4" t="s">
        <v>32</v>
      </c>
      <c r="Y198" s="4" t="s">
        <v>32</v>
      </c>
      <c r="Z198" s="4" t="s">
        <v>32</v>
      </c>
      <c r="AA198" s="4" t="s">
        <v>32</v>
      </c>
    </row>
    <row r="199" s="4" customFormat="1" spans="1:27">
      <c r="A199" s="4" t="s">
        <v>104</v>
      </c>
      <c r="B199" s="4" t="s">
        <v>28</v>
      </c>
      <c r="C199" s="4">
        <v>16742578</v>
      </c>
      <c r="D199" s="19">
        <v>254707200525</v>
      </c>
      <c r="E199" s="21">
        <v>45798.3968055556</v>
      </c>
      <c r="F199" s="4">
        <v>998.75</v>
      </c>
      <c r="G199" s="4">
        <v>0</v>
      </c>
      <c r="H199" s="4">
        <v>998.75</v>
      </c>
      <c r="I199" s="4">
        <v>41.22</v>
      </c>
      <c r="J199" s="4">
        <v>0</v>
      </c>
      <c r="K199" s="4">
        <v>41.22</v>
      </c>
      <c r="L199" s="4">
        <v>199.7</v>
      </c>
      <c r="M199" s="4">
        <v>26560</v>
      </c>
      <c r="N199" s="4">
        <v>189.71</v>
      </c>
      <c r="O199" s="4">
        <v>25232</v>
      </c>
      <c r="P199" s="4" t="s">
        <v>29</v>
      </c>
      <c r="Q199" s="4" t="s">
        <v>30</v>
      </c>
      <c r="R199" s="4" t="s">
        <v>164</v>
      </c>
      <c r="S199" s="4">
        <v>0</v>
      </c>
      <c r="T199" s="4">
        <v>1330</v>
      </c>
      <c r="U199" s="4">
        <v>0</v>
      </c>
      <c r="V199" s="4" t="s">
        <v>32</v>
      </c>
      <c r="W199" s="4" t="s">
        <v>32</v>
      </c>
      <c r="X199" s="4" t="s">
        <v>32</v>
      </c>
      <c r="Y199" s="4" t="s">
        <v>32</v>
      </c>
      <c r="Z199" s="4" t="s">
        <v>32</v>
      </c>
      <c r="AA199" s="4" t="s">
        <v>32</v>
      </c>
    </row>
    <row r="200" s="4" customFormat="1" spans="1:27">
      <c r="A200" s="4" t="s">
        <v>104</v>
      </c>
      <c r="B200" s="4" t="s">
        <v>28</v>
      </c>
      <c r="C200" s="4">
        <v>12445717</v>
      </c>
      <c r="D200" s="19">
        <v>254708329504</v>
      </c>
      <c r="E200" s="21">
        <v>45360.3906365741</v>
      </c>
      <c r="F200" s="4">
        <v>737.8</v>
      </c>
      <c r="G200" s="4">
        <v>0.29</v>
      </c>
      <c r="H200" s="4">
        <v>737.52</v>
      </c>
      <c r="I200" s="4">
        <v>54.21</v>
      </c>
      <c r="J200" s="4">
        <v>0.09</v>
      </c>
      <c r="K200" s="4">
        <v>54.12</v>
      </c>
      <c r="L200" s="4">
        <v>57.08</v>
      </c>
      <c r="M200" s="4">
        <v>7592</v>
      </c>
      <c r="N200" s="4">
        <v>54.23</v>
      </c>
      <c r="O200" s="4">
        <v>7212.4</v>
      </c>
      <c r="P200" s="4" t="s">
        <v>29</v>
      </c>
      <c r="Q200" s="4" t="s">
        <v>30</v>
      </c>
      <c r="R200" s="4" t="s">
        <v>164</v>
      </c>
      <c r="S200" s="4">
        <v>0</v>
      </c>
      <c r="T200" s="4">
        <v>380</v>
      </c>
      <c r="U200" s="4">
        <v>0</v>
      </c>
      <c r="V200" s="4" t="s">
        <v>32</v>
      </c>
      <c r="W200" s="4" t="s">
        <v>32</v>
      </c>
      <c r="X200" s="4" t="s">
        <v>32</v>
      </c>
      <c r="Y200" s="4" t="s">
        <v>32</v>
      </c>
      <c r="Z200" s="4" t="s">
        <v>32</v>
      </c>
      <c r="AA200" s="4" t="s">
        <v>32</v>
      </c>
    </row>
    <row r="201" s="4" customFormat="1" spans="1:27">
      <c r="A201" s="4" t="s">
        <v>104</v>
      </c>
      <c r="B201" s="4" t="s">
        <v>28</v>
      </c>
      <c r="C201" s="4">
        <v>902309</v>
      </c>
      <c r="D201" s="19">
        <v>254710331308</v>
      </c>
      <c r="E201" s="21">
        <v>43981.4731597222</v>
      </c>
      <c r="F201" s="4">
        <v>4787.08</v>
      </c>
      <c r="G201" s="4">
        <v>916.56</v>
      </c>
      <c r="H201" s="4">
        <v>3870.51</v>
      </c>
      <c r="I201" s="4">
        <v>-860.69</v>
      </c>
      <c r="J201" s="4">
        <v>-122.31</v>
      </c>
      <c r="K201" s="4">
        <v>-738.38</v>
      </c>
      <c r="L201" s="4">
        <v>1871.5</v>
      </c>
      <c r="M201" s="4">
        <v>248909</v>
      </c>
      <c r="N201" s="4">
        <v>99.06</v>
      </c>
      <c r="O201" s="4">
        <v>13174.6</v>
      </c>
      <c r="P201" s="4" t="s">
        <v>35</v>
      </c>
      <c r="Q201" s="4" t="s">
        <v>33</v>
      </c>
      <c r="R201" s="4" t="s">
        <v>164</v>
      </c>
      <c r="S201" s="4">
        <v>5000</v>
      </c>
      <c r="T201" s="4">
        <v>6225</v>
      </c>
      <c r="U201" s="4">
        <v>0</v>
      </c>
      <c r="V201" s="4" t="s">
        <v>32</v>
      </c>
      <c r="W201" s="4" t="s">
        <v>32</v>
      </c>
      <c r="X201" s="4" t="s">
        <v>32</v>
      </c>
      <c r="Y201" s="4" t="s">
        <v>32</v>
      </c>
      <c r="Z201" s="4" t="s">
        <v>32</v>
      </c>
      <c r="AA201" s="4" t="s">
        <v>32</v>
      </c>
    </row>
    <row r="202" s="4" customFormat="1" spans="1:27">
      <c r="A202" s="4" t="s">
        <v>104</v>
      </c>
      <c r="B202" s="4" t="s">
        <v>28</v>
      </c>
      <c r="C202" s="4">
        <v>22446136</v>
      </c>
      <c r="D202" s="19">
        <v>254712681043</v>
      </c>
      <c r="E202" s="21">
        <v>46128.0787152778</v>
      </c>
      <c r="F202" s="4">
        <v>246.08</v>
      </c>
      <c r="G202" s="4">
        <v>0</v>
      </c>
      <c r="H202" s="4">
        <v>246.08</v>
      </c>
      <c r="I202" s="4">
        <v>-2.8</v>
      </c>
      <c r="J202" s="4">
        <v>0</v>
      </c>
      <c r="K202" s="4">
        <v>-2.8</v>
      </c>
      <c r="L202" s="4">
        <v>56.99</v>
      </c>
      <c r="M202" s="4">
        <v>7580</v>
      </c>
      <c r="N202" s="4">
        <v>54.14</v>
      </c>
      <c r="O202" s="4">
        <v>7201</v>
      </c>
      <c r="P202" s="4" t="s">
        <v>29</v>
      </c>
      <c r="Q202" s="4" t="s">
        <v>30</v>
      </c>
      <c r="R202" s="4" t="s">
        <v>164</v>
      </c>
      <c r="S202" s="4">
        <v>0</v>
      </c>
      <c r="T202" s="4">
        <v>380</v>
      </c>
      <c r="U202" s="4">
        <v>0</v>
      </c>
      <c r="V202" s="4" t="s">
        <v>32</v>
      </c>
      <c r="W202" s="4" t="s">
        <v>32</v>
      </c>
      <c r="X202" s="4" t="s">
        <v>32</v>
      </c>
      <c r="Y202" s="4" t="s">
        <v>32</v>
      </c>
      <c r="Z202" s="4" t="s">
        <v>32</v>
      </c>
      <c r="AA202" s="4" t="s">
        <v>32</v>
      </c>
    </row>
    <row r="203" s="4" customFormat="1" spans="1:27">
      <c r="A203" s="4" t="s">
        <v>104</v>
      </c>
      <c r="B203" s="4" t="s">
        <v>28</v>
      </c>
      <c r="C203" s="4">
        <v>13433847</v>
      </c>
      <c r="D203" s="19">
        <v>254713641613</v>
      </c>
      <c r="E203" s="21">
        <v>45514.6011574074</v>
      </c>
      <c r="F203" s="4">
        <v>13368.64</v>
      </c>
      <c r="G203" s="4">
        <v>0.08</v>
      </c>
      <c r="H203" s="4">
        <v>13368.56</v>
      </c>
      <c r="I203" s="4">
        <v>-744.42</v>
      </c>
      <c r="J203" s="4">
        <v>0.08</v>
      </c>
      <c r="K203" s="4">
        <v>-744.51</v>
      </c>
      <c r="L203" s="4">
        <v>1563.01</v>
      </c>
      <c r="M203" s="4">
        <v>207880</v>
      </c>
      <c r="N203" s="4">
        <v>171.43</v>
      </c>
      <c r="O203" s="4">
        <v>22800</v>
      </c>
      <c r="P203" s="4" t="s">
        <v>29</v>
      </c>
      <c r="Q203" s="4" t="s">
        <v>33</v>
      </c>
      <c r="R203" s="4" t="s">
        <v>164</v>
      </c>
      <c r="S203" s="4">
        <v>0</v>
      </c>
      <c r="T203" s="4">
        <v>10390</v>
      </c>
      <c r="U203" s="4">
        <v>0</v>
      </c>
      <c r="V203" s="4" t="s">
        <v>32</v>
      </c>
      <c r="W203" s="4" t="s">
        <v>32</v>
      </c>
      <c r="X203" s="4" t="s">
        <v>32</v>
      </c>
      <c r="Y203" s="4" t="s">
        <v>32</v>
      </c>
      <c r="Z203" s="4" t="s">
        <v>32</v>
      </c>
      <c r="AA203" s="4" t="s">
        <v>32</v>
      </c>
    </row>
    <row r="204" s="4" customFormat="1" spans="1:27">
      <c r="A204" s="4" t="s">
        <v>104</v>
      </c>
      <c r="B204" s="4" t="s">
        <v>28</v>
      </c>
      <c r="C204" s="4">
        <v>16353767</v>
      </c>
      <c r="D204" s="19">
        <v>254714173303</v>
      </c>
      <c r="E204" s="21">
        <v>45769.5309953704</v>
      </c>
      <c r="F204" s="4">
        <v>634.84</v>
      </c>
      <c r="G204" s="4">
        <v>0.01</v>
      </c>
      <c r="H204" s="4">
        <v>634.83</v>
      </c>
      <c r="I204" s="4">
        <v>-47.35</v>
      </c>
      <c r="J204" s="4">
        <v>0.01</v>
      </c>
      <c r="K204" s="4">
        <v>-47.36</v>
      </c>
      <c r="L204" s="4">
        <v>61.28</v>
      </c>
      <c r="M204" s="4">
        <v>8150</v>
      </c>
      <c r="N204" s="4">
        <v>11.59</v>
      </c>
      <c r="O204" s="4">
        <v>1541.85</v>
      </c>
      <c r="P204" s="4" t="s">
        <v>34</v>
      </c>
      <c r="Q204" s="4" t="s">
        <v>30</v>
      </c>
      <c r="R204" s="4" t="s">
        <v>164</v>
      </c>
      <c r="S204" s="4">
        <v>0</v>
      </c>
      <c r="T204" s="4">
        <v>410</v>
      </c>
      <c r="U204" s="4">
        <v>1</v>
      </c>
      <c r="V204" s="4">
        <v>1</v>
      </c>
      <c r="W204" s="4" t="s">
        <v>32</v>
      </c>
      <c r="X204" s="4" t="s">
        <v>32</v>
      </c>
      <c r="Y204" s="4" t="s">
        <v>32</v>
      </c>
      <c r="Z204" s="4" t="s">
        <v>32</v>
      </c>
      <c r="AA204" s="4" t="s">
        <v>32</v>
      </c>
    </row>
    <row r="205" s="4" customFormat="1" spans="1:27">
      <c r="A205" s="4" t="s">
        <v>104</v>
      </c>
      <c r="B205" s="4" t="s">
        <v>28</v>
      </c>
      <c r="C205" s="4">
        <v>2026166</v>
      </c>
      <c r="D205" s="19">
        <v>254714241197</v>
      </c>
      <c r="E205" s="21">
        <v>44043.5255787037</v>
      </c>
      <c r="F205" s="4">
        <v>1003.23</v>
      </c>
      <c r="G205" s="4">
        <v>4.93</v>
      </c>
      <c r="H205" s="4">
        <v>998.29</v>
      </c>
      <c r="I205" s="4">
        <v>10.28</v>
      </c>
      <c r="J205" s="4">
        <v>4.93</v>
      </c>
      <c r="K205" s="4">
        <v>6.1</v>
      </c>
      <c r="L205" s="4">
        <v>231.29</v>
      </c>
      <c r="M205" s="4">
        <v>30761</v>
      </c>
      <c r="N205" s="4">
        <v>146.76</v>
      </c>
      <c r="O205" s="4">
        <v>19518.7</v>
      </c>
      <c r="P205" s="4" t="s">
        <v>34</v>
      </c>
      <c r="Q205" s="4" t="s">
        <v>30</v>
      </c>
      <c r="R205" s="4" t="s">
        <v>164</v>
      </c>
      <c r="S205" s="4">
        <v>0</v>
      </c>
      <c r="T205" s="4">
        <v>1540</v>
      </c>
      <c r="U205" s="4">
        <v>0</v>
      </c>
      <c r="V205" s="4" t="s">
        <v>32</v>
      </c>
      <c r="W205" s="4" t="s">
        <v>32</v>
      </c>
      <c r="X205" s="4" t="s">
        <v>32</v>
      </c>
      <c r="Y205" s="4" t="s">
        <v>32</v>
      </c>
      <c r="Z205" s="4" t="s">
        <v>32</v>
      </c>
      <c r="AA205" s="4" t="s">
        <v>32</v>
      </c>
    </row>
    <row r="206" s="4" customFormat="1" spans="1:27">
      <c r="A206" s="4" t="s">
        <v>104</v>
      </c>
      <c r="B206" s="4" t="s">
        <v>28</v>
      </c>
      <c r="C206" s="4">
        <v>16613037</v>
      </c>
      <c r="D206" s="19">
        <v>254714398889</v>
      </c>
      <c r="E206" s="21">
        <v>45784.9471990741</v>
      </c>
      <c r="F206" s="4">
        <v>4473.47</v>
      </c>
      <c r="G206" s="4">
        <v>0</v>
      </c>
      <c r="H206" s="4">
        <v>4473.47</v>
      </c>
      <c r="I206" s="4">
        <v>-28.9</v>
      </c>
      <c r="J206" s="4">
        <v>0</v>
      </c>
      <c r="K206" s="4">
        <v>-28.15</v>
      </c>
      <c r="L206" s="4">
        <v>297.63</v>
      </c>
      <c r="M206" s="4">
        <v>39585</v>
      </c>
      <c r="N206" s="4">
        <v>258.04</v>
      </c>
      <c r="O206" s="4">
        <v>34318.75</v>
      </c>
      <c r="P206" s="4" t="s">
        <v>34</v>
      </c>
      <c r="Q206" s="4" t="s">
        <v>30</v>
      </c>
      <c r="R206" s="4" t="s">
        <v>164</v>
      </c>
      <c r="S206" s="4">
        <v>0</v>
      </c>
      <c r="T206" s="4">
        <v>1980</v>
      </c>
      <c r="U206" s="4">
        <v>0</v>
      </c>
      <c r="V206" s="4" t="s">
        <v>32</v>
      </c>
      <c r="W206" s="4" t="s">
        <v>32</v>
      </c>
      <c r="X206" s="4" t="s">
        <v>32</v>
      </c>
      <c r="Y206" s="4" t="s">
        <v>32</v>
      </c>
      <c r="Z206" s="4" t="s">
        <v>32</v>
      </c>
      <c r="AA206" s="4" t="s">
        <v>32</v>
      </c>
    </row>
    <row r="207" s="4" customFormat="1" spans="1:27">
      <c r="A207" s="4" t="s">
        <v>104</v>
      </c>
      <c r="B207" s="4" t="s">
        <v>28</v>
      </c>
      <c r="C207" s="4">
        <v>8544378</v>
      </c>
      <c r="D207" s="19">
        <v>254714852588</v>
      </c>
      <c r="E207" s="21">
        <v>44794.9288194445</v>
      </c>
      <c r="F207" s="4">
        <v>166.89</v>
      </c>
      <c r="G207" s="4">
        <v>0.59</v>
      </c>
      <c r="H207" s="4">
        <v>166.31</v>
      </c>
      <c r="I207" s="4">
        <v>-5.4</v>
      </c>
      <c r="J207" s="4">
        <v>0.59</v>
      </c>
      <c r="K207" s="4">
        <v>-5.23</v>
      </c>
      <c r="L207" s="4">
        <v>64.35</v>
      </c>
      <c r="M207" s="4">
        <v>8559</v>
      </c>
      <c r="N207" s="4">
        <v>18.34</v>
      </c>
      <c r="O207" s="4">
        <v>2438.65</v>
      </c>
      <c r="P207" s="4" t="s">
        <v>34</v>
      </c>
      <c r="Q207" s="4" t="s">
        <v>30</v>
      </c>
      <c r="R207" s="4" t="s">
        <v>164</v>
      </c>
      <c r="S207" s="4">
        <v>0</v>
      </c>
      <c r="T207" s="4">
        <v>430</v>
      </c>
      <c r="U207" s="4">
        <v>0</v>
      </c>
      <c r="V207" s="4" t="s">
        <v>32</v>
      </c>
      <c r="W207" s="4" t="s">
        <v>32</v>
      </c>
      <c r="X207" s="4" t="s">
        <v>32</v>
      </c>
      <c r="Y207" s="4" t="s">
        <v>32</v>
      </c>
      <c r="Z207" s="4" t="s">
        <v>32</v>
      </c>
      <c r="AA207" s="4" t="s">
        <v>32</v>
      </c>
    </row>
    <row r="208" s="4" customFormat="1" spans="1:27">
      <c r="A208" s="4" t="s">
        <v>104</v>
      </c>
      <c r="B208" s="4" t="s">
        <v>28</v>
      </c>
      <c r="C208" s="4">
        <v>12531906</v>
      </c>
      <c r="D208" s="19">
        <v>254714981951</v>
      </c>
      <c r="E208" s="21">
        <v>45372.7467013889</v>
      </c>
      <c r="F208" s="4">
        <v>1109.27</v>
      </c>
      <c r="G208" s="4">
        <v>0</v>
      </c>
      <c r="H208" s="4">
        <v>1109.27</v>
      </c>
      <c r="I208" s="4">
        <v>46.29</v>
      </c>
      <c r="J208" s="4">
        <v>0</v>
      </c>
      <c r="K208" s="4">
        <v>46.29</v>
      </c>
      <c r="L208" s="4">
        <v>316.89</v>
      </c>
      <c r="M208" s="4">
        <v>42146</v>
      </c>
      <c r="N208" s="4">
        <v>36.29</v>
      </c>
      <c r="O208" s="4">
        <v>4826.95</v>
      </c>
      <c r="P208" s="4" t="s">
        <v>34</v>
      </c>
      <c r="Q208" s="4" t="s">
        <v>30</v>
      </c>
      <c r="R208" s="4" t="s">
        <v>164</v>
      </c>
      <c r="S208" s="4">
        <v>0</v>
      </c>
      <c r="T208" s="4">
        <v>2110</v>
      </c>
      <c r="U208" s="4">
        <v>0</v>
      </c>
      <c r="V208" s="4" t="s">
        <v>32</v>
      </c>
      <c r="W208" s="4" t="s">
        <v>32</v>
      </c>
      <c r="X208" s="4" t="s">
        <v>32</v>
      </c>
      <c r="Y208" s="4" t="s">
        <v>32</v>
      </c>
      <c r="Z208" s="4" t="s">
        <v>32</v>
      </c>
      <c r="AA208" s="4" t="s">
        <v>32</v>
      </c>
    </row>
    <row r="209" s="4" customFormat="1" spans="1:27">
      <c r="A209" s="4" t="s">
        <v>104</v>
      </c>
      <c r="B209" s="4" t="s">
        <v>28</v>
      </c>
      <c r="C209" s="4">
        <v>18563688</v>
      </c>
      <c r="D209" s="19">
        <v>254715135415</v>
      </c>
      <c r="E209" s="21">
        <v>45920.2881597222</v>
      </c>
      <c r="F209" s="4">
        <v>181.5</v>
      </c>
      <c r="G209" s="4">
        <v>0.02</v>
      </c>
      <c r="H209" s="4">
        <v>181.48</v>
      </c>
      <c r="I209" s="4">
        <v>10.71</v>
      </c>
      <c r="J209" s="4">
        <v>-0.34</v>
      </c>
      <c r="K209" s="4">
        <v>11.05</v>
      </c>
      <c r="L209" s="4">
        <v>64.55</v>
      </c>
      <c r="M209" s="4">
        <v>8585</v>
      </c>
      <c r="N209" s="4">
        <v>18.32</v>
      </c>
      <c r="O209" s="4">
        <v>2436.75</v>
      </c>
      <c r="P209" s="4" t="s">
        <v>29</v>
      </c>
      <c r="Q209" s="4" t="s">
        <v>30</v>
      </c>
      <c r="R209" s="4" t="s">
        <v>164</v>
      </c>
      <c r="S209" s="4">
        <v>0</v>
      </c>
      <c r="T209" s="4">
        <v>430</v>
      </c>
      <c r="U209" s="4">
        <v>0</v>
      </c>
      <c r="V209" s="4" t="s">
        <v>32</v>
      </c>
      <c r="W209" s="4" t="s">
        <v>32</v>
      </c>
      <c r="X209" s="4" t="s">
        <v>32</v>
      </c>
      <c r="Y209" s="4" t="s">
        <v>32</v>
      </c>
      <c r="Z209" s="4" t="s">
        <v>32</v>
      </c>
      <c r="AA209" s="4" t="s">
        <v>32</v>
      </c>
    </row>
    <row r="210" s="4" customFormat="1" spans="1:27">
      <c r="A210" s="4" t="s">
        <v>104</v>
      </c>
      <c r="B210" s="4" t="s">
        <v>28</v>
      </c>
      <c r="C210" s="4">
        <v>13378458</v>
      </c>
      <c r="D210" s="19">
        <v>254715799919</v>
      </c>
      <c r="E210" s="21">
        <v>45499.5081365741</v>
      </c>
      <c r="F210" s="4">
        <v>1563.47</v>
      </c>
      <c r="G210" s="4">
        <v>1.36</v>
      </c>
      <c r="H210" s="4">
        <v>1562.11</v>
      </c>
      <c r="I210" s="4">
        <v>81.5</v>
      </c>
      <c r="J210" s="4">
        <v>1.36</v>
      </c>
      <c r="K210" s="4">
        <v>80.14</v>
      </c>
      <c r="L210" s="4">
        <v>268.97</v>
      </c>
      <c r="M210" s="4">
        <v>35773</v>
      </c>
      <c r="N210" s="4">
        <v>68.44</v>
      </c>
      <c r="O210" s="4">
        <v>9102.9</v>
      </c>
      <c r="P210" s="4" t="s">
        <v>29</v>
      </c>
      <c r="Q210" s="4" t="s">
        <v>30</v>
      </c>
      <c r="R210" s="4" t="s">
        <v>164</v>
      </c>
      <c r="S210" s="4">
        <v>0</v>
      </c>
      <c r="T210" s="4">
        <v>1790</v>
      </c>
      <c r="U210" s="4">
        <v>0</v>
      </c>
      <c r="V210" s="4" t="s">
        <v>32</v>
      </c>
      <c r="W210" s="4" t="s">
        <v>32</v>
      </c>
      <c r="X210" s="4" t="s">
        <v>32</v>
      </c>
      <c r="Y210" s="4" t="s">
        <v>32</v>
      </c>
      <c r="Z210" s="4" t="s">
        <v>32</v>
      </c>
      <c r="AA210" s="4" t="s">
        <v>32</v>
      </c>
    </row>
    <row r="211" s="4" customFormat="1" spans="1:27">
      <c r="A211" s="4" t="s">
        <v>104</v>
      </c>
      <c r="B211" s="4" t="s">
        <v>28</v>
      </c>
      <c r="C211" s="4">
        <v>19730697</v>
      </c>
      <c r="D211" s="19">
        <v>254715856035</v>
      </c>
      <c r="E211" s="21">
        <v>45988.3358333333</v>
      </c>
      <c r="F211" s="4">
        <v>385.1</v>
      </c>
      <c r="G211" s="4">
        <v>9.37</v>
      </c>
      <c r="H211" s="4">
        <v>375.73</v>
      </c>
      <c r="I211" s="4">
        <v>39.01</v>
      </c>
      <c r="J211" s="4">
        <v>-0.05</v>
      </c>
      <c r="K211" s="4">
        <v>39.05</v>
      </c>
      <c r="L211" s="4">
        <v>77.29</v>
      </c>
      <c r="M211" s="4">
        <v>10279</v>
      </c>
      <c r="N211" s="4">
        <v>14.85</v>
      </c>
      <c r="O211" s="4">
        <v>1975.05</v>
      </c>
      <c r="P211" s="4" t="s">
        <v>34</v>
      </c>
      <c r="Q211" s="4" t="s">
        <v>30</v>
      </c>
      <c r="R211" s="4" t="s">
        <v>164</v>
      </c>
      <c r="S211" s="4">
        <v>0</v>
      </c>
      <c r="T211" s="4">
        <v>510</v>
      </c>
      <c r="U211" s="4">
        <v>0</v>
      </c>
      <c r="V211" s="4" t="s">
        <v>32</v>
      </c>
      <c r="W211" s="4" t="s">
        <v>32</v>
      </c>
      <c r="X211" s="4" t="s">
        <v>32</v>
      </c>
      <c r="Y211" s="4" t="s">
        <v>32</v>
      </c>
      <c r="Z211" s="4" t="s">
        <v>32</v>
      </c>
      <c r="AA211" s="4" t="s">
        <v>32</v>
      </c>
    </row>
    <row r="212" s="4" customFormat="1" spans="1:27">
      <c r="A212" s="4" t="s">
        <v>104</v>
      </c>
      <c r="B212" s="4" t="s">
        <v>28</v>
      </c>
      <c r="C212" s="4">
        <v>10599639</v>
      </c>
      <c r="D212" s="19">
        <v>254716567074</v>
      </c>
      <c r="E212" s="21">
        <v>45175.6397800926</v>
      </c>
      <c r="F212" s="4">
        <v>794.92</v>
      </c>
      <c r="G212" s="4">
        <v>0</v>
      </c>
      <c r="H212" s="4">
        <v>794.92</v>
      </c>
      <c r="I212" s="4">
        <v>13.48</v>
      </c>
      <c r="J212" s="4">
        <v>0</v>
      </c>
      <c r="K212" s="4">
        <v>13.48</v>
      </c>
      <c r="L212" s="4">
        <v>91.95</v>
      </c>
      <c r="M212" s="4">
        <v>12230</v>
      </c>
      <c r="N212" s="4">
        <v>0</v>
      </c>
      <c r="O212" s="4">
        <v>0</v>
      </c>
      <c r="P212" s="4" t="s">
        <v>29</v>
      </c>
      <c r="Q212" s="4" t="s">
        <v>30</v>
      </c>
      <c r="R212" s="4" t="s">
        <v>164</v>
      </c>
      <c r="S212" s="4">
        <v>0</v>
      </c>
      <c r="T212" s="4">
        <v>610</v>
      </c>
      <c r="U212" s="4">
        <v>0</v>
      </c>
      <c r="V212" s="4" t="s">
        <v>32</v>
      </c>
      <c r="W212" s="4" t="s">
        <v>32</v>
      </c>
      <c r="X212" s="4" t="s">
        <v>32</v>
      </c>
      <c r="Y212" s="4" t="s">
        <v>32</v>
      </c>
      <c r="Z212" s="4" t="s">
        <v>32</v>
      </c>
      <c r="AA212" s="4" t="s">
        <v>32</v>
      </c>
    </row>
    <row r="213" s="4" customFormat="1" spans="1:27">
      <c r="A213" s="4" t="s">
        <v>104</v>
      </c>
      <c r="B213" s="4" t="s">
        <v>28</v>
      </c>
      <c r="C213" s="4">
        <v>15470136</v>
      </c>
      <c r="D213" s="19">
        <v>254716643208</v>
      </c>
      <c r="E213" s="21">
        <v>45672.8089930556</v>
      </c>
      <c r="F213" s="4">
        <v>146.62</v>
      </c>
      <c r="G213" s="4">
        <v>0</v>
      </c>
      <c r="H213" s="4">
        <v>146.62</v>
      </c>
      <c r="I213" s="4">
        <v>-88.78</v>
      </c>
      <c r="J213" s="4">
        <v>0</v>
      </c>
      <c r="K213" s="4">
        <v>-88.78</v>
      </c>
      <c r="L213" s="4">
        <v>67.56</v>
      </c>
      <c r="M213" s="4">
        <v>8985</v>
      </c>
      <c r="N213" s="4">
        <v>0</v>
      </c>
      <c r="O213" s="4">
        <v>0</v>
      </c>
      <c r="P213" s="4" t="s">
        <v>29</v>
      </c>
      <c r="Q213" s="4" t="s">
        <v>30</v>
      </c>
      <c r="R213" s="4" t="s">
        <v>164</v>
      </c>
      <c r="S213" s="4">
        <v>0</v>
      </c>
      <c r="T213" s="4">
        <v>450</v>
      </c>
      <c r="U213" s="4">
        <v>0</v>
      </c>
      <c r="V213" s="4" t="s">
        <v>32</v>
      </c>
      <c r="W213" s="4" t="s">
        <v>32</v>
      </c>
      <c r="X213" s="4" t="s">
        <v>32</v>
      </c>
      <c r="Y213" s="4" t="s">
        <v>32</v>
      </c>
      <c r="Z213" s="4" t="s">
        <v>32</v>
      </c>
      <c r="AA213" s="4" t="s">
        <v>32</v>
      </c>
    </row>
    <row r="214" s="4" customFormat="1" spans="1:27">
      <c r="A214" s="4" t="s">
        <v>104</v>
      </c>
      <c r="B214" s="4" t="s">
        <v>28</v>
      </c>
      <c r="C214" s="4">
        <v>13635548</v>
      </c>
      <c r="D214" s="19">
        <v>254716885985</v>
      </c>
      <c r="E214" s="21">
        <v>45543.8210416667</v>
      </c>
      <c r="F214" s="4">
        <v>586.35</v>
      </c>
      <c r="G214" s="4">
        <v>0</v>
      </c>
      <c r="H214" s="4">
        <v>586.35</v>
      </c>
      <c r="I214" s="4">
        <v>29.57</v>
      </c>
      <c r="J214" s="4">
        <v>0</v>
      </c>
      <c r="K214" s="4">
        <v>29.57</v>
      </c>
      <c r="L214" s="4">
        <v>98.83</v>
      </c>
      <c r="M214" s="4">
        <v>13145</v>
      </c>
      <c r="N214" s="4">
        <v>0.81</v>
      </c>
      <c r="O214" s="4">
        <v>108.3</v>
      </c>
      <c r="P214" s="4" t="s">
        <v>29</v>
      </c>
      <c r="Q214" s="4" t="s">
        <v>30</v>
      </c>
      <c r="R214" s="4" t="s">
        <v>164</v>
      </c>
      <c r="S214" s="4">
        <v>0</v>
      </c>
      <c r="T214" s="4">
        <v>660</v>
      </c>
      <c r="U214" s="4">
        <v>0</v>
      </c>
      <c r="V214" s="4" t="s">
        <v>32</v>
      </c>
      <c r="W214" s="4" t="s">
        <v>32</v>
      </c>
      <c r="X214" s="4" t="s">
        <v>32</v>
      </c>
      <c r="Y214" s="4" t="s">
        <v>32</v>
      </c>
      <c r="Z214" s="4" t="s">
        <v>32</v>
      </c>
      <c r="AA214" s="4" t="s">
        <v>32</v>
      </c>
    </row>
    <row r="215" s="4" customFormat="1" spans="1:27">
      <c r="A215" s="4" t="s">
        <v>104</v>
      </c>
      <c r="B215" s="4" t="s">
        <v>28</v>
      </c>
      <c r="C215" s="4">
        <v>21826536</v>
      </c>
      <c r="D215" s="19">
        <v>254717684125</v>
      </c>
      <c r="E215" s="21">
        <v>46092.2763888889</v>
      </c>
      <c r="F215" s="4">
        <v>283.18</v>
      </c>
      <c r="G215" s="4">
        <v>0</v>
      </c>
      <c r="H215" s="4">
        <v>283.18</v>
      </c>
      <c r="I215" s="4">
        <v>23.82</v>
      </c>
      <c r="J215" s="4">
        <v>0</v>
      </c>
      <c r="K215" s="4">
        <v>23.82</v>
      </c>
      <c r="L215" s="4">
        <v>68.96</v>
      </c>
      <c r="M215" s="4">
        <v>9172</v>
      </c>
      <c r="N215" s="4">
        <v>65.51</v>
      </c>
      <c r="O215" s="4">
        <v>8713.4</v>
      </c>
      <c r="P215" s="4" t="s">
        <v>29</v>
      </c>
      <c r="Q215" s="4" t="s">
        <v>30</v>
      </c>
      <c r="R215" s="4" t="s">
        <v>164</v>
      </c>
      <c r="S215" s="4">
        <v>0</v>
      </c>
      <c r="T215" s="4">
        <v>460</v>
      </c>
      <c r="U215" s="4">
        <v>0</v>
      </c>
      <c r="V215" s="4" t="s">
        <v>32</v>
      </c>
      <c r="W215" s="4" t="s">
        <v>32</v>
      </c>
      <c r="X215" s="4" t="s">
        <v>32</v>
      </c>
      <c r="Y215" s="4" t="s">
        <v>32</v>
      </c>
      <c r="Z215" s="4" t="s">
        <v>32</v>
      </c>
      <c r="AA215" s="4" t="s">
        <v>32</v>
      </c>
    </row>
    <row r="216" s="4" customFormat="1" spans="1:27">
      <c r="A216" s="4" t="s">
        <v>104</v>
      </c>
      <c r="B216" s="4" t="s">
        <v>28</v>
      </c>
      <c r="C216" s="4">
        <v>130027</v>
      </c>
      <c r="D216" s="19">
        <v>254720144371</v>
      </c>
      <c r="E216" s="21">
        <v>43897.870787037</v>
      </c>
      <c r="F216" s="4">
        <v>1088.98</v>
      </c>
      <c r="G216" s="4">
        <v>0</v>
      </c>
      <c r="H216" s="4">
        <v>1088.98</v>
      </c>
      <c r="I216" s="4">
        <v>57.89</v>
      </c>
      <c r="J216" s="4">
        <v>0</v>
      </c>
      <c r="K216" s="4">
        <v>57.89</v>
      </c>
      <c r="L216" s="4">
        <v>178.67</v>
      </c>
      <c r="M216" s="4">
        <v>23763</v>
      </c>
      <c r="N216" s="4">
        <v>33.74</v>
      </c>
      <c r="O216" s="4">
        <v>4486.85</v>
      </c>
      <c r="P216" s="4" t="s">
        <v>34</v>
      </c>
      <c r="Q216" s="4" t="s">
        <v>30</v>
      </c>
      <c r="R216" s="4" t="s">
        <v>164</v>
      </c>
      <c r="S216" s="4">
        <v>0</v>
      </c>
      <c r="T216" s="4">
        <v>1190</v>
      </c>
      <c r="U216" s="4">
        <v>0</v>
      </c>
      <c r="V216" s="4" t="s">
        <v>32</v>
      </c>
      <c r="W216" s="4" t="s">
        <v>32</v>
      </c>
      <c r="X216" s="4" t="s">
        <v>32</v>
      </c>
      <c r="Y216" s="4" t="s">
        <v>32</v>
      </c>
      <c r="Z216" s="4" t="s">
        <v>32</v>
      </c>
      <c r="AA216" s="4" t="s">
        <v>32</v>
      </c>
    </row>
    <row r="217" s="4" customFormat="1" spans="1:27">
      <c r="A217" s="4" t="s">
        <v>104</v>
      </c>
      <c r="B217" s="4" t="s">
        <v>28</v>
      </c>
      <c r="C217" s="4">
        <v>21987049</v>
      </c>
      <c r="D217" s="19">
        <v>254721137123</v>
      </c>
      <c r="E217" s="21">
        <v>46101.0056597222</v>
      </c>
      <c r="F217" s="4">
        <v>517.39</v>
      </c>
      <c r="G217" s="4">
        <v>0</v>
      </c>
      <c r="H217" s="4">
        <v>517.39</v>
      </c>
      <c r="I217" s="4">
        <v>22.7</v>
      </c>
      <c r="J217" s="4">
        <v>0</v>
      </c>
      <c r="K217" s="4">
        <v>22.7</v>
      </c>
      <c r="L217" s="4">
        <v>85.8</v>
      </c>
      <c r="M217" s="4">
        <v>11412</v>
      </c>
      <c r="N217" s="4">
        <v>81.51</v>
      </c>
      <c r="O217" s="4">
        <v>10841.4</v>
      </c>
      <c r="P217" s="4" t="s">
        <v>34</v>
      </c>
      <c r="Q217" s="4" t="s">
        <v>30</v>
      </c>
      <c r="R217" s="4" t="s">
        <v>164</v>
      </c>
      <c r="S217" s="4">
        <v>0</v>
      </c>
      <c r="T217" s="4">
        <v>570</v>
      </c>
      <c r="U217" s="4">
        <v>0</v>
      </c>
      <c r="V217" s="4" t="s">
        <v>32</v>
      </c>
      <c r="W217" s="4" t="s">
        <v>32</v>
      </c>
      <c r="X217" s="4" t="s">
        <v>32</v>
      </c>
      <c r="Y217" s="4" t="s">
        <v>32</v>
      </c>
      <c r="Z217" s="4" t="s">
        <v>32</v>
      </c>
      <c r="AA217" s="4" t="s">
        <v>32</v>
      </c>
    </row>
    <row r="218" s="4" customFormat="1" spans="1:27">
      <c r="A218" s="4" t="s">
        <v>104</v>
      </c>
      <c r="B218" s="4" t="s">
        <v>28</v>
      </c>
      <c r="C218" s="4">
        <v>12606956</v>
      </c>
      <c r="D218" s="19">
        <v>254721492966</v>
      </c>
      <c r="E218" s="21">
        <v>45382.5506481481</v>
      </c>
      <c r="F218" s="4">
        <v>839.31</v>
      </c>
      <c r="G218" s="4">
        <v>0</v>
      </c>
      <c r="H218" s="4">
        <v>839.31</v>
      </c>
      <c r="I218" s="4">
        <v>96.72</v>
      </c>
      <c r="J218" s="4">
        <v>0</v>
      </c>
      <c r="K218" s="4">
        <v>96.72</v>
      </c>
      <c r="L218" s="4">
        <v>127.07</v>
      </c>
      <c r="M218" s="4">
        <v>16900</v>
      </c>
      <c r="N218" s="4">
        <v>15.71</v>
      </c>
      <c r="O218" s="4">
        <v>2090</v>
      </c>
      <c r="P218" s="4" t="s">
        <v>34</v>
      </c>
      <c r="Q218" s="4" t="s">
        <v>30</v>
      </c>
      <c r="R218" s="4" t="s">
        <v>164</v>
      </c>
      <c r="S218" s="4">
        <v>0</v>
      </c>
      <c r="T218" s="4">
        <v>840</v>
      </c>
      <c r="U218" s="4">
        <v>0</v>
      </c>
      <c r="V218" s="4" t="s">
        <v>32</v>
      </c>
      <c r="W218" s="4" t="s">
        <v>32</v>
      </c>
      <c r="X218" s="4" t="s">
        <v>32</v>
      </c>
      <c r="Y218" s="4" t="s">
        <v>32</v>
      </c>
      <c r="Z218" s="4" t="s">
        <v>32</v>
      </c>
      <c r="AA218" s="4" t="s">
        <v>32</v>
      </c>
    </row>
    <row r="219" s="4" customFormat="1" spans="1:27">
      <c r="A219" s="4" t="s">
        <v>104</v>
      </c>
      <c r="B219" s="4" t="s">
        <v>28</v>
      </c>
      <c r="C219" s="4">
        <v>14793277</v>
      </c>
      <c r="D219" s="19">
        <v>254721545343</v>
      </c>
      <c r="E219" s="21">
        <v>45618.7169212963</v>
      </c>
      <c r="F219" s="4">
        <v>244.78</v>
      </c>
      <c r="G219" s="4">
        <v>0.01</v>
      </c>
      <c r="H219" s="4">
        <v>244.77</v>
      </c>
      <c r="I219" s="4">
        <v>-1.37</v>
      </c>
      <c r="J219" s="4">
        <v>0.01</v>
      </c>
      <c r="K219" s="4">
        <v>-0.63</v>
      </c>
      <c r="L219" s="4">
        <v>69.95</v>
      </c>
      <c r="M219" s="4">
        <v>9304</v>
      </c>
      <c r="N219" s="4">
        <v>5.27</v>
      </c>
      <c r="O219" s="4">
        <v>701.1</v>
      </c>
      <c r="P219" s="4" t="s">
        <v>29</v>
      </c>
      <c r="Q219" s="4" t="s">
        <v>30</v>
      </c>
      <c r="R219" s="4" t="s">
        <v>164</v>
      </c>
      <c r="S219" s="4">
        <v>0</v>
      </c>
      <c r="T219" s="4">
        <v>470</v>
      </c>
      <c r="U219" s="4">
        <v>0</v>
      </c>
      <c r="V219" s="4" t="s">
        <v>32</v>
      </c>
      <c r="W219" s="4" t="s">
        <v>32</v>
      </c>
      <c r="X219" s="4" t="s">
        <v>32</v>
      </c>
      <c r="Y219" s="4" t="s">
        <v>32</v>
      </c>
      <c r="Z219" s="4" t="s">
        <v>32</v>
      </c>
      <c r="AA219" s="4" t="s">
        <v>32</v>
      </c>
    </row>
    <row r="220" s="4" customFormat="1" spans="1:27">
      <c r="A220" s="4" t="s">
        <v>104</v>
      </c>
      <c r="B220" s="4" t="s">
        <v>28</v>
      </c>
      <c r="C220" s="4">
        <v>153118</v>
      </c>
      <c r="D220" s="19">
        <v>254724284677</v>
      </c>
      <c r="E220" s="21">
        <v>43908.4634027778</v>
      </c>
      <c r="F220" s="4">
        <v>19525.92</v>
      </c>
      <c r="G220" s="4">
        <v>0.52</v>
      </c>
      <c r="H220" s="4">
        <v>19525.4</v>
      </c>
      <c r="I220" s="4">
        <v>938.12</v>
      </c>
      <c r="J220" s="4">
        <v>-1.36</v>
      </c>
      <c r="K220" s="4">
        <v>939.47</v>
      </c>
      <c r="L220" s="4">
        <v>2944.02</v>
      </c>
      <c r="M220" s="4">
        <v>391555</v>
      </c>
      <c r="N220" s="4">
        <v>127.14</v>
      </c>
      <c r="O220" s="4">
        <v>16910</v>
      </c>
      <c r="P220" s="4" t="s">
        <v>34</v>
      </c>
      <c r="Q220" s="4" t="s">
        <v>33</v>
      </c>
      <c r="R220" s="4" t="s">
        <v>164</v>
      </c>
      <c r="S220" s="4">
        <v>0</v>
      </c>
      <c r="T220" s="4">
        <v>19580</v>
      </c>
      <c r="U220" s="4">
        <v>0</v>
      </c>
      <c r="V220" s="4" t="s">
        <v>32</v>
      </c>
      <c r="W220" s="4" t="s">
        <v>32</v>
      </c>
      <c r="X220" s="4" t="s">
        <v>32</v>
      </c>
      <c r="Y220" s="4" t="s">
        <v>32</v>
      </c>
      <c r="Z220" s="4" t="s">
        <v>32</v>
      </c>
      <c r="AA220" s="4" t="s">
        <v>32</v>
      </c>
    </row>
    <row r="221" s="4" customFormat="1" spans="1:27">
      <c r="A221" s="4" t="s">
        <v>104</v>
      </c>
      <c r="B221" s="4" t="s">
        <v>28</v>
      </c>
      <c r="C221" s="4">
        <v>1763786</v>
      </c>
      <c r="D221" s="19">
        <v>254724349321</v>
      </c>
      <c r="E221" s="21">
        <v>44017.4612847222</v>
      </c>
      <c r="F221" s="4">
        <v>3471.98</v>
      </c>
      <c r="G221" s="4">
        <v>78.79</v>
      </c>
      <c r="H221" s="4">
        <v>3393.19</v>
      </c>
      <c r="I221" s="4">
        <v>196.92</v>
      </c>
      <c r="J221" s="4">
        <v>44.82</v>
      </c>
      <c r="K221" s="4">
        <v>152.1</v>
      </c>
      <c r="L221" s="4">
        <v>605.15</v>
      </c>
      <c r="M221" s="4">
        <v>80485</v>
      </c>
      <c r="N221" s="4">
        <v>129.71</v>
      </c>
      <c r="O221" s="4">
        <v>17252</v>
      </c>
      <c r="P221" s="4" t="s">
        <v>34</v>
      </c>
      <c r="Q221" s="4" t="s">
        <v>30</v>
      </c>
      <c r="R221" s="4" t="s">
        <v>164</v>
      </c>
      <c r="S221" s="4">
        <v>0</v>
      </c>
      <c r="T221" s="4">
        <v>4020</v>
      </c>
      <c r="U221" s="4">
        <v>0</v>
      </c>
      <c r="V221" s="4" t="s">
        <v>32</v>
      </c>
      <c r="W221" s="4" t="s">
        <v>32</v>
      </c>
      <c r="X221" s="4" t="s">
        <v>32</v>
      </c>
      <c r="Y221" s="4" t="s">
        <v>32</v>
      </c>
      <c r="Z221" s="4" t="s">
        <v>32</v>
      </c>
      <c r="AA221" s="4" t="s">
        <v>32</v>
      </c>
    </row>
    <row r="222" s="4" customFormat="1" spans="1:27">
      <c r="A222" s="4" t="s">
        <v>104</v>
      </c>
      <c r="B222" s="4" t="s">
        <v>28</v>
      </c>
      <c r="C222" s="4">
        <v>1870787</v>
      </c>
      <c r="D222" s="19">
        <v>254725231474</v>
      </c>
      <c r="E222" s="21">
        <v>44027.4532291667</v>
      </c>
      <c r="F222" s="4">
        <v>3785.26</v>
      </c>
      <c r="G222" s="4">
        <v>0</v>
      </c>
      <c r="H222" s="4">
        <v>3785.26</v>
      </c>
      <c r="I222" s="4">
        <v>210.55</v>
      </c>
      <c r="J222" s="4">
        <v>0</v>
      </c>
      <c r="K222" s="4">
        <v>210.55</v>
      </c>
      <c r="L222" s="4">
        <v>306.17</v>
      </c>
      <c r="M222" s="4">
        <v>40720</v>
      </c>
      <c r="N222" s="4">
        <v>306.17</v>
      </c>
      <c r="O222" s="4">
        <v>40720</v>
      </c>
      <c r="P222" s="4" t="s">
        <v>34</v>
      </c>
      <c r="Q222" s="4" t="s">
        <v>30</v>
      </c>
      <c r="R222" s="4" t="s">
        <v>164</v>
      </c>
      <c r="S222" s="4">
        <v>0</v>
      </c>
      <c r="T222" s="4">
        <v>2040</v>
      </c>
      <c r="U222" s="4">
        <v>0</v>
      </c>
      <c r="V222" s="4" t="s">
        <v>32</v>
      </c>
      <c r="W222" s="4" t="s">
        <v>32</v>
      </c>
      <c r="X222" s="4" t="s">
        <v>32</v>
      </c>
      <c r="Y222" s="4" t="s">
        <v>32</v>
      </c>
      <c r="Z222" s="4" t="s">
        <v>32</v>
      </c>
      <c r="AA222" s="4" t="s">
        <v>32</v>
      </c>
    </row>
    <row r="223" s="4" customFormat="1" spans="1:27">
      <c r="A223" s="4" t="s">
        <v>104</v>
      </c>
      <c r="B223" s="4" t="s">
        <v>28</v>
      </c>
      <c r="C223" s="4">
        <v>996579</v>
      </c>
      <c r="D223" s="19">
        <v>254725325173</v>
      </c>
      <c r="E223" s="21">
        <v>43990.4135532407</v>
      </c>
      <c r="F223" s="4">
        <v>4832.78</v>
      </c>
      <c r="G223" s="4">
        <v>6.05</v>
      </c>
      <c r="H223" s="4">
        <v>4826.73</v>
      </c>
      <c r="I223" s="4">
        <v>73.97</v>
      </c>
      <c r="J223" s="4">
        <v>4.41</v>
      </c>
      <c r="K223" s="4">
        <v>69.56</v>
      </c>
      <c r="L223" s="4">
        <v>877.18</v>
      </c>
      <c r="M223" s="4">
        <v>116665</v>
      </c>
      <c r="N223" s="4">
        <v>265.75</v>
      </c>
      <c r="O223" s="4">
        <v>35344.75</v>
      </c>
      <c r="P223" s="4" t="s">
        <v>34</v>
      </c>
      <c r="Q223" s="4" t="s">
        <v>30</v>
      </c>
      <c r="R223" s="4" t="s">
        <v>164</v>
      </c>
      <c r="S223" s="4">
        <v>0</v>
      </c>
      <c r="T223" s="4">
        <v>5830</v>
      </c>
      <c r="U223" s="4">
        <v>0</v>
      </c>
      <c r="V223" s="4" t="s">
        <v>32</v>
      </c>
      <c r="W223" s="4" t="s">
        <v>32</v>
      </c>
      <c r="X223" s="4" t="s">
        <v>32</v>
      </c>
      <c r="Y223" s="4" t="s">
        <v>32</v>
      </c>
      <c r="Z223" s="4" t="s">
        <v>32</v>
      </c>
      <c r="AA223" s="4" t="s">
        <v>32</v>
      </c>
    </row>
    <row r="224" s="4" customFormat="1" spans="1:27">
      <c r="A224" s="4" t="s">
        <v>104</v>
      </c>
      <c r="B224" s="4" t="s">
        <v>28</v>
      </c>
      <c r="C224" s="4">
        <v>19591817</v>
      </c>
      <c r="D224" s="19">
        <v>254725779914</v>
      </c>
      <c r="E224" s="21">
        <v>45981.589525463</v>
      </c>
      <c r="F224" s="4">
        <v>1267.32</v>
      </c>
      <c r="G224" s="4">
        <v>0</v>
      </c>
      <c r="H224" s="4">
        <v>1267.32</v>
      </c>
      <c r="I224" s="4">
        <v>21.58</v>
      </c>
      <c r="J224" s="4">
        <v>0</v>
      </c>
      <c r="K224" s="4">
        <v>21.58</v>
      </c>
      <c r="L224" s="4">
        <v>51.09</v>
      </c>
      <c r="M224" s="4">
        <v>6795</v>
      </c>
      <c r="N224" s="4">
        <v>48.54</v>
      </c>
      <c r="O224" s="4">
        <v>6455.25</v>
      </c>
      <c r="P224" s="4" t="s">
        <v>34</v>
      </c>
      <c r="Q224" s="4" t="s">
        <v>30</v>
      </c>
      <c r="R224" s="4" t="s">
        <v>164</v>
      </c>
      <c r="S224" s="4">
        <v>0</v>
      </c>
      <c r="T224" s="4">
        <v>340</v>
      </c>
      <c r="U224" s="4">
        <v>0</v>
      </c>
      <c r="V224" s="4" t="s">
        <v>32</v>
      </c>
      <c r="W224" s="4" t="s">
        <v>32</v>
      </c>
      <c r="X224" s="4" t="s">
        <v>32</v>
      </c>
      <c r="Y224" s="4" t="s">
        <v>32</v>
      </c>
      <c r="Z224" s="4" t="s">
        <v>32</v>
      </c>
      <c r="AA224" s="4" t="s">
        <v>32</v>
      </c>
    </row>
    <row r="225" s="4" customFormat="1" spans="1:27">
      <c r="A225" s="4" t="s">
        <v>104</v>
      </c>
      <c r="B225" s="4" t="s">
        <v>28</v>
      </c>
      <c r="C225" s="4">
        <v>11073358</v>
      </c>
      <c r="D225" s="19">
        <v>254726145150</v>
      </c>
      <c r="E225" s="21">
        <v>45225.4366435185</v>
      </c>
      <c r="F225" s="4">
        <v>5160.82</v>
      </c>
      <c r="G225" s="4">
        <v>8.81</v>
      </c>
      <c r="H225" s="4">
        <v>5152</v>
      </c>
      <c r="I225" s="4">
        <v>196.28</v>
      </c>
      <c r="J225" s="4">
        <v>6.84</v>
      </c>
      <c r="K225" s="4">
        <v>190.19</v>
      </c>
      <c r="L225" s="4">
        <v>576.11</v>
      </c>
      <c r="M225" s="4">
        <v>76622</v>
      </c>
      <c r="N225" s="4">
        <v>96.36</v>
      </c>
      <c r="O225" s="4">
        <v>12816.45</v>
      </c>
      <c r="P225" s="4" t="s">
        <v>34</v>
      </c>
      <c r="Q225" s="4" t="s">
        <v>30</v>
      </c>
      <c r="R225" s="4" t="s">
        <v>164</v>
      </c>
      <c r="S225" s="4">
        <v>0</v>
      </c>
      <c r="T225" s="4">
        <v>3830</v>
      </c>
      <c r="U225" s="4">
        <v>0</v>
      </c>
      <c r="V225" s="4" t="s">
        <v>32</v>
      </c>
      <c r="W225" s="4" t="s">
        <v>32</v>
      </c>
      <c r="X225" s="4" t="s">
        <v>32</v>
      </c>
      <c r="Y225" s="4" t="s">
        <v>32</v>
      </c>
      <c r="Z225" s="4" t="s">
        <v>32</v>
      </c>
      <c r="AA225" s="4" t="s">
        <v>32</v>
      </c>
    </row>
    <row r="226" s="4" customFormat="1" spans="1:27">
      <c r="A226" s="4" t="s">
        <v>104</v>
      </c>
      <c r="B226" s="4" t="s">
        <v>28</v>
      </c>
      <c r="C226" s="4">
        <v>5960577</v>
      </c>
      <c r="D226" s="19">
        <v>254726568497</v>
      </c>
      <c r="E226" s="21">
        <v>44529.5390046296</v>
      </c>
      <c r="F226" s="4">
        <v>1620.33</v>
      </c>
      <c r="G226" s="4">
        <v>0</v>
      </c>
      <c r="H226" s="4">
        <v>1620.33</v>
      </c>
      <c r="I226" s="4">
        <v>16.16</v>
      </c>
      <c r="J226" s="4">
        <v>0</v>
      </c>
      <c r="K226" s="4">
        <v>16.16</v>
      </c>
      <c r="L226" s="4">
        <v>366.54</v>
      </c>
      <c r="M226" s="4">
        <v>48750</v>
      </c>
      <c r="N226" s="4">
        <v>0</v>
      </c>
      <c r="O226" s="4">
        <v>0</v>
      </c>
      <c r="P226" s="4" t="s">
        <v>34</v>
      </c>
      <c r="Q226" s="4" t="s">
        <v>30</v>
      </c>
      <c r="R226" s="4" t="s">
        <v>164</v>
      </c>
      <c r="S226" s="4">
        <v>0</v>
      </c>
      <c r="T226" s="4">
        <v>2440</v>
      </c>
      <c r="U226" s="4">
        <v>0</v>
      </c>
      <c r="V226" s="4" t="s">
        <v>32</v>
      </c>
      <c r="W226" s="4" t="s">
        <v>32</v>
      </c>
      <c r="X226" s="4" t="s">
        <v>32</v>
      </c>
      <c r="Y226" s="4" t="s">
        <v>32</v>
      </c>
      <c r="Z226" s="4" t="s">
        <v>32</v>
      </c>
      <c r="AA226" s="4" t="s">
        <v>32</v>
      </c>
    </row>
    <row r="227" s="4" customFormat="1" spans="1:27">
      <c r="A227" s="4" t="s">
        <v>104</v>
      </c>
      <c r="B227" s="4" t="s">
        <v>28</v>
      </c>
      <c r="C227" s="4">
        <v>1087839</v>
      </c>
      <c r="D227" s="19">
        <v>254727596655</v>
      </c>
      <c r="E227" s="21">
        <v>43997.3497800926</v>
      </c>
      <c r="F227" s="4">
        <v>472.85</v>
      </c>
      <c r="G227" s="4">
        <v>0</v>
      </c>
      <c r="H227" s="4">
        <v>472.85</v>
      </c>
      <c r="I227" s="4">
        <v>0.08</v>
      </c>
      <c r="J227" s="4">
        <v>0</v>
      </c>
      <c r="K227" s="4">
        <v>0.08</v>
      </c>
      <c r="L227" s="4">
        <v>51.2</v>
      </c>
      <c r="M227" s="4">
        <v>6810</v>
      </c>
      <c r="N227" s="4">
        <v>48.64</v>
      </c>
      <c r="O227" s="4">
        <v>6469.5</v>
      </c>
      <c r="P227" s="4" t="s">
        <v>29</v>
      </c>
      <c r="Q227" s="4" t="s">
        <v>30</v>
      </c>
      <c r="R227" s="4" t="s">
        <v>164</v>
      </c>
      <c r="S227" s="4">
        <v>0</v>
      </c>
      <c r="T227" s="4">
        <v>340</v>
      </c>
      <c r="U227" s="4">
        <v>0</v>
      </c>
      <c r="V227" s="4" t="s">
        <v>32</v>
      </c>
      <c r="W227" s="4" t="s">
        <v>32</v>
      </c>
      <c r="X227" s="4" t="s">
        <v>32</v>
      </c>
      <c r="Y227" s="4" t="s">
        <v>32</v>
      </c>
      <c r="Z227" s="4" t="s">
        <v>32</v>
      </c>
      <c r="AA227" s="4" t="s">
        <v>32</v>
      </c>
    </row>
    <row r="228" s="4" customFormat="1" spans="1:27">
      <c r="A228" s="4" t="s">
        <v>104</v>
      </c>
      <c r="B228" s="4" t="s">
        <v>28</v>
      </c>
      <c r="C228" s="4">
        <v>2921366</v>
      </c>
      <c r="D228" s="19">
        <v>254727877981</v>
      </c>
      <c r="E228" s="21">
        <v>44124.5951041667</v>
      </c>
      <c r="F228" s="4">
        <v>5769.62</v>
      </c>
      <c r="G228" s="4">
        <v>4.09</v>
      </c>
      <c r="H228" s="4">
        <v>5765.53</v>
      </c>
      <c r="I228" s="4">
        <v>141.86</v>
      </c>
      <c r="J228" s="4">
        <v>3.87</v>
      </c>
      <c r="K228" s="4">
        <v>137.99</v>
      </c>
      <c r="L228" s="4">
        <v>647.65</v>
      </c>
      <c r="M228" s="4">
        <v>86138</v>
      </c>
      <c r="N228" s="4">
        <v>4.29</v>
      </c>
      <c r="O228" s="4">
        <v>570</v>
      </c>
      <c r="P228" s="4" t="s">
        <v>29</v>
      </c>
      <c r="Q228" s="4" t="s">
        <v>30</v>
      </c>
      <c r="R228" s="4" t="s">
        <v>164</v>
      </c>
      <c r="S228" s="4">
        <v>0</v>
      </c>
      <c r="T228" s="4">
        <v>4310</v>
      </c>
      <c r="U228" s="4">
        <v>0</v>
      </c>
      <c r="V228" s="4" t="s">
        <v>32</v>
      </c>
      <c r="W228" s="4" t="s">
        <v>32</v>
      </c>
      <c r="X228" s="4" t="s">
        <v>32</v>
      </c>
      <c r="Y228" s="4" t="s">
        <v>32</v>
      </c>
      <c r="Z228" s="4" t="s">
        <v>32</v>
      </c>
      <c r="AA228" s="4" t="s">
        <v>32</v>
      </c>
    </row>
    <row r="229" s="4" customFormat="1" spans="1:27">
      <c r="A229" s="4" t="s">
        <v>104</v>
      </c>
      <c r="B229" s="4" t="s">
        <v>28</v>
      </c>
      <c r="C229" s="4">
        <v>19605367</v>
      </c>
      <c r="D229" s="19">
        <v>254727949458</v>
      </c>
      <c r="E229" s="21">
        <v>45981.7143865741</v>
      </c>
      <c r="F229" s="4">
        <v>1643.32</v>
      </c>
      <c r="G229" s="4">
        <v>0.03</v>
      </c>
      <c r="H229" s="4">
        <v>1643.29</v>
      </c>
      <c r="I229" s="4">
        <v>105.76</v>
      </c>
      <c r="J229" s="4">
        <v>0</v>
      </c>
      <c r="K229" s="4">
        <v>105.75</v>
      </c>
      <c r="L229" s="4">
        <v>113.23</v>
      </c>
      <c r="M229" s="4">
        <v>15060</v>
      </c>
      <c r="N229" s="4">
        <v>93.04</v>
      </c>
      <c r="O229" s="4">
        <v>12373.75</v>
      </c>
      <c r="P229" s="4" t="s">
        <v>29</v>
      </c>
      <c r="Q229" s="4" t="s">
        <v>30</v>
      </c>
      <c r="R229" s="4" t="s">
        <v>164</v>
      </c>
      <c r="S229" s="4">
        <v>0</v>
      </c>
      <c r="T229" s="4">
        <v>750</v>
      </c>
      <c r="U229" s="4">
        <v>0</v>
      </c>
      <c r="V229" s="4" t="s">
        <v>32</v>
      </c>
      <c r="W229" s="4" t="s">
        <v>32</v>
      </c>
      <c r="X229" s="4" t="s">
        <v>32</v>
      </c>
      <c r="Y229" s="4" t="s">
        <v>32</v>
      </c>
      <c r="Z229" s="4" t="s">
        <v>32</v>
      </c>
      <c r="AA229" s="4" t="s">
        <v>32</v>
      </c>
    </row>
    <row r="230" s="4" customFormat="1" spans="1:27">
      <c r="A230" s="4" t="s">
        <v>104</v>
      </c>
      <c r="B230" s="4" t="s">
        <v>28</v>
      </c>
      <c r="C230" s="4">
        <v>9053786</v>
      </c>
      <c r="D230" s="19">
        <v>254727994394</v>
      </c>
      <c r="E230" s="21">
        <v>44882.8188194444</v>
      </c>
      <c r="F230" s="4">
        <v>39881.46</v>
      </c>
      <c r="G230" s="4">
        <v>1.57</v>
      </c>
      <c r="H230" s="4">
        <v>39879.89</v>
      </c>
      <c r="I230" s="4">
        <v>-219.43</v>
      </c>
      <c r="J230" s="4">
        <v>1.57</v>
      </c>
      <c r="K230" s="4">
        <v>-221</v>
      </c>
      <c r="L230" s="4">
        <v>6722.03</v>
      </c>
      <c r="M230" s="4">
        <v>894030</v>
      </c>
      <c r="N230" s="4">
        <v>359.02</v>
      </c>
      <c r="O230" s="4">
        <v>47750</v>
      </c>
      <c r="P230" s="4" t="s">
        <v>34</v>
      </c>
      <c r="Q230" s="4" t="s">
        <v>33</v>
      </c>
      <c r="R230" s="4" t="s">
        <v>164</v>
      </c>
      <c r="S230" s="4">
        <v>0</v>
      </c>
      <c r="T230" s="4">
        <v>30000</v>
      </c>
      <c r="U230" s="4">
        <v>1</v>
      </c>
      <c r="V230" s="4">
        <v>1</v>
      </c>
      <c r="W230" s="4" t="s">
        <v>32</v>
      </c>
      <c r="X230" s="4" t="s">
        <v>32</v>
      </c>
      <c r="Y230" s="4" t="s">
        <v>32</v>
      </c>
      <c r="Z230" s="4" t="s">
        <v>32</v>
      </c>
      <c r="AA230" s="4" t="s">
        <v>32</v>
      </c>
    </row>
    <row r="231" s="4" customFormat="1" spans="1:27">
      <c r="A231" s="4" t="s">
        <v>104</v>
      </c>
      <c r="B231" s="4" t="s">
        <v>28</v>
      </c>
      <c r="C231" s="4">
        <v>3147398</v>
      </c>
      <c r="D231" s="19">
        <v>254728066488</v>
      </c>
      <c r="E231" s="21">
        <v>44143.2341898148</v>
      </c>
      <c r="F231" s="4">
        <v>1428.18</v>
      </c>
      <c r="G231" s="4">
        <v>0</v>
      </c>
      <c r="H231" s="4">
        <v>1428.18</v>
      </c>
      <c r="I231" s="4">
        <v>43.86</v>
      </c>
      <c r="J231" s="4">
        <v>0</v>
      </c>
      <c r="K231" s="4">
        <v>43.86</v>
      </c>
      <c r="L231" s="4">
        <v>272.26</v>
      </c>
      <c r="M231" s="4">
        <v>36210</v>
      </c>
      <c r="N231" s="4">
        <v>7.43</v>
      </c>
      <c r="O231" s="4">
        <v>988</v>
      </c>
      <c r="P231" s="4" t="s">
        <v>34</v>
      </c>
      <c r="Q231" s="4" t="s">
        <v>30</v>
      </c>
      <c r="R231" s="4" t="s">
        <v>164</v>
      </c>
      <c r="S231" s="4">
        <v>0</v>
      </c>
      <c r="T231" s="4">
        <v>1810</v>
      </c>
      <c r="U231" s="4">
        <v>0</v>
      </c>
      <c r="V231" s="4" t="s">
        <v>32</v>
      </c>
      <c r="W231" s="4" t="s">
        <v>32</v>
      </c>
      <c r="X231" s="4" t="s">
        <v>32</v>
      </c>
      <c r="Y231" s="4" t="s">
        <v>32</v>
      </c>
      <c r="Z231" s="4" t="s">
        <v>32</v>
      </c>
      <c r="AA231" s="4" t="s">
        <v>32</v>
      </c>
    </row>
    <row r="232" s="4" customFormat="1" spans="1:27">
      <c r="A232" s="4" t="s">
        <v>104</v>
      </c>
      <c r="B232" s="4" t="s">
        <v>28</v>
      </c>
      <c r="C232" s="4">
        <v>12128499</v>
      </c>
      <c r="D232" s="19">
        <v>254728137546</v>
      </c>
      <c r="E232" s="21">
        <v>45314.5814930556</v>
      </c>
      <c r="F232" s="4">
        <v>500.98</v>
      </c>
      <c r="G232" s="4">
        <v>0</v>
      </c>
      <c r="H232" s="4">
        <v>500.98</v>
      </c>
      <c r="I232" s="4">
        <v>141.54</v>
      </c>
      <c r="J232" s="4">
        <v>0</v>
      </c>
      <c r="K232" s="4">
        <v>141.54</v>
      </c>
      <c r="L232" s="4">
        <v>154.29</v>
      </c>
      <c r="M232" s="4">
        <v>20520</v>
      </c>
      <c r="N232" s="4">
        <v>18.57</v>
      </c>
      <c r="O232" s="4">
        <v>2470</v>
      </c>
      <c r="P232" s="4" t="s">
        <v>34</v>
      </c>
      <c r="Q232" s="4" t="s">
        <v>30</v>
      </c>
      <c r="R232" s="4" t="s">
        <v>164</v>
      </c>
      <c r="S232" s="4">
        <v>0</v>
      </c>
      <c r="T232" s="4">
        <v>1030</v>
      </c>
      <c r="U232" s="4">
        <v>0</v>
      </c>
      <c r="V232" s="4" t="s">
        <v>32</v>
      </c>
      <c r="W232" s="4" t="s">
        <v>32</v>
      </c>
      <c r="X232" s="4" t="s">
        <v>32</v>
      </c>
      <c r="Y232" s="4" t="s">
        <v>32</v>
      </c>
      <c r="Z232" s="4" t="s">
        <v>32</v>
      </c>
      <c r="AA232" s="4" t="s">
        <v>32</v>
      </c>
    </row>
    <row r="233" s="4" customFormat="1" spans="1:27">
      <c r="A233" s="4" t="s">
        <v>104</v>
      </c>
      <c r="B233" s="4" t="s">
        <v>28</v>
      </c>
      <c r="C233" s="4">
        <v>22304688</v>
      </c>
      <c r="D233" s="19">
        <v>254728781109</v>
      </c>
      <c r="E233" s="21">
        <v>46120.2562615741</v>
      </c>
      <c r="F233" s="4">
        <v>908</v>
      </c>
      <c r="G233" s="4">
        <v>0.04</v>
      </c>
      <c r="H233" s="4">
        <v>907.96</v>
      </c>
      <c r="I233" s="4">
        <v>43.68</v>
      </c>
      <c r="J233" s="4">
        <v>-1.91</v>
      </c>
      <c r="K233" s="4">
        <v>45.59</v>
      </c>
      <c r="L233" s="4">
        <v>155.22</v>
      </c>
      <c r="M233" s="4">
        <v>20644</v>
      </c>
      <c r="N233" s="4">
        <v>147.46</v>
      </c>
      <c r="O233" s="4">
        <v>19611.8</v>
      </c>
      <c r="P233" s="4" t="s">
        <v>29</v>
      </c>
      <c r="Q233" s="4" t="s">
        <v>30</v>
      </c>
      <c r="R233" s="4" t="s">
        <v>164</v>
      </c>
      <c r="S233" s="4">
        <v>0</v>
      </c>
      <c r="T233" s="4">
        <v>1030</v>
      </c>
      <c r="U233" s="4">
        <v>0</v>
      </c>
      <c r="V233" s="4" t="s">
        <v>32</v>
      </c>
      <c r="W233" s="4" t="s">
        <v>32</v>
      </c>
      <c r="X233" s="4" t="s">
        <v>32</v>
      </c>
      <c r="Y233" s="4" t="s">
        <v>32</v>
      </c>
      <c r="Z233" s="4" t="s">
        <v>32</v>
      </c>
      <c r="AA233" s="4" t="s">
        <v>32</v>
      </c>
    </row>
    <row r="234" s="4" customFormat="1" spans="1:27">
      <c r="A234" s="4" t="s">
        <v>104</v>
      </c>
      <c r="B234" s="4" t="s">
        <v>28</v>
      </c>
      <c r="C234" s="4">
        <v>17125517</v>
      </c>
      <c r="D234" s="19">
        <v>254729207317</v>
      </c>
      <c r="E234" s="21">
        <v>45832.362662037</v>
      </c>
      <c r="F234" s="4">
        <v>5848.66</v>
      </c>
      <c r="G234" s="4">
        <v>0.01</v>
      </c>
      <c r="H234" s="4">
        <v>5848.65</v>
      </c>
      <c r="I234" s="4">
        <v>278.58</v>
      </c>
      <c r="J234" s="4">
        <v>0.01</v>
      </c>
      <c r="K234" s="4">
        <v>278.57</v>
      </c>
      <c r="L234" s="4">
        <v>1062.89</v>
      </c>
      <c r="M234" s="4">
        <v>141364</v>
      </c>
      <c r="N234" s="4">
        <v>41.64</v>
      </c>
      <c r="O234" s="4">
        <v>5538.5</v>
      </c>
      <c r="P234" s="4" t="s">
        <v>29</v>
      </c>
      <c r="Q234" s="4" t="s">
        <v>33</v>
      </c>
      <c r="R234" s="4" t="s">
        <v>164</v>
      </c>
      <c r="S234" s="4">
        <v>0</v>
      </c>
      <c r="T234" s="4">
        <v>7070</v>
      </c>
      <c r="U234" s="4">
        <v>0</v>
      </c>
      <c r="V234" s="4" t="s">
        <v>32</v>
      </c>
      <c r="W234" s="4" t="s">
        <v>32</v>
      </c>
      <c r="X234" s="4" t="s">
        <v>32</v>
      </c>
      <c r="Y234" s="4" t="s">
        <v>32</v>
      </c>
      <c r="Z234" s="4" t="s">
        <v>32</v>
      </c>
      <c r="AA234" s="4" t="s">
        <v>32</v>
      </c>
    </row>
    <row r="235" s="4" customFormat="1" spans="1:27">
      <c r="A235" s="4" t="s">
        <v>104</v>
      </c>
      <c r="B235" s="4" t="s">
        <v>28</v>
      </c>
      <c r="C235" s="4">
        <v>13266707</v>
      </c>
      <c r="D235" s="19">
        <v>254740105572</v>
      </c>
      <c r="E235" s="21">
        <v>45478.3048611111</v>
      </c>
      <c r="F235" s="4">
        <v>1707.12</v>
      </c>
      <c r="G235" s="4">
        <v>0</v>
      </c>
      <c r="H235" s="4">
        <v>1707.12</v>
      </c>
      <c r="I235" s="4">
        <v>38.32</v>
      </c>
      <c r="J235" s="4">
        <v>0</v>
      </c>
      <c r="K235" s="4">
        <v>38.32</v>
      </c>
      <c r="L235" s="4">
        <v>436.74</v>
      </c>
      <c r="M235" s="4">
        <v>58087</v>
      </c>
      <c r="N235" s="4">
        <v>23.24</v>
      </c>
      <c r="O235" s="4">
        <v>3091.3</v>
      </c>
      <c r="P235" s="4" t="s">
        <v>29</v>
      </c>
      <c r="Q235" s="4" t="s">
        <v>30</v>
      </c>
      <c r="R235" s="4" t="s">
        <v>164</v>
      </c>
      <c r="S235" s="4">
        <v>0</v>
      </c>
      <c r="T235" s="4">
        <v>2900</v>
      </c>
      <c r="U235" s="4">
        <v>0</v>
      </c>
      <c r="V235" s="4" t="s">
        <v>32</v>
      </c>
      <c r="W235" s="4" t="s">
        <v>32</v>
      </c>
      <c r="X235" s="4" t="s">
        <v>32</v>
      </c>
      <c r="Y235" s="4" t="s">
        <v>32</v>
      </c>
      <c r="Z235" s="4" t="s">
        <v>32</v>
      </c>
      <c r="AA235" s="4" t="s">
        <v>32</v>
      </c>
    </row>
    <row r="236" s="4" customFormat="1" spans="1:27">
      <c r="A236" s="4" t="s">
        <v>104</v>
      </c>
      <c r="B236" s="4" t="s">
        <v>28</v>
      </c>
      <c r="C236" s="4">
        <v>16475767</v>
      </c>
      <c r="D236" s="19">
        <v>254740495569</v>
      </c>
      <c r="E236" s="21">
        <v>45776.7991898148</v>
      </c>
      <c r="F236" s="4">
        <v>916.02</v>
      </c>
      <c r="G236" s="4">
        <v>0</v>
      </c>
      <c r="H236" s="4">
        <v>916.02</v>
      </c>
      <c r="I236" s="4">
        <v>0.79</v>
      </c>
      <c r="J236" s="4">
        <v>0</v>
      </c>
      <c r="K236" s="4">
        <v>0.79</v>
      </c>
      <c r="L236" s="4">
        <v>79.69</v>
      </c>
      <c r="M236" s="4">
        <v>10599</v>
      </c>
      <c r="N236" s="4">
        <v>75.71</v>
      </c>
      <c r="O236" s="4">
        <v>10069.05</v>
      </c>
      <c r="P236" s="4" t="s">
        <v>29</v>
      </c>
      <c r="Q236" s="4" t="s">
        <v>30</v>
      </c>
      <c r="R236" s="4" t="s">
        <v>164</v>
      </c>
      <c r="S236" s="4">
        <v>0</v>
      </c>
      <c r="T236" s="4">
        <v>530</v>
      </c>
      <c r="U236" s="4">
        <v>0</v>
      </c>
      <c r="V236" s="4" t="s">
        <v>32</v>
      </c>
      <c r="W236" s="4" t="s">
        <v>32</v>
      </c>
      <c r="X236" s="4" t="s">
        <v>32</v>
      </c>
      <c r="Y236" s="4" t="s">
        <v>32</v>
      </c>
      <c r="Z236" s="4" t="s">
        <v>32</v>
      </c>
      <c r="AA236" s="4" t="s">
        <v>32</v>
      </c>
    </row>
    <row r="237" s="4" customFormat="1" spans="1:27">
      <c r="A237" s="4" t="s">
        <v>104</v>
      </c>
      <c r="B237" s="4" t="s">
        <v>28</v>
      </c>
      <c r="C237" s="4">
        <v>20149006</v>
      </c>
      <c r="D237" s="19">
        <v>254740968402</v>
      </c>
      <c r="E237" s="21">
        <v>46007.6662847222</v>
      </c>
      <c r="F237" s="4">
        <v>478.97</v>
      </c>
      <c r="G237" s="4">
        <v>0</v>
      </c>
      <c r="H237" s="4">
        <v>478.97</v>
      </c>
      <c r="I237" s="4">
        <v>-19.91</v>
      </c>
      <c r="J237" s="4">
        <v>0</v>
      </c>
      <c r="K237" s="4">
        <v>-19.91</v>
      </c>
      <c r="L237" s="4">
        <v>62.68</v>
      </c>
      <c r="M237" s="4">
        <v>8337</v>
      </c>
      <c r="N237" s="4">
        <v>0.69</v>
      </c>
      <c r="O237" s="4">
        <v>92.15</v>
      </c>
      <c r="P237" s="4" t="s">
        <v>29</v>
      </c>
      <c r="Q237" s="4" t="s">
        <v>30</v>
      </c>
      <c r="R237" s="4" t="s">
        <v>164</v>
      </c>
      <c r="S237" s="4">
        <v>0</v>
      </c>
      <c r="T237" s="4">
        <v>420</v>
      </c>
      <c r="U237" s="4">
        <v>0</v>
      </c>
      <c r="V237" s="4" t="s">
        <v>32</v>
      </c>
      <c r="W237" s="4" t="s">
        <v>32</v>
      </c>
      <c r="X237" s="4" t="s">
        <v>32</v>
      </c>
      <c r="Y237" s="4" t="s">
        <v>32</v>
      </c>
      <c r="Z237" s="4" t="s">
        <v>32</v>
      </c>
      <c r="AA237" s="4" t="s">
        <v>32</v>
      </c>
    </row>
    <row r="238" s="4" customFormat="1" spans="1:27">
      <c r="A238" s="4" t="s">
        <v>104</v>
      </c>
      <c r="B238" s="4" t="s">
        <v>28</v>
      </c>
      <c r="C238" s="4">
        <v>20339157</v>
      </c>
      <c r="D238" s="19">
        <v>254741428917</v>
      </c>
      <c r="E238" s="21">
        <v>46017.1660185185</v>
      </c>
      <c r="F238" s="4">
        <v>266.71</v>
      </c>
      <c r="G238" s="4">
        <v>0</v>
      </c>
      <c r="H238" s="4">
        <v>266.71</v>
      </c>
      <c r="I238" s="4">
        <v>26.41</v>
      </c>
      <c r="J238" s="4">
        <v>0</v>
      </c>
      <c r="K238" s="4">
        <v>26.41</v>
      </c>
      <c r="L238" s="4">
        <v>100.12</v>
      </c>
      <c r="M238" s="4">
        <v>13316</v>
      </c>
      <c r="N238" s="4">
        <v>41.51</v>
      </c>
      <c r="O238" s="4">
        <v>5521.4</v>
      </c>
      <c r="P238" s="4" t="s">
        <v>29</v>
      </c>
      <c r="Q238" s="4" t="s">
        <v>30</v>
      </c>
      <c r="R238" s="4" t="s">
        <v>164</v>
      </c>
      <c r="S238" s="4">
        <v>0</v>
      </c>
      <c r="T238" s="4">
        <v>670</v>
      </c>
      <c r="U238" s="4">
        <v>0</v>
      </c>
      <c r="V238" s="4" t="s">
        <v>32</v>
      </c>
      <c r="W238" s="4" t="s">
        <v>32</v>
      </c>
      <c r="X238" s="4" t="s">
        <v>32</v>
      </c>
      <c r="Y238" s="4" t="s">
        <v>32</v>
      </c>
      <c r="Z238" s="4" t="s">
        <v>32</v>
      </c>
      <c r="AA238" s="4" t="s">
        <v>32</v>
      </c>
    </row>
    <row r="239" s="4" customFormat="1" spans="1:27">
      <c r="A239" s="4" t="s">
        <v>104</v>
      </c>
      <c r="B239" s="4" t="s">
        <v>28</v>
      </c>
      <c r="C239" s="4">
        <v>15449358</v>
      </c>
      <c r="D239" s="19">
        <v>254741564096</v>
      </c>
      <c r="E239" s="21">
        <v>45671.5295486111</v>
      </c>
      <c r="F239" s="4">
        <v>507.88</v>
      </c>
      <c r="G239" s="4">
        <v>0</v>
      </c>
      <c r="H239" s="4">
        <v>507.88</v>
      </c>
      <c r="I239" s="4">
        <v>42.07</v>
      </c>
      <c r="J239" s="4">
        <v>0</v>
      </c>
      <c r="K239" s="4">
        <v>42.07</v>
      </c>
      <c r="L239" s="4">
        <v>98.95</v>
      </c>
      <c r="M239" s="4">
        <v>13161</v>
      </c>
      <c r="N239" s="4">
        <v>66.01</v>
      </c>
      <c r="O239" s="4">
        <v>8778.95</v>
      </c>
      <c r="P239" s="4" t="s">
        <v>29</v>
      </c>
      <c r="Q239" s="4" t="s">
        <v>30</v>
      </c>
      <c r="R239" s="4" t="s">
        <v>164</v>
      </c>
      <c r="S239" s="4">
        <v>0</v>
      </c>
      <c r="T239" s="4">
        <v>660</v>
      </c>
      <c r="U239" s="4">
        <v>0</v>
      </c>
      <c r="V239" s="4" t="s">
        <v>32</v>
      </c>
      <c r="W239" s="4" t="s">
        <v>32</v>
      </c>
      <c r="X239" s="4" t="s">
        <v>32</v>
      </c>
      <c r="Y239" s="4" t="s">
        <v>32</v>
      </c>
      <c r="Z239" s="4" t="s">
        <v>32</v>
      </c>
      <c r="AA239" s="4" t="s">
        <v>32</v>
      </c>
    </row>
    <row r="240" s="4" customFormat="1" spans="1:27">
      <c r="A240" s="4" t="s">
        <v>104</v>
      </c>
      <c r="B240" s="4" t="s">
        <v>28</v>
      </c>
      <c r="C240" s="4">
        <v>11851906</v>
      </c>
      <c r="D240" s="19">
        <v>254742221530</v>
      </c>
      <c r="E240" s="21">
        <v>45290.6120949074</v>
      </c>
      <c r="F240" s="4">
        <v>479.81</v>
      </c>
      <c r="G240" s="4">
        <v>0.87</v>
      </c>
      <c r="H240" s="4">
        <v>478.94</v>
      </c>
      <c r="I240" s="4">
        <v>15.44</v>
      </c>
      <c r="J240" s="4">
        <v>0.87</v>
      </c>
      <c r="K240" s="4">
        <v>14.57</v>
      </c>
      <c r="L240" s="4">
        <v>126.95</v>
      </c>
      <c r="M240" s="4">
        <v>16884</v>
      </c>
      <c r="N240" s="4">
        <v>12.47</v>
      </c>
      <c r="O240" s="4">
        <v>1658.7</v>
      </c>
      <c r="P240" s="4" t="s">
        <v>34</v>
      </c>
      <c r="Q240" s="4" t="s">
        <v>30</v>
      </c>
      <c r="R240" s="4" t="s">
        <v>164</v>
      </c>
      <c r="S240" s="4">
        <v>0</v>
      </c>
      <c r="T240" s="4">
        <v>840</v>
      </c>
      <c r="U240" s="4">
        <v>0</v>
      </c>
      <c r="V240" s="4" t="s">
        <v>32</v>
      </c>
      <c r="W240" s="4" t="s">
        <v>32</v>
      </c>
      <c r="X240" s="4" t="s">
        <v>32</v>
      </c>
      <c r="Y240" s="4" t="s">
        <v>32</v>
      </c>
      <c r="Z240" s="4" t="s">
        <v>32</v>
      </c>
      <c r="AA240" s="4" t="s">
        <v>32</v>
      </c>
    </row>
    <row r="241" s="4" customFormat="1" spans="1:27">
      <c r="A241" s="4" t="s">
        <v>104</v>
      </c>
      <c r="B241" s="4" t="s">
        <v>28</v>
      </c>
      <c r="C241" s="4">
        <v>12404157</v>
      </c>
      <c r="D241" s="19">
        <v>254743793450</v>
      </c>
      <c r="E241" s="21">
        <v>45354.1580787037</v>
      </c>
      <c r="F241" s="4">
        <v>341.31</v>
      </c>
      <c r="G241" s="4">
        <v>0.04</v>
      </c>
      <c r="H241" s="4">
        <v>341.28</v>
      </c>
      <c r="I241" s="4">
        <v>32.03</v>
      </c>
      <c r="J241" s="4">
        <v>0.04</v>
      </c>
      <c r="K241" s="4">
        <v>32</v>
      </c>
      <c r="L241" s="4">
        <v>80.76</v>
      </c>
      <c r="M241" s="4">
        <v>10741</v>
      </c>
      <c r="N241" s="4">
        <v>0</v>
      </c>
      <c r="O241" s="4">
        <v>0</v>
      </c>
      <c r="P241" s="4" t="s">
        <v>29</v>
      </c>
      <c r="Q241" s="4" t="s">
        <v>30</v>
      </c>
      <c r="R241" s="4" t="s">
        <v>164</v>
      </c>
      <c r="S241" s="4">
        <v>0</v>
      </c>
      <c r="T241" s="4">
        <v>540</v>
      </c>
      <c r="U241" s="4">
        <v>0</v>
      </c>
      <c r="V241" s="4" t="s">
        <v>32</v>
      </c>
      <c r="W241" s="4" t="s">
        <v>32</v>
      </c>
      <c r="X241" s="4" t="s">
        <v>32</v>
      </c>
      <c r="Y241" s="4" t="s">
        <v>32</v>
      </c>
      <c r="Z241" s="4" t="s">
        <v>32</v>
      </c>
      <c r="AA241" s="4" t="s">
        <v>32</v>
      </c>
    </row>
    <row r="242" s="4" customFormat="1" spans="1:27">
      <c r="A242" s="4" t="s">
        <v>104</v>
      </c>
      <c r="B242" s="4" t="s">
        <v>28</v>
      </c>
      <c r="C242" s="4">
        <v>20876749</v>
      </c>
      <c r="D242" s="19">
        <v>254743978769</v>
      </c>
      <c r="E242" s="21">
        <v>46042.8115740741</v>
      </c>
      <c r="F242" s="4">
        <v>573.23</v>
      </c>
      <c r="G242" s="4">
        <v>0</v>
      </c>
      <c r="H242" s="4">
        <v>573.23</v>
      </c>
      <c r="I242" s="4">
        <v>25.44</v>
      </c>
      <c r="J242" s="4">
        <v>0</v>
      </c>
      <c r="K242" s="4">
        <v>25.44</v>
      </c>
      <c r="L242" s="4">
        <v>96.71</v>
      </c>
      <c r="M242" s="4">
        <v>12862</v>
      </c>
      <c r="N242" s="4">
        <v>55.19</v>
      </c>
      <c r="O242" s="4">
        <v>7339.7</v>
      </c>
      <c r="P242" s="4" t="s">
        <v>29</v>
      </c>
      <c r="Q242" s="4" t="s">
        <v>30</v>
      </c>
      <c r="R242" s="4" t="s">
        <v>164</v>
      </c>
      <c r="S242" s="4">
        <v>0</v>
      </c>
      <c r="T242" s="4">
        <v>640</v>
      </c>
      <c r="U242" s="4">
        <v>0</v>
      </c>
      <c r="V242" s="4" t="s">
        <v>32</v>
      </c>
      <c r="W242" s="4" t="s">
        <v>32</v>
      </c>
      <c r="X242" s="4" t="s">
        <v>32</v>
      </c>
      <c r="Y242" s="4" t="s">
        <v>32</v>
      </c>
      <c r="Z242" s="4" t="s">
        <v>32</v>
      </c>
      <c r="AA242" s="4" t="s">
        <v>32</v>
      </c>
    </row>
    <row r="243" s="4" customFormat="1" spans="1:27">
      <c r="A243" s="4" t="s">
        <v>104</v>
      </c>
      <c r="B243" s="4" t="s">
        <v>28</v>
      </c>
      <c r="C243" s="4">
        <v>12083656</v>
      </c>
      <c r="D243" s="19">
        <v>254745535653</v>
      </c>
      <c r="E243" s="21">
        <v>45310.6205902778</v>
      </c>
      <c r="F243" s="4">
        <v>179.99</v>
      </c>
      <c r="G243" s="4">
        <v>2.05</v>
      </c>
      <c r="H243" s="4">
        <v>177.94</v>
      </c>
      <c r="I243" s="4">
        <v>-12.97</v>
      </c>
      <c r="J243" s="4">
        <v>1.93</v>
      </c>
      <c r="K243" s="4">
        <v>-14.9</v>
      </c>
      <c r="L243" s="4">
        <v>54.53</v>
      </c>
      <c r="M243" s="4">
        <v>7252</v>
      </c>
      <c r="N243" s="4">
        <v>8.56</v>
      </c>
      <c r="O243" s="4">
        <v>1139.05</v>
      </c>
      <c r="P243" s="4" t="s">
        <v>34</v>
      </c>
      <c r="Q243" s="4" t="s">
        <v>30</v>
      </c>
      <c r="R243" s="4" t="s">
        <v>164</v>
      </c>
      <c r="S243" s="4">
        <v>0</v>
      </c>
      <c r="T243" s="4">
        <v>360</v>
      </c>
      <c r="U243" s="4">
        <v>0</v>
      </c>
      <c r="V243" s="4" t="s">
        <v>32</v>
      </c>
      <c r="W243" s="4" t="s">
        <v>32</v>
      </c>
      <c r="X243" s="4" t="s">
        <v>32</v>
      </c>
      <c r="Y243" s="4" t="s">
        <v>32</v>
      </c>
      <c r="Z243" s="4" t="s">
        <v>32</v>
      </c>
      <c r="AA243" s="4" t="s">
        <v>32</v>
      </c>
    </row>
    <row r="244" s="4" customFormat="1" spans="1:27">
      <c r="A244" s="4" t="s">
        <v>104</v>
      </c>
      <c r="B244" s="4" t="s">
        <v>28</v>
      </c>
      <c r="C244" s="4">
        <v>16871416</v>
      </c>
      <c r="D244" s="19">
        <v>254746615116</v>
      </c>
      <c r="E244" s="21">
        <v>45811.410162037</v>
      </c>
      <c r="F244" s="4">
        <v>697.27</v>
      </c>
      <c r="G244" s="4">
        <v>0</v>
      </c>
      <c r="H244" s="4">
        <v>697.27</v>
      </c>
      <c r="I244" s="4">
        <v>52</v>
      </c>
      <c r="J244" s="4">
        <v>0</v>
      </c>
      <c r="K244" s="4">
        <v>52</v>
      </c>
      <c r="L244" s="4">
        <v>108.87</v>
      </c>
      <c r="M244" s="4">
        <v>14480</v>
      </c>
      <c r="N244" s="4">
        <v>0</v>
      </c>
      <c r="O244" s="4">
        <v>0</v>
      </c>
      <c r="P244" s="4" t="s">
        <v>29</v>
      </c>
      <c r="Q244" s="4" t="s">
        <v>30</v>
      </c>
      <c r="R244" s="4" t="s">
        <v>164</v>
      </c>
      <c r="S244" s="4">
        <v>0</v>
      </c>
      <c r="T244" s="4">
        <v>720</v>
      </c>
      <c r="U244" s="4">
        <v>0</v>
      </c>
      <c r="V244" s="4" t="s">
        <v>32</v>
      </c>
      <c r="W244" s="4" t="s">
        <v>32</v>
      </c>
      <c r="X244" s="4" t="s">
        <v>32</v>
      </c>
      <c r="Y244" s="4" t="s">
        <v>32</v>
      </c>
      <c r="Z244" s="4" t="s">
        <v>32</v>
      </c>
      <c r="AA244" s="4" t="s">
        <v>32</v>
      </c>
    </row>
    <row r="245" s="4" customFormat="1" spans="1:27">
      <c r="A245" s="4" t="s">
        <v>104</v>
      </c>
      <c r="B245" s="4" t="s">
        <v>28</v>
      </c>
      <c r="C245" s="4">
        <v>14299057</v>
      </c>
      <c r="D245" s="19">
        <v>254746963507</v>
      </c>
      <c r="E245" s="21">
        <v>45591.7549305556</v>
      </c>
      <c r="F245" s="4">
        <v>713.53</v>
      </c>
      <c r="G245" s="4">
        <v>0</v>
      </c>
      <c r="H245" s="4">
        <v>713.53</v>
      </c>
      <c r="I245" s="4">
        <v>-8.84</v>
      </c>
      <c r="J245" s="4">
        <v>0</v>
      </c>
      <c r="K245" s="4">
        <v>-8.84</v>
      </c>
      <c r="L245" s="4">
        <v>115.39</v>
      </c>
      <c r="M245" s="4">
        <v>15347</v>
      </c>
      <c r="N245" s="4">
        <v>73.55</v>
      </c>
      <c r="O245" s="4">
        <v>9782.15</v>
      </c>
      <c r="P245" s="4" t="s">
        <v>29</v>
      </c>
      <c r="Q245" s="4" t="s">
        <v>30</v>
      </c>
      <c r="R245" s="4" t="s">
        <v>164</v>
      </c>
      <c r="S245" s="4">
        <v>0</v>
      </c>
      <c r="T245" s="4">
        <v>770</v>
      </c>
      <c r="U245" s="4">
        <v>0</v>
      </c>
      <c r="V245" s="4" t="s">
        <v>32</v>
      </c>
      <c r="W245" s="4" t="s">
        <v>32</v>
      </c>
      <c r="X245" s="4" t="s">
        <v>32</v>
      </c>
      <c r="Y245" s="4" t="s">
        <v>32</v>
      </c>
      <c r="Z245" s="4" t="s">
        <v>32</v>
      </c>
      <c r="AA245" s="4" t="s">
        <v>32</v>
      </c>
    </row>
    <row r="246" s="4" customFormat="1" spans="1:27">
      <c r="A246" s="4" t="s">
        <v>104</v>
      </c>
      <c r="B246" s="4" t="s">
        <v>28</v>
      </c>
      <c r="C246" s="4">
        <v>17412107</v>
      </c>
      <c r="D246" s="19">
        <v>254748087991</v>
      </c>
      <c r="E246" s="21">
        <v>45852.776400463</v>
      </c>
      <c r="F246" s="4">
        <v>17235.25</v>
      </c>
      <c r="G246" s="4">
        <v>0</v>
      </c>
      <c r="H246" s="4">
        <v>17235.25</v>
      </c>
      <c r="I246" s="4">
        <v>859.57</v>
      </c>
      <c r="J246" s="4">
        <v>0</v>
      </c>
      <c r="K246" s="4">
        <v>859.57</v>
      </c>
      <c r="L246" s="4">
        <v>1795.1</v>
      </c>
      <c r="M246" s="4">
        <v>238748</v>
      </c>
      <c r="N246" s="4">
        <v>92.19</v>
      </c>
      <c r="O246" s="4">
        <v>12261.65</v>
      </c>
      <c r="P246" s="4" t="s">
        <v>29</v>
      </c>
      <c r="Q246" s="4" t="s">
        <v>33</v>
      </c>
      <c r="R246" s="4" t="s">
        <v>164</v>
      </c>
      <c r="S246" s="4">
        <v>0</v>
      </c>
      <c r="T246" s="4">
        <v>11940</v>
      </c>
      <c r="U246" s="4">
        <v>0</v>
      </c>
      <c r="V246" s="4" t="s">
        <v>32</v>
      </c>
      <c r="W246" s="4" t="s">
        <v>32</v>
      </c>
      <c r="X246" s="4" t="s">
        <v>32</v>
      </c>
      <c r="Y246" s="4" t="s">
        <v>32</v>
      </c>
      <c r="Z246" s="4" t="s">
        <v>32</v>
      </c>
      <c r="AA246" s="4" t="s">
        <v>32</v>
      </c>
    </row>
    <row r="247" s="4" customFormat="1" spans="1:27">
      <c r="A247" s="4" t="s">
        <v>104</v>
      </c>
      <c r="B247" s="4" t="s">
        <v>28</v>
      </c>
      <c r="C247" s="4">
        <v>11444076</v>
      </c>
      <c r="D247" s="19">
        <v>254757140237</v>
      </c>
      <c r="E247" s="21">
        <v>45253.1621990741</v>
      </c>
      <c r="F247" s="4">
        <v>839.34</v>
      </c>
      <c r="G247" s="4">
        <v>0</v>
      </c>
      <c r="H247" s="4">
        <v>839.34</v>
      </c>
      <c r="I247" s="4">
        <v>23.86</v>
      </c>
      <c r="J247" s="4">
        <v>0</v>
      </c>
      <c r="K247" s="4">
        <v>23.86</v>
      </c>
      <c r="L247" s="4">
        <v>147.81</v>
      </c>
      <c r="M247" s="4">
        <v>19659</v>
      </c>
      <c r="N247" s="4">
        <v>110.25</v>
      </c>
      <c r="O247" s="4">
        <v>14663.25</v>
      </c>
      <c r="P247" s="4" t="s">
        <v>29</v>
      </c>
      <c r="Q247" s="4" t="s">
        <v>30</v>
      </c>
      <c r="R247" s="4" t="s">
        <v>164</v>
      </c>
      <c r="S247" s="4">
        <v>0</v>
      </c>
      <c r="T247" s="4">
        <v>980</v>
      </c>
      <c r="U247" s="4">
        <v>0</v>
      </c>
      <c r="V247" s="4" t="s">
        <v>32</v>
      </c>
      <c r="W247" s="4" t="s">
        <v>32</v>
      </c>
      <c r="X247" s="4" t="s">
        <v>32</v>
      </c>
      <c r="Y247" s="4" t="s">
        <v>32</v>
      </c>
      <c r="Z247" s="4" t="s">
        <v>32</v>
      </c>
      <c r="AA247" s="4" t="s">
        <v>32</v>
      </c>
    </row>
    <row r="248" s="4" customFormat="1" spans="1:27">
      <c r="A248" s="4" t="s">
        <v>104</v>
      </c>
      <c r="B248" s="4" t="s">
        <v>28</v>
      </c>
      <c r="C248" s="4">
        <v>9439666</v>
      </c>
      <c r="D248" s="19">
        <v>254758320025</v>
      </c>
      <c r="E248" s="21">
        <v>44960.3886226852</v>
      </c>
      <c r="F248" s="4">
        <v>741.7</v>
      </c>
      <c r="G248" s="4">
        <v>0</v>
      </c>
      <c r="H248" s="4">
        <v>741.7</v>
      </c>
      <c r="I248" s="4">
        <v>93.5</v>
      </c>
      <c r="J248" s="4">
        <v>0</v>
      </c>
      <c r="K248" s="4">
        <v>93.5</v>
      </c>
      <c r="L248" s="4">
        <v>206.99</v>
      </c>
      <c r="M248" s="4">
        <v>27530</v>
      </c>
      <c r="N248" s="4">
        <v>107.71</v>
      </c>
      <c r="O248" s="4">
        <v>14326</v>
      </c>
      <c r="P248" s="4" t="s">
        <v>34</v>
      </c>
      <c r="Q248" s="4" t="s">
        <v>30</v>
      </c>
      <c r="R248" s="4" t="s">
        <v>164</v>
      </c>
      <c r="S248" s="4">
        <v>0</v>
      </c>
      <c r="T248" s="4">
        <v>1380</v>
      </c>
      <c r="U248" s="4">
        <v>0</v>
      </c>
      <c r="V248" s="4" t="s">
        <v>32</v>
      </c>
      <c r="W248" s="4" t="s">
        <v>32</v>
      </c>
      <c r="X248" s="4" t="s">
        <v>32</v>
      </c>
      <c r="Y248" s="4" t="s">
        <v>32</v>
      </c>
      <c r="Z248" s="4" t="s">
        <v>32</v>
      </c>
      <c r="AA248" s="4" t="s">
        <v>32</v>
      </c>
    </row>
    <row r="249" s="4" customFormat="1" spans="1:27">
      <c r="A249" s="4" t="s">
        <v>104</v>
      </c>
      <c r="B249" s="4" t="s">
        <v>28</v>
      </c>
      <c r="C249" s="4">
        <v>5249038</v>
      </c>
      <c r="D249" s="19">
        <v>254758393911</v>
      </c>
      <c r="E249" s="21">
        <v>44434.6979166667</v>
      </c>
      <c r="F249" s="4">
        <v>293.48</v>
      </c>
      <c r="G249" s="4">
        <v>0.86</v>
      </c>
      <c r="H249" s="4">
        <v>292.62</v>
      </c>
      <c r="I249" s="4">
        <v>64.65</v>
      </c>
      <c r="J249" s="4">
        <v>0.86</v>
      </c>
      <c r="K249" s="4">
        <v>63.8</v>
      </c>
      <c r="L249" s="4">
        <v>113.91</v>
      </c>
      <c r="M249" s="4">
        <v>15150</v>
      </c>
      <c r="N249" s="4">
        <v>108.21</v>
      </c>
      <c r="O249" s="4">
        <v>14392.5</v>
      </c>
      <c r="P249" s="4" t="s">
        <v>29</v>
      </c>
      <c r="Q249" s="4" t="s">
        <v>30</v>
      </c>
      <c r="R249" s="4" t="s">
        <v>164</v>
      </c>
      <c r="S249" s="4">
        <v>0</v>
      </c>
      <c r="T249" s="4">
        <v>760</v>
      </c>
      <c r="U249" s="4">
        <v>0</v>
      </c>
      <c r="V249" s="4" t="s">
        <v>32</v>
      </c>
      <c r="W249" s="4" t="s">
        <v>32</v>
      </c>
      <c r="X249" s="4" t="s">
        <v>32</v>
      </c>
      <c r="Y249" s="4" t="s">
        <v>32</v>
      </c>
      <c r="Z249" s="4" t="s">
        <v>32</v>
      </c>
      <c r="AA249" s="4" t="s">
        <v>32</v>
      </c>
    </row>
    <row r="250" s="4" customFormat="1" spans="1:27">
      <c r="A250" s="4" t="s">
        <v>104</v>
      </c>
      <c r="B250" s="4" t="s">
        <v>28</v>
      </c>
      <c r="C250" s="4">
        <v>2068727</v>
      </c>
      <c r="D250" s="19">
        <v>254758414186</v>
      </c>
      <c r="E250" s="21">
        <v>44045.782962963</v>
      </c>
      <c r="F250" s="4">
        <v>1299.89</v>
      </c>
      <c r="G250" s="4">
        <v>0</v>
      </c>
      <c r="H250" s="4">
        <v>1299.89</v>
      </c>
      <c r="I250" s="4">
        <v>100.64</v>
      </c>
      <c r="J250" s="4">
        <v>0</v>
      </c>
      <c r="K250" s="4">
        <v>100.64</v>
      </c>
      <c r="L250" s="4">
        <v>112.03</v>
      </c>
      <c r="M250" s="4">
        <v>14900</v>
      </c>
      <c r="N250" s="4">
        <v>88.57</v>
      </c>
      <c r="O250" s="4">
        <v>11780</v>
      </c>
      <c r="P250" s="4" t="s">
        <v>34</v>
      </c>
      <c r="Q250" s="4" t="s">
        <v>30</v>
      </c>
      <c r="R250" s="4" t="s">
        <v>164</v>
      </c>
      <c r="S250" s="4">
        <v>0</v>
      </c>
      <c r="T250" s="4">
        <v>740</v>
      </c>
      <c r="U250" s="4">
        <v>0</v>
      </c>
      <c r="V250" s="4" t="s">
        <v>32</v>
      </c>
      <c r="W250" s="4" t="s">
        <v>32</v>
      </c>
      <c r="X250" s="4" t="s">
        <v>32</v>
      </c>
      <c r="Y250" s="4" t="s">
        <v>32</v>
      </c>
      <c r="Z250" s="4" t="s">
        <v>32</v>
      </c>
      <c r="AA250" s="4" t="s">
        <v>32</v>
      </c>
    </row>
    <row r="251" s="4" customFormat="1" spans="1:27">
      <c r="A251" s="4" t="s">
        <v>104</v>
      </c>
      <c r="B251" s="4" t="s">
        <v>28</v>
      </c>
      <c r="C251" s="4">
        <v>20856418</v>
      </c>
      <c r="D251" s="19">
        <v>254758615618</v>
      </c>
      <c r="E251" s="21">
        <v>46041.7910416667</v>
      </c>
      <c r="F251" s="4">
        <v>663.92</v>
      </c>
      <c r="G251" s="4">
        <v>0.96</v>
      </c>
      <c r="H251" s="4">
        <v>662.96</v>
      </c>
      <c r="I251" s="4">
        <v>18.1</v>
      </c>
      <c r="J251" s="4">
        <v>0.96</v>
      </c>
      <c r="K251" s="4">
        <v>17.14</v>
      </c>
      <c r="L251" s="4">
        <v>54.38</v>
      </c>
      <c r="M251" s="4">
        <v>7233</v>
      </c>
      <c r="N251" s="4">
        <v>50.96</v>
      </c>
      <c r="O251" s="4">
        <v>6778.25</v>
      </c>
      <c r="P251" s="4" t="s">
        <v>29</v>
      </c>
      <c r="Q251" s="4" t="s">
        <v>30</v>
      </c>
      <c r="R251" s="4" t="s">
        <v>164</v>
      </c>
      <c r="S251" s="4">
        <v>0</v>
      </c>
      <c r="T251" s="4">
        <v>360</v>
      </c>
      <c r="U251" s="4">
        <v>0</v>
      </c>
      <c r="V251" s="4" t="s">
        <v>32</v>
      </c>
      <c r="W251" s="4" t="s">
        <v>32</v>
      </c>
      <c r="X251" s="4" t="s">
        <v>32</v>
      </c>
      <c r="Y251" s="4" t="s">
        <v>32</v>
      </c>
      <c r="Z251" s="4" t="s">
        <v>32</v>
      </c>
      <c r="AA251" s="4" t="s">
        <v>32</v>
      </c>
    </row>
    <row r="252" s="4" customFormat="1" spans="1:27">
      <c r="A252" s="4" t="s">
        <v>104</v>
      </c>
      <c r="B252" s="4" t="s">
        <v>28</v>
      </c>
      <c r="C252" s="4">
        <v>15418376</v>
      </c>
      <c r="D252" s="19">
        <v>254758866282</v>
      </c>
      <c r="E252" s="21">
        <v>45669.3021875</v>
      </c>
      <c r="F252" s="4">
        <v>893.34</v>
      </c>
      <c r="G252" s="4">
        <v>0.02</v>
      </c>
      <c r="H252" s="4">
        <v>893.32</v>
      </c>
      <c r="I252" s="4">
        <v>147.29</v>
      </c>
      <c r="J252" s="4">
        <v>0.02</v>
      </c>
      <c r="K252" s="4">
        <v>147.27</v>
      </c>
      <c r="L252" s="4">
        <v>245.15</v>
      </c>
      <c r="M252" s="4">
        <v>32605</v>
      </c>
      <c r="N252" s="4">
        <v>67.14</v>
      </c>
      <c r="O252" s="4">
        <v>8930</v>
      </c>
      <c r="P252" s="4" t="s">
        <v>34</v>
      </c>
      <c r="Q252" s="4" t="s">
        <v>30</v>
      </c>
      <c r="R252" s="4" t="s">
        <v>164</v>
      </c>
      <c r="S252" s="4">
        <v>0</v>
      </c>
      <c r="T252" s="4">
        <v>1630</v>
      </c>
      <c r="U252" s="4">
        <v>0</v>
      </c>
      <c r="V252" s="4" t="s">
        <v>32</v>
      </c>
      <c r="W252" s="4" t="s">
        <v>32</v>
      </c>
      <c r="X252" s="4" t="s">
        <v>32</v>
      </c>
      <c r="Y252" s="4" t="s">
        <v>32</v>
      </c>
      <c r="Z252" s="4" t="s">
        <v>32</v>
      </c>
      <c r="AA252" s="4" t="s">
        <v>32</v>
      </c>
    </row>
    <row r="253" s="4" customFormat="1" spans="1:27">
      <c r="A253" s="4" t="s">
        <v>104</v>
      </c>
      <c r="B253" s="4" t="s">
        <v>28</v>
      </c>
      <c r="C253" s="4">
        <v>644686</v>
      </c>
      <c r="D253" s="19">
        <v>254759102952</v>
      </c>
      <c r="E253" s="21">
        <v>43935.8676967593</v>
      </c>
      <c r="F253" s="4">
        <v>254.79</v>
      </c>
      <c r="G253" s="4">
        <v>0.2</v>
      </c>
      <c r="H253" s="4">
        <v>254.59</v>
      </c>
      <c r="I253" s="4">
        <v>43.89</v>
      </c>
      <c r="J253" s="4">
        <v>0.16</v>
      </c>
      <c r="K253" s="4">
        <v>43.74</v>
      </c>
      <c r="L253" s="4">
        <v>68.07</v>
      </c>
      <c r="M253" s="4">
        <v>9053</v>
      </c>
      <c r="N253" s="4">
        <v>12.37</v>
      </c>
      <c r="O253" s="4">
        <v>1645.4</v>
      </c>
      <c r="P253" s="4" t="s">
        <v>34</v>
      </c>
      <c r="Q253" s="4" t="s">
        <v>30</v>
      </c>
      <c r="R253" s="4" t="s">
        <v>164</v>
      </c>
      <c r="S253" s="4">
        <v>0</v>
      </c>
      <c r="T253" s="4">
        <v>450</v>
      </c>
      <c r="U253" s="4">
        <v>0</v>
      </c>
      <c r="V253" s="4" t="s">
        <v>32</v>
      </c>
      <c r="W253" s="4" t="s">
        <v>32</v>
      </c>
      <c r="X253" s="4" t="s">
        <v>32</v>
      </c>
      <c r="Y253" s="4" t="s">
        <v>32</v>
      </c>
      <c r="Z253" s="4" t="s">
        <v>32</v>
      </c>
      <c r="AA253" s="4" t="s">
        <v>32</v>
      </c>
    </row>
    <row r="254" s="4" customFormat="1" spans="1:27">
      <c r="A254" s="4" t="s">
        <v>104</v>
      </c>
      <c r="B254" s="4" t="s">
        <v>28</v>
      </c>
      <c r="C254" s="4">
        <v>16791097</v>
      </c>
      <c r="D254" s="19">
        <v>254769477822</v>
      </c>
      <c r="E254" s="21">
        <v>45803.4275</v>
      </c>
      <c r="F254" s="4">
        <v>62.82</v>
      </c>
      <c r="G254" s="4">
        <v>0</v>
      </c>
      <c r="H254" s="4">
        <v>62.82</v>
      </c>
      <c r="I254" s="4">
        <v>0.02</v>
      </c>
      <c r="J254" s="4">
        <v>0</v>
      </c>
      <c r="K254" s="4">
        <v>0.02</v>
      </c>
      <c r="L254" s="4">
        <v>55.41</v>
      </c>
      <c r="M254" s="4">
        <v>7370</v>
      </c>
      <c r="N254" s="4">
        <v>0.21</v>
      </c>
      <c r="O254" s="4">
        <v>28.5</v>
      </c>
      <c r="P254" s="4" t="s">
        <v>29</v>
      </c>
      <c r="Q254" s="4" t="s">
        <v>30</v>
      </c>
      <c r="R254" s="4" t="s">
        <v>164</v>
      </c>
      <c r="S254" s="4">
        <v>0</v>
      </c>
      <c r="T254" s="4">
        <v>370</v>
      </c>
      <c r="U254" s="4">
        <v>0</v>
      </c>
      <c r="V254" s="4" t="s">
        <v>32</v>
      </c>
      <c r="W254" s="4" t="s">
        <v>32</v>
      </c>
      <c r="X254" s="4" t="s">
        <v>32</v>
      </c>
      <c r="Y254" s="4" t="s">
        <v>32</v>
      </c>
      <c r="Z254" s="4" t="s">
        <v>32</v>
      </c>
      <c r="AA254" s="4" t="s">
        <v>32</v>
      </c>
    </row>
    <row r="255" s="4" customFormat="1" spans="1:27">
      <c r="A255" s="4" t="s">
        <v>104</v>
      </c>
      <c r="B255" s="4" t="s">
        <v>28</v>
      </c>
      <c r="C255" s="4">
        <v>21074496</v>
      </c>
      <c r="D255" s="19">
        <v>254769571333</v>
      </c>
      <c r="E255" s="21">
        <v>46054.150775463</v>
      </c>
      <c r="F255" s="4">
        <v>877.98</v>
      </c>
      <c r="G255" s="4">
        <v>0</v>
      </c>
      <c r="H255" s="4">
        <v>877.98</v>
      </c>
      <c r="I255" s="4">
        <v>-75.17</v>
      </c>
      <c r="J255" s="4">
        <v>-0.36</v>
      </c>
      <c r="K255" s="4">
        <v>-74.81</v>
      </c>
      <c r="L255" s="4">
        <v>120.08</v>
      </c>
      <c r="M255" s="4">
        <v>15971</v>
      </c>
      <c r="N255" s="4">
        <v>20.1</v>
      </c>
      <c r="O255" s="4">
        <v>2673.3</v>
      </c>
      <c r="P255" s="4" t="s">
        <v>34</v>
      </c>
      <c r="Q255" s="4" t="s">
        <v>30</v>
      </c>
      <c r="R255" s="4" t="s">
        <v>164</v>
      </c>
      <c r="S255" s="4">
        <v>0</v>
      </c>
      <c r="T255" s="4">
        <v>800</v>
      </c>
      <c r="U255" s="4">
        <v>0</v>
      </c>
      <c r="V255" s="4" t="s">
        <v>32</v>
      </c>
      <c r="W255" s="4" t="s">
        <v>32</v>
      </c>
      <c r="X255" s="4" t="s">
        <v>32</v>
      </c>
      <c r="Y255" s="4" t="s">
        <v>32</v>
      </c>
      <c r="Z255" s="4" t="s">
        <v>32</v>
      </c>
      <c r="AA255" s="4" t="s">
        <v>32</v>
      </c>
    </row>
    <row r="256" s="4" customFormat="1" spans="1:27">
      <c r="A256" s="4" t="s">
        <v>104</v>
      </c>
      <c r="B256" s="4" t="s">
        <v>28</v>
      </c>
      <c r="C256" s="4">
        <v>13366378</v>
      </c>
      <c r="D256" s="19">
        <v>254790154590</v>
      </c>
      <c r="E256" s="21">
        <v>45496.6154398148</v>
      </c>
      <c r="F256" s="4">
        <v>433.97</v>
      </c>
      <c r="G256" s="4">
        <v>0</v>
      </c>
      <c r="H256" s="4">
        <v>433.97</v>
      </c>
      <c r="I256" s="4">
        <v>42.46</v>
      </c>
      <c r="J256" s="4">
        <v>0</v>
      </c>
      <c r="K256" s="4">
        <v>42.46</v>
      </c>
      <c r="L256" s="4">
        <v>85.45</v>
      </c>
      <c r="M256" s="4">
        <v>11365</v>
      </c>
      <c r="N256" s="4">
        <v>80.46</v>
      </c>
      <c r="O256" s="4">
        <v>10701.75</v>
      </c>
      <c r="P256" s="4" t="s">
        <v>29</v>
      </c>
      <c r="Q256" s="4" t="s">
        <v>30</v>
      </c>
      <c r="R256" s="4" t="s">
        <v>164</v>
      </c>
      <c r="S256" s="4">
        <v>0</v>
      </c>
      <c r="T256" s="4">
        <v>570</v>
      </c>
      <c r="U256" s="4">
        <v>0</v>
      </c>
      <c r="V256" s="4" t="s">
        <v>32</v>
      </c>
      <c r="W256" s="4" t="s">
        <v>32</v>
      </c>
      <c r="X256" s="4" t="s">
        <v>32</v>
      </c>
      <c r="Y256" s="4" t="s">
        <v>32</v>
      </c>
      <c r="Z256" s="4" t="s">
        <v>32</v>
      </c>
      <c r="AA256" s="4" t="s">
        <v>32</v>
      </c>
    </row>
    <row r="257" s="4" customFormat="1" spans="1:27">
      <c r="A257" s="4" t="s">
        <v>104</v>
      </c>
      <c r="B257" s="4" t="s">
        <v>28</v>
      </c>
      <c r="C257" s="4">
        <v>17189158</v>
      </c>
      <c r="D257" s="19">
        <v>254792520038</v>
      </c>
      <c r="E257" s="21">
        <v>45837.5737615741</v>
      </c>
      <c r="F257" s="4">
        <v>721.31</v>
      </c>
      <c r="G257" s="4">
        <v>0</v>
      </c>
      <c r="H257" s="4">
        <v>721.31</v>
      </c>
      <c r="I257" s="4">
        <v>59.4</v>
      </c>
      <c r="J257" s="4">
        <v>0</v>
      </c>
      <c r="K257" s="4">
        <v>59.4</v>
      </c>
      <c r="L257" s="4">
        <v>171.4</v>
      </c>
      <c r="M257" s="4">
        <v>22796</v>
      </c>
      <c r="N257" s="4">
        <v>47.85</v>
      </c>
      <c r="O257" s="4">
        <v>6364.05</v>
      </c>
      <c r="P257" s="4" t="s">
        <v>29</v>
      </c>
      <c r="Q257" s="4" t="s">
        <v>30</v>
      </c>
      <c r="R257" s="4" t="s">
        <v>164</v>
      </c>
      <c r="S257" s="4">
        <v>0</v>
      </c>
      <c r="T257" s="4">
        <v>1140</v>
      </c>
      <c r="U257" s="4">
        <v>0</v>
      </c>
      <c r="V257" s="4" t="s">
        <v>32</v>
      </c>
      <c r="W257" s="4" t="s">
        <v>32</v>
      </c>
      <c r="X257" s="4" t="s">
        <v>32</v>
      </c>
      <c r="Y257" s="4" t="s">
        <v>32</v>
      </c>
      <c r="Z257" s="4" t="s">
        <v>32</v>
      </c>
      <c r="AA257" s="4" t="s">
        <v>32</v>
      </c>
    </row>
    <row r="258" s="4" customFormat="1" spans="1:27">
      <c r="A258" s="4" t="s">
        <v>104</v>
      </c>
      <c r="B258" s="4" t="s">
        <v>28</v>
      </c>
      <c r="C258" s="4">
        <v>16885437</v>
      </c>
      <c r="D258" s="19">
        <v>254792689725</v>
      </c>
      <c r="E258" s="21">
        <v>45812.4086226852</v>
      </c>
      <c r="F258" s="4">
        <v>3451.59</v>
      </c>
      <c r="G258" s="4">
        <v>2.53</v>
      </c>
      <c r="H258" s="4">
        <v>3449.06</v>
      </c>
      <c r="I258" s="4">
        <v>92.82</v>
      </c>
      <c r="J258" s="4">
        <v>2.07</v>
      </c>
      <c r="K258" s="4">
        <v>90.75</v>
      </c>
      <c r="L258" s="4">
        <v>219.47</v>
      </c>
      <c r="M258" s="4">
        <v>29190</v>
      </c>
      <c r="N258" s="4">
        <v>42.06</v>
      </c>
      <c r="O258" s="4">
        <v>5593.6</v>
      </c>
      <c r="P258" s="4" t="s">
        <v>29</v>
      </c>
      <c r="Q258" s="4" t="s">
        <v>30</v>
      </c>
      <c r="R258" s="4" t="s">
        <v>164</v>
      </c>
      <c r="S258" s="4">
        <v>0</v>
      </c>
      <c r="T258" s="4">
        <v>1460</v>
      </c>
      <c r="U258" s="4">
        <v>0</v>
      </c>
      <c r="V258" s="4" t="s">
        <v>32</v>
      </c>
      <c r="W258" s="4" t="s">
        <v>32</v>
      </c>
      <c r="X258" s="4" t="s">
        <v>32</v>
      </c>
      <c r="Y258" s="4" t="s">
        <v>32</v>
      </c>
      <c r="Z258" s="4" t="s">
        <v>32</v>
      </c>
      <c r="AA258" s="4" t="s">
        <v>32</v>
      </c>
    </row>
    <row r="259" s="4" customFormat="1" spans="1:27">
      <c r="A259" s="4" t="s">
        <v>104</v>
      </c>
      <c r="B259" s="4" t="s">
        <v>28</v>
      </c>
      <c r="C259" s="4">
        <v>19964298</v>
      </c>
      <c r="D259" s="19">
        <v>254793860652</v>
      </c>
      <c r="E259" s="21">
        <v>45998.9288657407</v>
      </c>
      <c r="F259" s="4">
        <v>1992.83</v>
      </c>
      <c r="G259" s="4">
        <v>1.35</v>
      </c>
      <c r="H259" s="4">
        <v>1991.47</v>
      </c>
      <c r="I259" s="4">
        <v>71.23</v>
      </c>
      <c r="J259" s="4">
        <v>-7.41</v>
      </c>
      <c r="K259" s="4">
        <v>78.64</v>
      </c>
      <c r="L259" s="4">
        <v>353.53</v>
      </c>
      <c r="M259" s="4">
        <v>47019</v>
      </c>
      <c r="N259" s="4">
        <v>0</v>
      </c>
      <c r="O259" s="4">
        <v>0</v>
      </c>
      <c r="P259" s="4" t="s">
        <v>29</v>
      </c>
      <c r="Q259" s="4" t="s">
        <v>30</v>
      </c>
      <c r="R259" s="4" t="s">
        <v>164</v>
      </c>
      <c r="S259" s="4">
        <v>0</v>
      </c>
      <c r="T259" s="4">
        <v>2350</v>
      </c>
      <c r="U259" s="4">
        <v>0</v>
      </c>
      <c r="V259" s="4" t="s">
        <v>32</v>
      </c>
      <c r="W259" s="4" t="s">
        <v>32</v>
      </c>
      <c r="X259" s="4" t="s">
        <v>32</v>
      </c>
      <c r="Y259" s="4" t="s">
        <v>32</v>
      </c>
      <c r="Z259" s="4" t="s">
        <v>32</v>
      </c>
      <c r="AA259" s="4" t="s">
        <v>32</v>
      </c>
    </row>
    <row r="260" s="4" customFormat="1" spans="1:27">
      <c r="A260" s="4" t="s">
        <v>104</v>
      </c>
      <c r="B260" s="4" t="s">
        <v>28</v>
      </c>
      <c r="C260" s="4">
        <v>20648006</v>
      </c>
      <c r="D260" s="19">
        <v>254793974314</v>
      </c>
      <c r="E260" s="21">
        <v>46031.4143981481</v>
      </c>
      <c r="F260" s="4">
        <v>621.44</v>
      </c>
      <c r="G260" s="4">
        <v>0</v>
      </c>
      <c r="H260" s="4">
        <v>621.44</v>
      </c>
      <c r="I260" s="4">
        <v>23.07</v>
      </c>
      <c r="J260" s="4">
        <v>0</v>
      </c>
      <c r="K260" s="4">
        <v>23.07</v>
      </c>
      <c r="L260" s="4">
        <v>256.92</v>
      </c>
      <c r="M260" s="4">
        <v>34170</v>
      </c>
      <c r="N260" s="4">
        <v>170.68</v>
      </c>
      <c r="O260" s="4">
        <v>22700.25</v>
      </c>
      <c r="P260" s="4" t="s">
        <v>29</v>
      </c>
      <c r="Q260" s="4" t="s">
        <v>30</v>
      </c>
      <c r="R260" s="4" t="s">
        <v>164</v>
      </c>
      <c r="S260" s="4">
        <v>0</v>
      </c>
      <c r="T260" s="4">
        <v>1710</v>
      </c>
      <c r="U260" s="4">
        <v>0</v>
      </c>
      <c r="V260" s="4" t="s">
        <v>32</v>
      </c>
      <c r="W260" s="4" t="s">
        <v>32</v>
      </c>
      <c r="X260" s="4" t="s">
        <v>32</v>
      </c>
      <c r="Y260" s="4" t="s">
        <v>32</v>
      </c>
      <c r="Z260" s="4" t="s">
        <v>32</v>
      </c>
      <c r="AA260" s="4" t="s">
        <v>32</v>
      </c>
    </row>
    <row r="261" s="4" customFormat="1" spans="1:27">
      <c r="A261" s="4" t="s">
        <v>104</v>
      </c>
      <c r="B261" s="4" t="s">
        <v>28</v>
      </c>
      <c r="C261" s="4">
        <v>21655169</v>
      </c>
      <c r="D261" s="19">
        <v>254794992787</v>
      </c>
      <c r="E261" s="21">
        <v>46083.391724537</v>
      </c>
      <c r="F261" s="4">
        <v>580.14</v>
      </c>
      <c r="G261" s="4">
        <v>0</v>
      </c>
      <c r="H261" s="4">
        <v>580.14</v>
      </c>
      <c r="I261" s="4">
        <v>29.29</v>
      </c>
      <c r="J261" s="4">
        <v>0</v>
      </c>
      <c r="K261" s="4">
        <v>29.29</v>
      </c>
      <c r="L261" s="4">
        <v>139.77</v>
      </c>
      <c r="M261" s="4">
        <v>18590</v>
      </c>
      <c r="N261" s="4">
        <v>132.06</v>
      </c>
      <c r="O261" s="4">
        <v>17564.55</v>
      </c>
      <c r="P261" s="4" t="s">
        <v>29</v>
      </c>
      <c r="Q261" s="4" t="s">
        <v>30</v>
      </c>
      <c r="R261" s="4" t="s">
        <v>164</v>
      </c>
      <c r="S261" s="4">
        <v>0</v>
      </c>
      <c r="T261" s="4">
        <v>930</v>
      </c>
      <c r="U261" s="4">
        <v>0</v>
      </c>
      <c r="V261" s="4" t="s">
        <v>32</v>
      </c>
      <c r="W261" s="4" t="s">
        <v>32</v>
      </c>
      <c r="X261" s="4" t="s">
        <v>32</v>
      </c>
      <c r="Y261" s="4" t="s">
        <v>32</v>
      </c>
      <c r="Z261" s="4" t="s">
        <v>32</v>
      </c>
      <c r="AA261" s="4" t="s">
        <v>32</v>
      </c>
    </row>
    <row r="262" s="4" customFormat="1" spans="1:27">
      <c r="A262" s="4" t="s">
        <v>104</v>
      </c>
      <c r="B262" s="4" t="s">
        <v>28</v>
      </c>
      <c r="C262" s="4">
        <v>16729919</v>
      </c>
      <c r="D262" s="19">
        <v>254797104848</v>
      </c>
      <c r="E262" s="21">
        <v>45797.0153819445</v>
      </c>
      <c r="F262" s="4">
        <v>332.74</v>
      </c>
      <c r="G262" s="4">
        <v>0.77</v>
      </c>
      <c r="H262" s="4">
        <v>331.97</v>
      </c>
      <c r="I262" s="4">
        <v>-24.12</v>
      </c>
      <c r="J262" s="4">
        <v>0.68</v>
      </c>
      <c r="K262" s="4">
        <v>-24.8</v>
      </c>
      <c r="L262" s="4">
        <v>130.57</v>
      </c>
      <c r="M262" s="4">
        <v>17366</v>
      </c>
      <c r="N262" s="4">
        <v>0</v>
      </c>
      <c r="O262" s="4">
        <v>0</v>
      </c>
      <c r="P262" s="4" t="s">
        <v>34</v>
      </c>
      <c r="Q262" s="4" t="s">
        <v>30</v>
      </c>
      <c r="R262" s="4" t="s">
        <v>164</v>
      </c>
      <c r="S262" s="4">
        <v>0</v>
      </c>
      <c r="T262" s="4">
        <v>870</v>
      </c>
      <c r="U262" s="4">
        <v>0</v>
      </c>
      <c r="V262" s="4" t="s">
        <v>32</v>
      </c>
      <c r="W262" s="4" t="s">
        <v>32</v>
      </c>
      <c r="X262" s="4" t="s">
        <v>32</v>
      </c>
      <c r="Y262" s="4" t="s">
        <v>32</v>
      </c>
      <c r="Z262" s="4" t="s">
        <v>32</v>
      </c>
      <c r="AA262" s="4" t="s">
        <v>32</v>
      </c>
    </row>
    <row r="263" s="4" customFormat="1" spans="1:27">
      <c r="A263" s="4" t="s">
        <v>104</v>
      </c>
      <c r="B263" s="4" t="s">
        <v>28</v>
      </c>
      <c r="C263" s="4">
        <v>22219358</v>
      </c>
      <c r="D263" s="19">
        <v>254797129216</v>
      </c>
      <c r="E263" s="21">
        <v>46114.8485069444</v>
      </c>
      <c r="F263" s="4">
        <v>141.14</v>
      </c>
      <c r="G263" s="4">
        <v>4.51</v>
      </c>
      <c r="H263" s="4">
        <v>136.63</v>
      </c>
      <c r="I263" s="4">
        <v>-27.93</v>
      </c>
      <c r="J263" s="4">
        <v>-15.51</v>
      </c>
      <c r="K263" s="4">
        <v>-12.42</v>
      </c>
      <c r="L263" s="4">
        <v>50.04</v>
      </c>
      <c r="M263" s="4">
        <v>6655</v>
      </c>
      <c r="N263" s="4">
        <v>47.54</v>
      </c>
      <c r="O263" s="4">
        <v>6322.25</v>
      </c>
      <c r="P263" s="4" t="s">
        <v>29</v>
      </c>
      <c r="Q263" s="4" t="s">
        <v>30</v>
      </c>
      <c r="R263" s="4" t="s">
        <v>164</v>
      </c>
      <c r="S263" s="4">
        <v>0</v>
      </c>
      <c r="T263" s="4">
        <v>330</v>
      </c>
      <c r="U263" s="4">
        <v>0</v>
      </c>
      <c r="V263" s="4" t="s">
        <v>32</v>
      </c>
      <c r="W263" s="4" t="s">
        <v>32</v>
      </c>
      <c r="X263" s="4" t="s">
        <v>32</v>
      </c>
      <c r="Y263" s="4" t="s">
        <v>32</v>
      </c>
      <c r="Z263" s="4" t="s">
        <v>32</v>
      </c>
      <c r="AA263" s="4" t="s">
        <v>32</v>
      </c>
    </row>
    <row r="264" s="4" customFormat="1" spans="1:27">
      <c r="A264" s="4" t="s">
        <v>104</v>
      </c>
      <c r="B264" s="4" t="s">
        <v>28</v>
      </c>
      <c r="C264" s="4">
        <v>15770088</v>
      </c>
      <c r="D264" s="19">
        <v>254797204012</v>
      </c>
      <c r="E264" s="21">
        <v>45695.4564236111</v>
      </c>
      <c r="F264" s="4">
        <v>704.32</v>
      </c>
      <c r="G264" s="4">
        <v>0.02</v>
      </c>
      <c r="H264" s="4">
        <v>704.3</v>
      </c>
      <c r="I264" s="4">
        <v>55.64</v>
      </c>
      <c r="J264" s="4">
        <v>-0.01</v>
      </c>
      <c r="K264" s="4">
        <v>55.65</v>
      </c>
      <c r="L264" s="4">
        <v>92.33</v>
      </c>
      <c r="M264" s="4">
        <v>12280</v>
      </c>
      <c r="N264" s="4">
        <v>0</v>
      </c>
      <c r="O264" s="4">
        <v>0</v>
      </c>
      <c r="P264" s="4" t="s">
        <v>34</v>
      </c>
      <c r="Q264" s="4" t="s">
        <v>30</v>
      </c>
      <c r="R264" s="4" t="s">
        <v>164</v>
      </c>
      <c r="S264" s="4">
        <v>0</v>
      </c>
      <c r="T264" s="4">
        <v>610</v>
      </c>
      <c r="U264" s="4">
        <v>0</v>
      </c>
      <c r="V264" s="4" t="s">
        <v>32</v>
      </c>
      <c r="W264" s="4" t="s">
        <v>32</v>
      </c>
      <c r="X264" s="4" t="s">
        <v>32</v>
      </c>
      <c r="Y264" s="4" t="s">
        <v>32</v>
      </c>
      <c r="Z264" s="4" t="s">
        <v>32</v>
      </c>
      <c r="AA264" s="4" t="s">
        <v>32</v>
      </c>
    </row>
    <row r="265" s="4" customFormat="1" spans="1:27">
      <c r="A265" s="4" t="s">
        <v>104</v>
      </c>
      <c r="B265" s="4" t="s">
        <v>28</v>
      </c>
      <c r="C265" s="4">
        <v>1907556</v>
      </c>
      <c r="D265" s="19">
        <v>254798424729</v>
      </c>
      <c r="E265" s="21">
        <v>44030.6439583333</v>
      </c>
      <c r="F265" s="4">
        <v>1193.14</v>
      </c>
      <c r="G265" s="4">
        <v>0</v>
      </c>
      <c r="H265" s="4">
        <v>1193.14</v>
      </c>
      <c r="I265" s="4">
        <v>-9.71</v>
      </c>
      <c r="J265" s="4">
        <v>0</v>
      </c>
      <c r="K265" s="4">
        <v>-9.71</v>
      </c>
      <c r="L265" s="4">
        <v>286.53</v>
      </c>
      <c r="M265" s="4">
        <v>38108</v>
      </c>
      <c r="N265" s="4">
        <v>200.06</v>
      </c>
      <c r="O265" s="4">
        <v>26607.6</v>
      </c>
      <c r="P265" s="4" t="s">
        <v>29</v>
      </c>
      <c r="Q265" s="4" t="s">
        <v>30</v>
      </c>
      <c r="R265" s="4" t="s">
        <v>164</v>
      </c>
      <c r="S265" s="4">
        <v>0</v>
      </c>
      <c r="T265" s="4">
        <v>1910</v>
      </c>
      <c r="U265" s="4">
        <v>0</v>
      </c>
      <c r="V265" s="4" t="s">
        <v>32</v>
      </c>
      <c r="W265" s="4" t="s">
        <v>32</v>
      </c>
      <c r="X265" s="4" t="s">
        <v>32</v>
      </c>
      <c r="Y265" s="4" t="s">
        <v>32</v>
      </c>
      <c r="Z265" s="4" t="s">
        <v>32</v>
      </c>
      <c r="AA265" s="4" t="s">
        <v>32</v>
      </c>
    </row>
    <row r="266" s="4" customFormat="1" spans="1:27">
      <c r="A266" s="4" t="s">
        <v>104</v>
      </c>
      <c r="B266" s="4" t="s">
        <v>28</v>
      </c>
      <c r="C266" s="4">
        <v>20901489</v>
      </c>
      <c r="D266" s="19">
        <v>254798829500</v>
      </c>
      <c r="E266" s="21">
        <v>46044.1925</v>
      </c>
      <c r="F266" s="4">
        <v>283.21</v>
      </c>
      <c r="G266" s="4">
        <v>0</v>
      </c>
      <c r="H266" s="4">
        <v>283.21</v>
      </c>
      <c r="I266" s="4">
        <v>-7.96</v>
      </c>
      <c r="J266" s="4">
        <v>0</v>
      </c>
      <c r="K266" s="4">
        <v>-7.96</v>
      </c>
      <c r="L266" s="4">
        <v>76.65</v>
      </c>
      <c r="M266" s="4">
        <v>10194</v>
      </c>
      <c r="N266" s="4">
        <v>72.81</v>
      </c>
      <c r="O266" s="4">
        <v>9684.3</v>
      </c>
      <c r="P266" s="4" t="s">
        <v>29</v>
      </c>
      <c r="Q266" s="4" t="s">
        <v>30</v>
      </c>
      <c r="R266" s="4" t="s">
        <v>164</v>
      </c>
      <c r="S266" s="4">
        <v>0</v>
      </c>
      <c r="T266" s="4">
        <v>510</v>
      </c>
      <c r="U266" s="4">
        <v>0</v>
      </c>
      <c r="V266" s="4" t="s">
        <v>32</v>
      </c>
      <c r="W266" s="4" t="s">
        <v>32</v>
      </c>
      <c r="X266" s="4" t="s">
        <v>32</v>
      </c>
      <c r="Y266" s="4" t="s">
        <v>32</v>
      </c>
      <c r="Z266" s="4" t="s">
        <v>32</v>
      </c>
      <c r="AA266" s="4" t="s">
        <v>32</v>
      </c>
    </row>
    <row r="267" s="4" customFormat="1" spans="1:27">
      <c r="A267" s="4" t="s">
        <v>105</v>
      </c>
      <c r="B267" s="4" t="s">
        <v>28</v>
      </c>
      <c r="C267" s="4">
        <v>19939269</v>
      </c>
      <c r="D267" s="19">
        <v>254112579930</v>
      </c>
      <c r="E267" s="21">
        <v>45997.5921412037</v>
      </c>
      <c r="F267" s="4">
        <v>975.95</v>
      </c>
      <c r="G267" s="4">
        <v>0.02</v>
      </c>
      <c r="H267" s="4">
        <v>975.94</v>
      </c>
      <c r="I267" s="4">
        <v>61.4</v>
      </c>
      <c r="J267" s="4">
        <v>0.02</v>
      </c>
      <c r="K267" s="4">
        <v>61.39</v>
      </c>
      <c r="L267" s="4">
        <v>444.68</v>
      </c>
      <c r="M267" s="4">
        <v>59142</v>
      </c>
      <c r="N267" s="4">
        <v>91.26</v>
      </c>
      <c r="O267" s="4">
        <v>12138.15</v>
      </c>
      <c r="P267" s="4" t="s">
        <v>34</v>
      </c>
      <c r="Q267" s="4" t="s">
        <v>30</v>
      </c>
      <c r="R267" s="4" t="s">
        <v>164</v>
      </c>
      <c r="S267" s="4">
        <v>0</v>
      </c>
      <c r="T267" s="4">
        <v>2960</v>
      </c>
      <c r="U267" s="4">
        <v>0</v>
      </c>
      <c r="V267" s="4" t="s">
        <v>32</v>
      </c>
      <c r="W267" s="4" t="s">
        <v>32</v>
      </c>
      <c r="X267" s="4" t="s">
        <v>32</v>
      </c>
      <c r="Y267" s="4" t="s">
        <v>32</v>
      </c>
      <c r="Z267" s="4" t="s">
        <v>32</v>
      </c>
      <c r="AA267" s="4" t="s">
        <v>32</v>
      </c>
    </row>
    <row r="268" s="4" customFormat="1" spans="1:27">
      <c r="A268" s="4" t="s">
        <v>105</v>
      </c>
      <c r="B268" s="4" t="s">
        <v>28</v>
      </c>
      <c r="C268" s="4">
        <v>11530447</v>
      </c>
      <c r="D268" s="19">
        <v>254113057674</v>
      </c>
      <c r="E268" s="21">
        <v>45260.2246875</v>
      </c>
      <c r="F268" s="4">
        <v>324.6</v>
      </c>
      <c r="G268" s="4">
        <v>0.31</v>
      </c>
      <c r="H268" s="4">
        <v>324.29</v>
      </c>
      <c r="I268" s="4">
        <v>57.51</v>
      </c>
      <c r="J268" s="4">
        <v>0.31</v>
      </c>
      <c r="K268" s="4">
        <v>57.2</v>
      </c>
      <c r="L268" s="4">
        <v>66.92</v>
      </c>
      <c r="M268" s="4">
        <v>8900</v>
      </c>
      <c r="N268" s="4">
        <v>0.71</v>
      </c>
      <c r="O268" s="4">
        <v>95</v>
      </c>
      <c r="P268" s="4" t="s">
        <v>34</v>
      </c>
      <c r="Q268" s="4" t="s">
        <v>30</v>
      </c>
      <c r="R268" s="4" t="s">
        <v>164</v>
      </c>
      <c r="S268" s="4">
        <v>0</v>
      </c>
      <c r="T268" s="4">
        <v>440</v>
      </c>
      <c r="U268" s="4">
        <v>0</v>
      </c>
      <c r="V268" s="4" t="s">
        <v>32</v>
      </c>
      <c r="W268" s="4" t="s">
        <v>32</v>
      </c>
      <c r="X268" s="4" t="s">
        <v>32</v>
      </c>
      <c r="Y268" s="4" t="s">
        <v>32</v>
      </c>
      <c r="Z268" s="4" t="s">
        <v>32</v>
      </c>
      <c r="AA268" s="4" t="s">
        <v>32</v>
      </c>
    </row>
    <row r="269" s="4" customFormat="1" spans="1:27">
      <c r="A269" s="4" t="s">
        <v>105</v>
      </c>
      <c r="B269" s="4" t="s">
        <v>28</v>
      </c>
      <c r="C269" s="4">
        <v>11858149</v>
      </c>
      <c r="D269" s="19">
        <v>254113240758</v>
      </c>
      <c r="E269" s="21">
        <v>45291.2815740741</v>
      </c>
      <c r="F269" s="4">
        <v>493.12</v>
      </c>
      <c r="G269" s="4">
        <v>0.84</v>
      </c>
      <c r="H269" s="4">
        <v>492.28</v>
      </c>
      <c r="I269" s="4">
        <v>47.92</v>
      </c>
      <c r="J269" s="4">
        <v>-2.87</v>
      </c>
      <c r="K269" s="4">
        <v>50.8</v>
      </c>
      <c r="L269" s="4">
        <v>88.83</v>
      </c>
      <c r="M269" s="4">
        <v>11815</v>
      </c>
      <c r="N269" s="4">
        <v>16.36</v>
      </c>
      <c r="O269" s="4">
        <v>2175.5</v>
      </c>
      <c r="P269" s="4" t="s">
        <v>34</v>
      </c>
      <c r="Q269" s="4" t="s">
        <v>30</v>
      </c>
      <c r="R269" s="4" t="s">
        <v>164</v>
      </c>
      <c r="S269" s="4">
        <v>0</v>
      </c>
      <c r="T269" s="4">
        <v>590</v>
      </c>
      <c r="U269" s="4">
        <v>0</v>
      </c>
      <c r="V269" s="4" t="s">
        <v>32</v>
      </c>
      <c r="W269" s="4" t="s">
        <v>32</v>
      </c>
      <c r="X269" s="4" t="s">
        <v>32</v>
      </c>
      <c r="Y269" s="4" t="s">
        <v>32</v>
      </c>
      <c r="Z269" s="4" t="s">
        <v>32</v>
      </c>
      <c r="AA269" s="4" t="s">
        <v>32</v>
      </c>
    </row>
    <row r="270" s="4" customFormat="1" spans="1:27">
      <c r="A270" s="4" t="s">
        <v>105</v>
      </c>
      <c r="B270" s="4" t="s">
        <v>28</v>
      </c>
      <c r="C270" s="4">
        <v>9934426</v>
      </c>
      <c r="D270" s="19">
        <v>254114389116</v>
      </c>
      <c r="E270" s="21">
        <v>45057.7384143519</v>
      </c>
      <c r="F270" s="4">
        <v>8165.13</v>
      </c>
      <c r="G270" s="4">
        <v>0</v>
      </c>
      <c r="H270" s="4">
        <v>8165.13</v>
      </c>
      <c r="I270" s="4">
        <v>605.24</v>
      </c>
      <c r="J270" s="4">
        <v>0</v>
      </c>
      <c r="K270" s="4">
        <v>605.99</v>
      </c>
      <c r="L270" s="4">
        <v>2337.33</v>
      </c>
      <c r="M270" s="4">
        <v>310865</v>
      </c>
      <c r="N270" s="4">
        <v>0</v>
      </c>
      <c r="O270" s="4">
        <v>0</v>
      </c>
      <c r="P270" s="4" t="s">
        <v>34</v>
      </c>
      <c r="Q270" s="4" t="s">
        <v>33</v>
      </c>
      <c r="R270" s="4" t="s">
        <v>164</v>
      </c>
      <c r="S270" s="4">
        <v>0</v>
      </c>
      <c r="T270" s="4">
        <v>15540</v>
      </c>
      <c r="U270" s="4">
        <v>0</v>
      </c>
      <c r="V270" s="4" t="s">
        <v>32</v>
      </c>
      <c r="W270" s="4" t="s">
        <v>32</v>
      </c>
      <c r="X270" s="4" t="s">
        <v>32</v>
      </c>
      <c r="Y270" s="4" t="s">
        <v>32</v>
      </c>
      <c r="Z270" s="4" t="s">
        <v>32</v>
      </c>
      <c r="AA270" s="4" t="s">
        <v>32</v>
      </c>
    </row>
    <row r="271" s="4" customFormat="1" spans="1:27">
      <c r="A271" s="4" t="s">
        <v>105</v>
      </c>
      <c r="B271" s="4" t="s">
        <v>28</v>
      </c>
      <c r="C271" s="4">
        <v>13447628</v>
      </c>
      <c r="D271" s="19">
        <v>254114392239</v>
      </c>
      <c r="E271" s="21">
        <v>45517.7601157407</v>
      </c>
      <c r="F271" s="4">
        <v>1280</v>
      </c>
      <c r="G271" s="4">
        <v>1.44</v>
      </c>
      <c r="H271" s="4">
        <v>1278.57</v>
      </c>
      <c r="I271" s="4">
        <v>65.68</v>
      </c>
      <c r="J271" s="4">
        <v>1.18</v>
      </c>
      <c r="K271" s="4">
        <v>64.49</v>
      </c>
      <c r="L271" s="4">
        <v>247.55</v>
      </c>
      <c r="M271" s="4">
        <v>32924</v>
      </c>
      <c r="N271" s="4">
        <v>29.75</v>
      </c>
      <c r="O271" s="4">
        <v>3956.75</v>
      </c>
      <c r="P271" s="4" t="s">
        <v>34</v>
      </c>
      <c r="Q271" s="4" t="s">
        <v>30</v>
      </c>
      <c r="R271" s="4" t="s">
        <v>164</v>
      </c>
      <c r="S271" s="4">
        <v>0</v>
      </c>
      <c r="T271" s="4">
        <v>1650</v>
      </c>
      <c r="U271" s="4">
        <v>0</v>
      </c>
      <c r="V271" s="4" t="s">
        <v>32</v>
      </c>
      <c r="W271" s="4" t="s">
        <v>32</v>
      </c>
      <c r="X271" s="4" t="s">
        <v>32</v>
      </c>
      <c r="Y271" s="4" t="s">
        <v>32</v>
      </c>
      <c r="Z271" s="4" t="s">
        <v>32</v>
      </c>
      <c r="AA271" s="4" t="s">
        <v>32</v>
      </c>
    </row>
    <row r="272" s="4" customFormat="1" spans="1:27">
      <c r="A272" s="4" t="s">
        <v>105</v>
      </c>
      <c r="B272" s="4" t="s">
        <v>28</v>
      </c>
      <c r="C272" s="4">
        <v>3388309</v>
      </c>
      <c r="D272" s="19">
        <v>254114447701</v>
      </c>
      <c r="E272" s="21">
        <v>44201.2487384259</v>
      </c>
      <c r="F272" s="4">
        <v>1505.18</v>
      </c>
      <c r="G272" s="4">
        <v>2.21</v>
      </c>
      <c r="H272" s="4">
        <v>1502.97</v>
      </c>
      <c r="I272" s="4">
        <v>4.38</v>
      </c>
      <c r="J272" s="4">
        <v>-13.22</v>
      </c>
      <c r="K272" s="4">
        <v>17.6</v>
      </c>
      <c r="L272" s="4">
        <v>424.71</v>
      </c>
      <c r="M272" s="4">
        <v>56487</v>
      </c>
      <c r="N272" s="4">
        <v>63.46</v>
      </c>
      <c r="O272" s="4">
        <v>8440.75</v>
      </c>
      <c r="P272" s="4" t="s">
        <v>34</v>
      </c>
      <c r="Q272" s="4" t="s">
        <v>30</v>
      </c>
      <c r="R272" s="4" t="s">
        <v>164</v>
      </c>
      <c r="S272" s="4">
        <v>0</v>
      </c>
      <c r="T272" s="4">
        <v>2820</v>
      </c>
      <c r="U272" s="4">
        <v>0</v>
      </c>
      <c r="V272" s="4" t="s">
        <v>32</v>
      </c>
      <c r="W272" s="4" t="s">
        <v>32</v>
      </c>
      <c r="X272" s="4" t="s">
        <v>32</v>
      </c>
      <c r="Y272" s="4" t="s">
        <v>32</v>
      </c>
      <c r="Z272" s="4" t="s">
        <v>32</v>
      </c>
      <c r="AA272" s="4" t="s">
        <v>32</v>
      </c>
    </row>
    <row r="273" s="4" customFormat="1" spans="1:27">
      <c r="A273" s="4" t="s">
        <v>105</v>
      </c>
      <c r="B273" s="4" t="s">
        <v>28</v>
      </c>
      <c r="C273" s="4">
        <v>18696947</v>
      </c>
      <c r="D273" s="19">
        <v>254114595365</v>
      </c>
      <c r="E273" s="21">
        <v>45927.8667939815</v>
      </c>
      <c r="F273" s="4">
        <v>429.07</v>
      </c>
      <c r="G273" s="4">
        <v>0</v>
      </c>
      <c r="H273" s="4">
        <v>429.07</v>
      </c>
      <c r="I273" s="4">
        <v>49.47</v>
      </c>
      <c r="J273" s="4">
        <v>0</v>
      </c>
      <c r="K273" s="4">
        <v>49.47</v>
      </c>
      <c r="L273" s="4">
        <v>94.36</v>
      </c>
      <c r="M273" s="4">
        <v>12550</v>
      </c>
      <c r="N273" s="4">
        <v>21.43</v>
      </c>
      <c r="O273" s="4">
        <v>2850</v>
      </c>
      <c r="P273" s="4" t="s">
        <v>29</v>
      </c>
      <c r="Q273" s="4" t="s">
        <v>30</v>
      </c>
      <c r="R273" s="4" t="s">
        <v>164</v>
      </c>
      <c r="S273" s="4">
        <v>0</v>
      </c>
      <c r="T273" s="4">
        <v>630</v>
      </c>
      <c r="U273" s="4">
        <v>0</v>
      </c>
      <c r="V273" s="4" t="s">
        <v>32</v>
      </c>
      <c r="W273" s="4" t="s">
        <v>32</v>
      </c>
      <c r="X273" s="4" t="s">
        <v>32</v>
      </c>
      <c r="Y273" s="4" t="s">
        <v>32</v>
      </c>
      <c r="Z273" s="4" t="s">
        <v>32</v>
      </c>
      <c r="AA273" s="4" t="s">
        <v>32</v>
      </c>
    </row>
    <row r="274" s="4" customFormat="1" spans="1:27">
      <c r="A274" s="4" t="s">
        <v>105</v>
      </c>
      <c r="B274" s="4" t="s">
        <v>28</v>
      </c>
      <c r="C274" s="4">
        <v>17363757</v>
      </c>
      <c r="D274" s="19">
        <v>254114598823</v>
      </c>
      <c r="E274" s="21">
        <v>45849.4863194444</v>
      </c>
      <c r="F274" s="4">
        <v>173.83</v>
      </c>
      <c r="G274" s="4">
        <v>0</v>
      </c>
      <c r="H274" s="4">
        <v>173.83</v>
      </c>
      <c r="I274" s="4">
        <v>14.73</v>
      </c>
      <c r="J274" s="4">
        <v>0</v>
      </c>
      <c r="K274" s="4">
        <v>14.73</v>
      </c>
      <c r="L274" s="4">
        <v>61.8</v>
      </c>
      <c r="M274" s="4">
        <v>8220</v>
      </c>
      <c r="N274" s="4">
        <v>32.69</v>
      </c>
      <c r="O274" s="4">
        <v>4347.2</v>
      </c>
      <c r="P274" s="4" t="s">
        <v>34</v>
      </c>
      <c r="Q274" s="4" t="s">
        <v>30</v>
      </c>
      <c r="R274" s="4" t="s">
        <v>164</v>
      </c>
      <c r="S274" s="4">
        <v>0</v>
      </c>
      <c r="T274" s="4">
        <v>410</v>
      </c>
      <c r="U274" s="4">
        <v>0</v>
      </c>
      <c r="V274" s="4" t="s">
        <v>32</v>
      </c>
      <c r="W274" s="4" t="s">
        <v>32</v>
      </c>
      <c r="X274" s="4" t="s">
        <v>32</v>
      </c>
      <c r="Y274" s="4" t="s">
        <v>32</v>
      </c>
      <c r="Z274" s="4" t="s">
        <v>32</v>
      </c>
      <c r="AA274" s="4" t="s">
        <v>32</v>
      </c>
    </row>
    <row r="275" s="4" customFormat="1" spans="1:27">
      <c r="A275" s="4" t="s">
        <v>105</v>
      </c>
      <c r="B275" s="4" t="s">
        <v>28</v>
      </c>
      <c r="C275" s="4">
        <v>21996288</v>
      </c>
      <c r="D275" s="19">
        <v>254114739239</v>
      </c>
      <c r="E275" s="21">
        <v>46101.595</v>
      </c>
      <c r="F275" s="4">
        <v>2504.26</v>
      </c>
      <c r="G275" s="4">
        <v>0</v>
      </c>
      <c r="H275" s="4">
        <v>2504.26</v>
      </c>
      <c r="I275" s="4">
        <v>-179.99</v>
      </c>
      <c r="J275" s="4">
        <v>0</v>
      </c>
      <c r="K275" s="4">
        <v>-179.99</v>
      </c>
      <c r="L275" s="4">
        <v>545.86</v>
      </c>
      <c r="M275" s="4">
        <v>72600</v>
      </c>
      <c r="N275" s="4">
        <v>518.57</v>
      </c>
      <c r="O275" s="4">
        <v>68970</v>
      </c>
      <c r="P275" s="4" t="s">
        <v>29</v>
      </c>
      <c r="Q275" s="4" t="s">
        <v>30</v>
      </c>
      <c r="R275" s="4" t="s">
        <v>164</v>
      </c>
      <c r="S275" s="4">
        <v>0</v>
      </c>
      <c r="T275" s="4">
        <v>3630</v>
      </c>
      <c r="U275" s="4">
        <v>0</v>
      </c>
      <c r="V275" s="4" t="s">
        <v>32</v>
      </c>
      <c r="W275" s="4" t="s">
        <v>32</v>
      </c>
      <c r="X275" s="4" t="s">
        <v>32</v>
      </c>
      <c r="Y275" s="4" t="s">
        <v>32</v>
      </c>
      <c r="Z275" s="4" t="s">
        <v>32</v>
      </c>
      <c r="AA275" s="4" t="s">
        <v>32</v>
      </c>
    </row>
    <row r="276" s="4" customFormat="1" spans="1:27">
      <c r="A276" s="4" t="s">
        <v>105</v>
      </c>
      <c r="B276" s="4" t="s">
        <v>28</v>
      </c>
      <c r="C276" s="4">
        <v>22436379</v>
      </c>
      <c r="D276" s="19">
        <v>254114793929</v>
      </c>
      <c r="E276" s="21">
        <v>46127.3903935185</v>
      </c>
      <c r="F276" s="4">
        <v>348.46</v>
      </c>
      <c r="G276" s="4">
        <v>0.02</v>
      </c>
      <c r="H276" s="4">
        <v>348.44</v>
      </c>
      <c r="I276" s="4">
        <v>32.1</v>
      </c>
      <c r="J276" s="4">
        <v>0</v>
      </c>
      <c r="K276" s="4">
        <v>32.1</v>
      </c>
      <c r="L276" s="4">
        <v>61.82</v>
      </c>
      <c r="M276" s="4">
        <v>8222</v>
      </c>
      <c r="N276" s="4">
        <v>58.73</v>
      </c>
      <c r="O276" s="4">
        <v>7810.9</v>
      </c>
      <c r="P276" s="4" t="s">
        <v>29</v>
      </c>
      <c r="Q276" s="4" t="s">
        <v>30</v>
      </c>
      <c r="R276" s="4" t="s">
        <v>164</v>
      </c>
      <c r="S276" s="4">
        <v>0</v>
      </c>
      <c r="T276" s="4">
        <v>410</v>
      </c>
      <c r="U276" s="4">
        <v>0</v>
      </c>
      <c r="V276" s="4" t="s">
        <v>32</v>
      </c>
      <c r="W276" s="4" t="s">
        <v>32</v>
      </c>
      <c r="X276" s="4" t="s">
        <v>32</v>
      </c>
      <c r="Y276" s="4" t="s">
        <v>32</v>
      </c>
      <c r="Z276" s="4" t="s">
        <v>32</v>
      </c>
      <c r="AA276" s="4" t="s">
        <v>32</v>
      </c>
    </row>
    <row r="277" s="4" customFormat="1" spans="1:27">
      <c r="A277" s="4" t="s">
        <v>105</v>
      </c>
      <c r="B277" s="4" t="s">
        <v>28</v>
      </c>
      <c r="C277" s="4">
        <v>13458746</v>
      </c>
      <c r="D277" s="19">
        <v>254115918387</v>
      </c>
      <c r="E277" s="21">
        <v>45520.185775463</v>
      </c>
      <c r="F277" s="4">
        <v>8481.32</v>
      </c>
      <c r="G277" s="4">
        <v>0.84</v>
      </c>
      <c r="H277" s="4">
        <v>8480.48</v>
      </c>
      <c r="I277" s="4">
        <v>-401.72</v>
      </c>
      <c r="J277" s="4">
        <v>0.84</v>
      </c>
      <c r="K277" s="4">
        <v>-402.56</v>
      </c>
      <c r="L277" s="4">
        <v>720.23</v>
      </c>
      <c r="M277" s="4">
        <v>95791</v>
      </c>
      <c r="N277" s="4">
        <v>532.32</v>
      </c>
      <c r="O277" s="4">
        <v>70798.75</v>
      </c>
      <c r="P277" s="4" t="s">
        <v>29</v>
      </c>
      <c r="Q277" s="4" t="s">
        <v>30</v>
      </c>
      <c r="R277" s="4" t="s">
        <v>164</v>
      </c>
      <c r="S277" s="4">
        <v>0</v>
      </c>
      <c r="T277" s="4">
        <v>4790</v>
      </c>
      <c r="U277" s="4">
        <v>0</v>
      </c>
      <c r="V277" s="4" t="s">
        <v>32</v>
      </c>
      <c r="W277" s="4" t="s">
        <v>32</v>
      </c>
      <c r="X277" s="4" t="s">
        <v>32</v>
      </c>
      <c r="Y277" s="4" t="s">
        <v>32</v>
      </c>
      <c r="Z277" s="4" t="s">
        <v>32</v>
      </c>
      <c r="AA277" s="4" t="s">
        <v>32</v>
      </c>
    </row>
    <row r="278" s="4" customFormat="1" spans="1:27">
      <c r="A278" s="4" t="s">
        <v>105</v>
      </c>
      <c r="B278" s="4" t="s">
        <v>28</v>
      </c>
      <c r="C278" s="4">
        <v>16735809</v>
      </c>
      <c r="D278" s="19">
        <v>254116138504</v>
      </c>
      <c r="E278" s="21">
        <v>45797.6762268519</v>
      </c>
      <c r="F278" s="4">
        <v>3198.51</v>
      </c>
      <c r="G278" s="4">
        <v>5.78</v>
      </c>
      <c r="H278" s="4">
        <v>3192.72</v>
      </c>
      <c r="I278" s="4">
        <v>18.57</v>
      </c>
      <c r="J278" s="4">
        <v>1.91</v>
      </c>
      <c r="K278" s="4">
        <v>16.66</v>
      </c>
      <c r="L278" s="4">
        <v>347.67</v>
      </c>
      <c r="M278" s="4">
        <v>46240</v>
      </c>
      <c r="N278" s="4">
        <v>64.64</v>
      </c>
      <c r="O278" s="4">
        <v>8597.5</v>
      </c>
      <c r="P278" s="4" t="s">
        <v>34</v>
      </c>
      <c r="Q278" s="4" t="s">
        <v>30</v>
      </c>
      <c r="R278" s="4" t="s">
        <v>164</v>
      </c>
      <c r="S278" s="4">
        <v>0</v>
      </c>
      <c r="T278" s="4">
        <v>2310</v>
      </c>
      <c r="U278" s="4">
        <v>0</v>
      </c>
      <c r="V278" s="4" t="s">
        <v>32</v>
      </c>
      <c r="W278" s="4" t="s">
        <v>32</v>
      </c>
      <c r="X278" s="4" t="s">
        <v>32</v>
      </c>
      <c r="Y278" s="4" t="s">
        <v>32</v>
      </c>
      <c r="Z278" s="4" t="s">
        <v>32</v>
      </c>
      <c r="AA278" s="4" t="s">
        <v>32</v>
      </c>
    </row>
    <row r="279" s="4" customFormat="1" spans="1:27">
      <c r="A279" s="4" t="s">
        <v>105</v>
      </c>
      <c r="B279" s="4" t="s">
        <v>28</v>
      </c>
      <c r="C279" s="4">
        <v>22951698</v>
      </c>
      <c r="D279" s="19">
        <v>254116621779</v>
      </c>
      <c r="E279" s="21">
        <v>46163.2965740741</v>
      </c>
      <c r="F279" s="4">
        <v>0.08</v>
      </c>
      <c r="G279" s="4">
        <v>0</v>
      </c>
      <c r="H279" s="4">
        <v>0.08</v>
      </c>
      <c r="I279" s="4">
        <v>0.08</v>
      </c>
      <c r="J279" s="4">
        <v>0</v>
      </c>
      <c r="K279" s="4">
        <v>0.08</v>
      </c>
      <c r="L279" s="4">
        <v>337.59</v>
      </c>
      <c r="M279" s="4">
        <v>44900</v>
      </c>
      <c r="N279" s="4">
        <v>320.71</v>
      </c>
      <c r="O279" s="4">
        <v>42655</v>
      </c>
      <c r="P279" s="4" t="s">
        <v>29</v>
      </c>
      <c r="Q279" s="4" t="s">
        <v>30</v>
      </c>
      <c r="R279" s="4" t="s">
        <v>164</v>
      </c>
      <c r="S279" s="4">
        <v>0</v>
      </c>
      <c r="T279" s="4">
        <v>2240</v>
      </c>
      <c r="U279" s="4">
        <v>0</v>
      </c>
      <c r="V279" s="4" t="s">
        <v>32</v>
      </c>
      <c r="W279" s="4" t="s">
        <v>32</v>
      </c>
      <c r="X279" s="4" t="s">
        <v>32</v>
      </c>
      <c r="Y279" s="4" t="s">
        <v>32</v>
      </c>
      <c r="Z279" s="4" t="s">
        <v>32</v>
      </c>
      <c r="AA279" s="4" t="s">
        <v>32</v>
      </c>
    </row>
    <row r="280" s="4" customFormat="1" spans="1:27">
      <c r="A280" s="4" t="s">
        <v>105</v>
      </c>
      <c r="B280" s="4" t="s">
        <v>28</v>
      </c>
      <c r="C280" s="4">
        <v>22855389</v>
      </c>
      <c r="D280" s="19">
        <v>254700661367</v>
      </c>
      <c r="E280" s="21">
        <v>46156.2488310185</v>
      </c>
      <c r="F280" s="4">
        <v>639.51</v>
      </c>
      <c r="G280" s="4">
        <v>0</v>
      </c>
      <c r="H280" s="4">
        <v>639.51</v>
      </c>
      <c r="I280" s="4">
        <v>38.52</v>
      </c>
      <c r="J280" s="4">
        <v>0</v>
      </c>
      <c r="K280" s="4">
        <v>38.52</v>
      </c>
      <c r="L280" s="4">
        <v>52.19</v>
      </c>
      <c r="M280" s="4">
        <v>6941</v>
      </c>
      <c r="N280" s="4">
        <v>49.58</v>
      </c>
      <c r="O280" s="4">
        <v>6593.95</v>
      </c>
      <c r="P280" s="4" t="s">
        <v>29</v>
      </c>
      <c r="Q280" s="4" t="s">
        <v>30</v>
      </c>
      <c r="R280" s="4" t="s">
        <v>164</v>
      </c>
      <c r="S280" s="4">
        <v>0</v>
      </c>
      <c r="T280" s="4">
        <v>350</v>
      </c>
      <c r="U280" s="4">
        <v>0</v>
      </c>
      <c r="V280" s="4" t="s">
        <v>32</v>
      </c>
      <c r="W280" s="4" t="s">
        <v>32</v>
      </c>
      <c r="X280" s="4" t="s">
        <v>32</v>
      </c>
      <c r="Y280" s="4" t="s">
        <v>32</v>
      </c>
      <c r="Z280" s="4" t="s">
        <v>32</v>
      </c>
      <c r="AA280" s="4" t="s">
        <v>32</v>
      </c>
    </row>
    <row r="281" s="4" customFormat="1" spans="1:27">
      <c r="A281" s="4" t="s">
        <v>105</v>
      </c>
      <c r="B281" s="4" t="s">
        <v>28</v>
      </c>
      <c r="C281" s="4">
        <v>20412677</v>
      </c>
      <c r="D281" s="19">
        <v>254701540610</v>
      </c>
      <c r="E281" s="21">
        <v>46020.6868518519</v>
      </c>
      <c r="F281" s="4">
        <v>1541.9</v>
      </c>
      <c r="G281" s="4">
        <v>0.26</v>
      </c>
      <c r="H281" s="4">
        <v>1541.64</v>
      </c>
      <c r="I281" s="4">
        <v>96.37</v>
      </c>
      <c r="J281" s="4">
        <v>0.26</v>
      </c>
      <c r="K281" s="4">
        <v>96.1</v>
      </c>
      <c r="L281" s="4">
        <v>264.89</v>
      </c>
      <c r="M281" s="4">
        <v>35231</v>
      </c>
      <c r="N281" s="4">
        <v>38.36</v>
      </c>
      <c r="O281" s="4">
        <v>5102.45</v>
      </c>
      <c r="P281" s="4" t="s">
        <v>34</v>
      </c>
      <c r="Q281" s="4" t="s">
        <v>30</v>
      </c>
      <c r="R281" s="4" t="s">
        <v>164</v>
      </c>
      <c r="S281" s="4">
        <v>0</v>
      </c>
      <c r="T281" s="4">
        <v>1760</v>
      </c>
      <c r="U281" s="4">
        <v>0</v>
      </c>
      <c r="V281" s="4" t="s">
        <v>32</v>
      </c>
      <c r="W281" s="4" t="s">
        <v>32</v>
      </c>
      <c r="X281" s="4" t="s">
        <v>32</v>
      </c>
      <c r="Y281" s="4" t="s">
        <v>32</v>
      </c>
      <c r="Z281" s="4" t="s">
        <v>32</v>
      </c>
      <c r="AA281" s="4" t="s">
        <v>32</v>
      </c>
    </row>
    <row r="282" s="4" customFormat="1" spans="1:27">
      <c r="A282" s="4" t="s">
        <v>105</v>
      </c>
      <c r="B282" s="4" t="s">
        <v>28</v>
      </c>
      <c r="C282" s="4">
        <v>19165987</v>
      </c>
      <c r="D282" s="19">
        <v>254702338333</v>
      </c>
      <c r="E282" s="21">
        <v>45958.7928587963</v>
      </c>
      <c r="F282" s="4">
        <v>280.89</v>
      </c>
      <c r="G282" s="4">
        <v>0</v>
      </c>
      <c r="H282" s="4">
        <v>280.89</v>
      </c>
      <c r="I282" s="4">
        <v>47.44</v>
      </c>
      <c r="J282" s="4">
        <v>-0.39</v>
      </c>
      <c r="K282" s="4">
        <v>47.83</v>
      </c>
      <c r="L282" s="4">
        <v>62.41</v>
      </c>
      <c r="M282" s="4">
        <v>8300</v>
      </c>
      <c r="N282" s="4">
        <v>0</v>
      </c>
      <c r="O282" s="4">
        <v>0</v>
      </c>
      <c r="P282" s="4" t="s">
        <v>29</v>
      </c>
      <c r="Q282" s="4" t="s">
        <v>30</v>
      </c>
      <c r="R282" s="4" t="s">
        <v>164</v>
      </c>
      <c r="S282" s="4">
        <v>0</v>
      </c>
      <c r="T282" s="4">
        <v>420</v>
      </c>
      <c r="U282" s="4">
        <v>0</v>
      </c>
      <c r="V282" s="4" t="s">
        <v>32</v>
      </c>
      <c r="W282" s="4" t="s">
        <v>32</v>
      </c>
      <c r="X282" s="4" t="s">
        <v>32</v>
      </c>
      <c r="Y282" s="4" t="s">
        <v>32</v>
      </c>
      <c r="Z282" s="4" t="s">
        <v>32</v>
      </c>
      <c r="AA282" s="4" t="s">
        <v>32</v>
      </c>
    </row>
    <row r="283" s="4" customFormat="1" spans="1:27">
      <c r="A283" s="4" t="s">
        <v>105</v>
      </c>
      <c r="B283" s="4" t="s">
        <v>28</v>
      </c>
      <c r="C283" s="4">
        <v>13511999</v>
      </c>
      <c r="D283" s="19">
        <v>254702505819</v>
      </c>
      <c r="E283" s="21">
        <v>45526.7547337963</v>
      </c>
      <c r="F283" s="4">
        <v>1805.63</v>
      </c>
      <c r="G283" s="4">
        <v>1.43</v>
      </c>
      <c r="H283" s="4">
        <v>1804.2</v>
      </c>
      <c r="I283" s="4">
        <v>26.23</v>
      </c>
      <c r="J283" s="4">
        <v>1.43</v>
      </c>
      <c r="K283" s="4">
        <v>24.8</v>
      </c>
      <c r="L283" s="4">
        <v>174.86</v>
      </c>
      <c r="M283" s="4">
        <v>23256</v>
      </c>
      <c r="N283" s="4">
        <v>25.74</v>
      </c>
      <c r="O283" s="4">
        <v>3422.85</v>
      </c>
      <c r="P283" s="4" t="s">
        <v>29</v>
      </c>
      <c r="Q283" s="4" t="s">
        <v>30</v>
      </c>
      <c r="R283" s="4" t="s">
        <v>164</v>
      </c>
      <c r="S283" s="4">
        <v>0</v>
      </c>
      <c r="T283" s="4">
        <v>1160</v>
      </c>
      <c r="U283" s="4">
        <v>0</v>
      </c>
      <c r="V283" s="4" t="s">
        <v>32</v>
      </c>
      <c r="W283" s="4" t="s">
        <v>32</v>
      </c>
      <c r="X283" s="4" t="s">
        <v>32</v>
      </c>
      <c r="Y283" s="4" t="s">
        <v>32</v>
      </c>
      <c r="Z283" s="4" t="s">
        <v>32</v>
      </c>
      <c r="AA283" s="4" t="s">
        <v>32</v>
      </c>
    </row>
    <row r="284" s="4" customFormat="1" spans="1:27">
      <c r="A284" s="4" t="s">
        <v>105</v>
      </c>
      <c r="B284" s="4" t="s">
        <v>28</v>
      </c>
      <c r="C284" s="4">
        <v>13429247</v>
      </c>
      <c r="D284" s="19">
        <v>254702852061</v>
      </c>
      <c r="E284" s="21">
        <v>45513.4488773148</v>
      </c>
      <c r="F284" s="4">
        <v>642.02</v>
      </c>
      <c r="G284" s="4">
        <v>0</v>
      </c>
      <c r="H284" s="4">
        <v>642.02</v>
      </c>
      <c r="I284" s="4">
        <v>-48.45</v>
      </c>
      <c r="J284" s="4">
        <v>0</v>
      </c>
      <c r="K284" s="4">
        <v>-48.45</v>
      </c>
      <c r="L284" s="4">
        <v>160.37</v>
      </c>
      <c r="M284" s="4">
        <v>21329</v>
      </c>
      <c r="N284" s="4">
        <v>64.59</v>
      </c>
      <c r="O284" s="4">
        <v>8589.9</v>
      </c>
      <c r="P284" s="4" t="s">
        <v>34</v>
      </c>
      <c r="Q284" s="4" t="s">
        <v>30</v>
      </c>
      <c r="R284" s="4" t="s">
        <v>164</v>
      </c>
      <c r="S284" s="4">
        <v>0</v>
      </c>
      <c r="T284" s="4">
        <v>1070</v>
      </c>
      <c r="U284" s="4">
        <v>0</v>
      </c>
      <c r="V284" s="4" t="s">
        <v>32</v>
      </c>
      <c r="W284" s="4" t="s">
        <v>32</v>
      </c>
      <c r="X284" s="4" t="s">
        <v>32</v>
      </c>
      <c r="Y284" s="4" t="s">
        <v>32</v>
      </c>
      <c r="Z284" s="4" t="s">
        <v>32</v>
      </c>
      <c r="AA284" s="4" t="s">
        <v>32</v>
      </c>
    </row>
    <row r="285" s="4" customFormat="1" spans="1:27">
      <c r="A285" s="4" t="s">
        <v>105</v>
      </c>
      <c r="B285" s="4" t="s">
        <v>28</v>
      </c>
      <c r="C285" s="4">
        <v>19168</v>
      </c>
      <c r="D285" s="19">
        <v>254703319644</v>
      </c>
      <c r="E285" s="21">
        <v>43805.3936689815</v>
      </c>
      <c r="F285" s="4">
        <v>1250.18</v>
      </c>
      <c r="G285" s="4">
        <v>0.02</v>
      </c>
      <c r="H285" s="4">
        <v>1250.17</v>
      </c>
      <c r="I285" s="4">
        <v>53.95</v>
      </c>
      <c r="J285" s="4">
        <v>0.02</v>
      </c>
      <c r="K285" s="4">
        <v>54.69</v>
      </c>
      <c r="L285" s="4">
        <v>313.83</v>
      </c>
      <c r="M285" s="4">
        <v>41740</v>
      </c>
      <c r="N285" s="4">
        <v>81.57</v>
      </c>
      <c r="O285" s="4">
        <v>10849</v>
      </c>
      <c r="P285" s="4" t="s">
        <v>34</v>
      </c>
      <c r="Q285" s="4" t="s">
        <v>30</v>
      </c>
      <c r="R285" s="4" t="s">
        <v>164</v>
      </c>
      <c r="S285" s="4">
        <v>0</v>
      </c>
      <c r="T285" s="4">
        <v>2090</v>
      </c>
      <c r="U285" s="4">
        <v>0</v>
      </c>
      <c r="V285" s="4" t="s">
        <v>32</v>
      </c>
      <c r="W285" s="4" t="s">
        <v>32</v>
      </c>
      <c r="X285" s="4" t="s">
        <v>32</v>
      </c>
      <c r="Y285" s="4" t="s">
        <v>32</v>
      </c>
      <c r="Z285" s="4" t="s">
        <v>32</v>
      </c>
      <c r="AA285" s="4" t="s">
        <v>32</v>
      </c>
    </row>
    <row r="286" s="4" customFormat="1" spans="1:27">
      <c r="A286" s="4" t="s">
        <v>105</v>
      </c>
      <c r="B286" s="4" t="s">
        <v>28</v>
      </c>
      <c r="C286" s="4">
        <v>16548419</v>
      </c>
      <c r="D286" s="19">
        <v>254704092202</v>
      </c>
      <c r="E286" s="21">
        <v>45780.8039699074</v>
      </c>
      <c r="F286" s="4">
        <v>282.47</v>
      </c>
      <c r="G286" s="4">
        <v>0.46</v>
      </c>
      <c r="H286" s="4">
        <v>282.02</v>
      </c>
      <c r="I286" s="4">
        <v>60.84</v>
      </c>
      <c r="J286" s="4">
        <v>0.46</v>
      </c>
      <c r="K286" s="4">
        <v>60.38</v>
      </c>
      <c r="L286" s="4">
        <v>64.92</v>
      </c>
      <c r="M286" s="4">
        <v>8635</v>
      </c>
      <c r="N286" s="4">
        <v>3.29</v>
      </c>
      <c r="O286" s="4">
        <v>437</v>
      </c>
      <c r="P286" s="4" t="s">
        <v>34</v>
      </c>
      <c r="Q286" s="4" t="s">
        <v>30</v>
      </c>
      <c r="R286" s="4" t="s">
        <v>164</v>
      </c>
      <c r="S286" s="4">
        <v>0</v>
      </c>
      <c r="T286" s="4">
        <v>430</v>
      </c>
      <c r="U286" s="4">
        <v>0</v>
      </c>
      <c r="V286" s="4" t="s">
        <v>32</v>
      </c>
      <c r="W286" s="4" t="s">
        <v>32</v>
      </c>
      <c r="X286" s="4" t="s">
        <v>32</v>
      </c>
      <c r="Y286" s="4" t="s">
        <v>32</v>
      </c>
      <c r="Z286" s="4" t="s">
        <v>32</v>
      </c>
      <c r="AA286" s="4" t="s">
        <v>32</v>
      </c>
    </row>
    <row r="287" s="4" customFormat="1" spans="1:27">
      <c r="A287" s="4" t="s">
        <v>105</v>
      </c>
      <c r="B287" s="4" t="s">
        <v>28</v>
      </c>
      <c r="C287" s="4">
        <v>17313467</v>
      </c>
      <c r="D287" s="19">
        <v>254704108930</v>
      </c>
      <c r="E287" s="21">
        <v>45845.6933101852</v>
      </c>
      <c r="F287" s="4">
        <v>2631.89</v>
      </c>
      <c r="G287" s="4">
        <v>0</v>
      </c>
      <c r="H287" s="4">
        <v>2631.89</v>
      </c>
      <c r="I287" s="4">
        <v>44.89</v>
      </c>
      <c r="J287" s="4">
        <v>0</v>
      </c>
      <c r="K287" s="4">
        <v>44.89</v>
      </c>
      <c r="L287" s="4">
        <v>184.88</v>
      </c>
      <c r="M287" s="4">
        <v>24589</v>
      </c>
      <c r="N287" s="4">
        <v>32.46</v>
      </c>
      <c r="O287" s="4">
        <v>4317.75</v>
      </c>
      <c r="P287" s="4" t="s">
        <v>29</v>
      </c>
      <c r="Q287" s="4" t="s">
        <v>30</v>
      </c>
      <c r="R287" s="4" t="s">
        <v>164</v>
      </c>
      <c r="S287" s="4">
        <v>0</v>
      </c>
      <c r="T287" s="4">
        <v>1230</v>
      </c>
      <c r="U287" s="4">
        <v>0</v>
      </c>
      <c r="V287" s="4" t="s">
        <v>32</v>
      </c>
      <c r="W287" s="4" t="s">
        <v>32</v>
      </c>
      <c r="X287" s="4" t="s">
        <v>32</v>
      </c>
      <c r="Y287" s="4" t="s">
        <v>32</v>
      </c>
      <c r="Z287" s="4" t="s">
        <v>32</v>
      </c>
      <c r="AA287" s="4" t="s">
        <v>32</v>
      </c>
    </row>
    <row r="288" s="4" customFormat="1" spans="1:27">
      <c r="A288" s="4" t="s">
        <v>105</v>
      </c>
      <c r="B288" s="4" t="s">
        <v>28</v>
      </c>
      <c r="C288" s="4">
        <v>16124657</v>
      </c>
      <c r="D288" s="19">
        <v>254704126760</v>
      </c>
      <c r="E288" s="21">
        <v>45752.7932523148</v>
      </c>
      <c r="F288" s="4">
        <v>285.23</v>
      </c>
      <c r="G288" s="4">
        <v>0</v>
      </c>
      <c r="H288" s="4">
        <v>285.23</v>
      </c>
      <c r="I288" s="4">
        <v>-0.15</v>
      </c>
      <c r="J288" s="4">
        <v>0</v>
      </c>
      <c r="K288" s="4">
        <v>-0.15</v>
      </c>
      <c r="L288" s="4">
        <v>68.01</v>
      </c>
      <c r="M288" s="4">
        <v>9045</v>
      </c>
      <c r="N288" s="4">
        <v>64.61</v>
      </c>
      <c r="O288" s="4">
        <v>8592.75</v>
      </c>
      <c r="P288" s="4" t="s">
        <v>34</v>
      </c>
      <c r="Q288" s="4" t="s">
        <v>30</v>
      </c>
      <c r="R288" s="4" t="s">
        <v>164</v>
      </c>
      <c r="S288" s="4">
        <v>0</v>
      </c>
      <c r="T288" s="4">
        <v>450</v>
      </c>
      <c r="U288" s="4">
        <v>0</v>
      </c>
      <c r="V288" s="4" t="s">
        <v>32</v>
      </c>
      <c r="W288" s="4" t="s">
        <v>32</v>
      </c>
      <c r="X288" s="4" t="s">
        <v>32</v>
      </c>
      <c r="Y288" s="4" t="s">
        <v>32</v>
      </c>
      <c r="Z288" s="4" t="s">
        <v>32</v>
      </c>
      <c r="AA288" s="4" t="s">
        <v>32</v>
      </c>
    </row>
    <row r="289" s="4" customFormat="1" spans="1:27">
      <c r="A289" s="4" t="s">
        <v>105</v>
      </c>
      <c r="B289" s="4" t="s">
        <v>28</v>
      </c>
      <c r="C289" s="4">
        <v>8390857</v>
      </c>
      <c r="D289" s="19">
        <v>254704497927</v>
      </c>
      <c r="E289" s="21">
        <v>44772.3596527778</v>
      </c>
      <c r="F289" s="4">
        <v>357.52</v>
      </c>
      <c r="G289" s="4">
        <v>26.24</v>
      </c>
      <c r="H289" s="4">
        <v>331.28</v>
      </c>
      <c r="I289" s="4">
        <v>2.6</v>
      </c>
      <c r="J289" s="4">
        <v>4.71</v>
      </c>
      <c r="K289" s="4">
        <v>-2.11</v>
      </c>
      <c r="L289" s="4">
        <v>62.02</v>
      </c>
      <c r="M289" s="4">
        <v>8249</v>
      </c>
      <c r="N289" s="4">
        <v>1.43</v>
      </c>
      <c r="O289" s="4">
        <v>190.19</v>
      </c>
      <c r="P289" s="4" t="s">
        <v>34</v>
      </c>
      <c r="Q289" s="4" t="s">
        <v>30</v>
      </c>
      <c r="R289" s="4" t="s">
        <v>164</v>
      </c>
      <c r="S289" s="4">
        <v>0</v>
      </c>
      <c r="T289" s="4">
        <v>410</v>
      </c>
      <c r="U289" s="4">
        <v>0</v>
      </c>
      <c r="V289" s="4" t="s">
        <v>32</v>
      </c>
      <c r="W289" s="4" t="s">
        <v>32</v>
      </c>
      <c r="X289" s="4" t="s">
        <v>32</v>
      </c>
      <c r="Y289" s="4" t="s">
        <v>32</v>
      </c>
      <c r="Z289" s="4" t="s">
        <v>32</v>
      </c>
      <c r="AA289" s="4" t="s">
        <v>32</v>
      </c>
    </row>
    <row r="290" s="4" customFormat="1" spans="1:27">
      <c r="A290" s="4" t="s">
        <v>105</v>
      </c>
      <c r="B290" s="4" t="s">
        <v>28</v>
      </c>
      <c r="C290" s="4">
        <v>20484769</v>
      </c>
      <c r="D290" s="19">
        <v>254705577137</v>
      </c>
      <c r="E290" s="21">
        <v>46023.8032523148</v>
      </c>
      <c r="F290" s="4">
        <v>1413.94</v>
      </c>
      <c r="G290" s="4">
        <v>0.05</v>
      </c>
      <c r="H290" s="4">
        <v>1413.89</v>
      </c>
      <c r="I290" s="4">
        <v>-53.29</v>
      </c>
      <c r="J290" s="4">
        <v>0.05</v>
      </c>
      <c r="K290" s="4">
        <v>-53.35</v>
      </c>
      <c r="L290" s="4">
        <v>288.84</v>
      </c>
      <c r="M290" s="4">
        <v>38416</v>
      </c>
      <c r="N290" s="4">
        <v>159.29</v>
      </c>
      <c r="O290" s="4">
        <v>21185.95</v>
      </c>
      <c r="P290" s="4" t="s">
        <v>34</v>
      </c>
      <c r="Q290" s="4" t="s">
        <v>30</v>
      </c>
      <c r="R290" s="4" t="s">
        <v>164</v>
      </c>
      <c r="S290" s="4">
        <v>0</v>
      </c>
      <c r="T290" s="4">
        <v>1920</v>
      </c>
      <c r="U290" s="4">
        <v>0</v>
      </c>
      <c r="V290" s="4" t="s">
        <v>32</v>
      </c>
      <c r="W290" s="4" t="s">
        <v>32</v>
      </c>
      <c r="X290" s="4" t="s">
        <v>32</v>
      </c>
      <c r="Y290" s="4" t="s">
        <v>32</v>
      </c>
      <c r="Z290" s="4" t="s">
        <v>32</v>
      </c>
      <c r="AA290" s="4" t="s">
        <v>32</v>
      </c>
    </row>
    <row r="291" s="4" customFormat="1" spans="1:27">
      <c r="A291" s="4" t="s">
        <v>105</v>
      </c>
      <c r="B291" s="4" t="s">
        <v>28</v>
      </c>
      <c r="C291" s="4">
        <v>13310556</v>
      </c>
      <c r="D291" s="19">
        <v>254708586321</v>
      </c>
      <c r="E291" s="21">
        <v>45487.710474537</v>
      </c>
      <c r="F291" s="4">
        <v>3199.32</v>
      </c>
      <c r="G291" s="4">
        <v>11.37</v>
      </c>
      <c r="H291" s="4">
        <v>3187.95</v>
      </c>
      <c r="I291" s="4">
        <v>-80.19</v>
      </c>
      <c r="J291" s="4">
        <v>-25.33</v>
      </c>
      <c r="K291" s="4">
        <v>-54.86</v>
      </c>
      <c r="L291" s="4">
        <v>735.71</v>
      </c>
      <c r="M291" s="4">
        <v>97850</v>
      </c>
      <c r="N291" s="4">
        <v>21.42</v>
      </c>
      <c r="O291" s="4">
        <v>2849.05</v>
      </c>
      <c r="P291" s="4" t="s">
        <v>34</v>
      </c>
      <c r="Q291" s="4" t="s">
        <v>30</v>
      </c>
      <c r="R291" s="4" t="s">
        <v>164</v>
      </c>
      <c r="S291" s="4">
        <v>0</v>
      </c>
      <c r="T291" s="4">
        <v>4890</v>
      </c>
      <c r="U291" s="4">
        <v>0</v>
      </c>
      <c r="V291" s="4" t="s">
        <v>32</v>
      </c>
      <c r="W291" s="4" t="s">
        <v>32</v>
      </c>
      <c r="X291" s="4" t="s">
        <v>32</v>
      </c>
      <c r="Y291" s="4" t="s">
        <v>32</v>
      </c>
      <c r="Z291" s="4" t="s">
        <v>32</v>
      </c>
      <c r="AA291" s="4" t="s">
        <v>32</v>
      </c>
    </row>
    <row r="292" s="4" customFormat="1" spans="1:27">
      <c r="A292" s="4" t="s">
        <v>105</v>
      </c>
      <c r="B292" s="4" t="s">
        <v>28</v>
      </c>
      <c r="C292" s="4">
        <v>4555267</v>
      </c>
      <c r="D292" s="19">
        <v>254708851808</v>
      </c>
      <c r="E292" s="21">
        <v>44331.2144212963</v>
      </c>
      <c r="F292" s="4">
        <v>1379.97</v>
      </c>
      <c r="G292" s="4">
        <v>876.32</v>
      </c>
      <c r="H292" s="4">
        <v>503.65</v>
      </c>
      <c r="I292" s="4">
        <v>170.19</v>
      </c>
      <c r="J292" s="4">
        <v>114.2</v>
      </c>
      <c r="K292" s="4">
        <v>56</v>
      </c>
      <c r="L292" s="4">
        <v>836.83</v>
      </c>
      <c r="M292" s="4">
        <v>111298</v>
      </c>
      <c r="N292" s="4">
        <v>100.7</v>
      </c>
      <c r="O292" s="4">
        <v>13393.1</v>
      </c>
      <c r="P292" s="4" t="s">
        <v>35</v>
      </c>
      <c r="Q292" s="4" t="s">
        <v>30</v>
      </c>
      <c r="R292" s="4" t="s">
        <v>164</v>
      </c>
      <c r="S292" s="4">
        <v>2000</v>
      </c>
      <c r="T292" s="4">
        <v>2780</v>
      </c>
      <c r="U292" s="4">
        <v>0</v>
      </c>
      <c r="V292" s="4" t="s">
        <v>32</v>
      </c>
      <c r="W292" s="4" t="s">
        <v>32</v>
      </c>
      <c r="X292" s="4" t="s">
        <v>32</v>
      </c>
      <c r="Y292" s="4" t="s">
        <v>32</v>
      </c>
      <c r="Z292" s="4" t="s">
        <v>32</v>
      </c>
      <c r="AA292" s="4" t="s">
        <v>32</v>
      </c>
    </row>
    <row r="293" s="4" customFormat="1" spans="1:27">
      <c r="A293" s="4" t="s">
        <v>105</v>
      </c>
      <c r="B293" s="4" t="s">
        <v>28</v>
      </c>
      <c r="C293" s="4">
        <v>17077108</v>
      </c>
      <c r="D293" s="19">
        <v>254710341829</v>
      </c>
      <c r="E293" s="21">
        <v>45828.7240277778</v>
      </c>
      <c r="F293" s="4">
        <v>638.19</v>
      </c>
      <c r="G293" s="4">
        <v>0.87</v>
      </c>
      <c r="H293" s="4">
        <v>637.32</v>
      </c>
      <c r="I293" s="4">
        <v>33.8</v>
      </c>
      <c r="J293" s="4">
        <v>0.6</v>
      </c>
      <c r="K293" s="4">
        <v>33.2</v>
      </c>
      <c r="L293" s="4">
        <v>67.83</v>
      </c>
      <c r="M293" s="4">
        <v>9021</v>
      </c>
      <c r="N293" s="4">
        <v>0</v>
      </c>
      <c r="O293" s="4">
        <v>0</v>
      </c>
      <c r="P293" s="4" t="s">
        <v>29</v>
      </c>
      <c r="Q293" s="4" t="s">
        <v>30</v>
      </c>
      <c r="R293" s="4" t="s">
        <v>164</v>
      </c>
      <c r="S293" s="4">
        <v>0</v>
      </c>
      <c r="T293" s="4">
        <v>450</v>
      </c>
      <c r="U293" s="4">
        <v>0</v>
      </c>
      <c r="V293" s="4" t="s">
        <v>32</v>
      </c>
      <c r="W293" s="4" t="s">
        <v>32</v>
      </c>
      <c r="X293" s="4" t="s">
        <v>32</v>
      </c>
      <c r="Y293" s="4" t="s">
        <v>32</v>
      </c>
      <c r="Z293" s="4" t="s">
        <v>32</v>
      </c>
      <c r="AA293" s="4" t="s">
        <v>32</v>
      </c>
    </row>
    <row r="294" s="4" customFormat="1" spans="1:27">
      <c r="A294" s="4" t="s">
        <v>105</v>
      </c>
      <c r="B294" s="4" t="s">
        <v>28</v>
      </c>
      <c r="C294" s="4">
        <v>16528219</v>
      </c>
      <c r="D294" s="19">
        <v>254712310229</v>
      </c>
      <c r="E294" s="21">
        <v>45779.689849537</v>
      </c>
      <c r="F294" s="4">
        <v>804.38</v>
      </c>
      <c r="G294" s="4">
        <v>0</v>
      </c>
      <c r="H294" s="4">
        <v>804.38</v>
      </c>
      <c r="I294" s="4">
        <v>29.04</v>
      </c>
      <c r="J294" s="4">
        <v>0</v>
      </c>
      <c r="K294" s="4">
        <v>29.04</v>
      </c>
      <c r="L294" s="4">
        <v>108.78</v>
      </c>
      <c r="M294" s="4">
        <v>14468</v>
      </c>
      <c r="N294" s="4">
        <v>4.84</v>
      </c>
      <c r="O294" s="4">
        <v>644.1</v>
      </c>
      <c r="P294" s="4" t="s">
        <v>34</v>
      </c>
      <c r="Q294" s="4" t="s">
        <v>30</v>
      </c>
      <c r="R294" s="4" t="s">
        <v>164</v>
      </c>
      <c r="S294" s="4">
        <v>0</v>
      </c>
      <c r="T294" s="4">
        <v>720</v>
      </c>
      <c r="U294" s="4">
        <v>0</v>
      </c>
      <c r="V294" s="4" t="s">
        <v>32</v>
      </c>
      <c r="W294" s="4" t="s">
        <v>32</v>
      </c>
      <c r="X294" s="4" t="s">
        <v>32</v>
      </c>
      <c r="Y294" s="4" t="s">
        <v>32</v>
      </c>
      <c r="Z294" s="4" t="s">
        <v>32</v>
      </c>
      <c r="AA294" s="4" t="s">
        <v>32</v>
      </c>
    </row>
    <row r="295" s="4" customFormat="1" spans="1:27">
      <c r="A295" s="4" t="s">
        <v>105</v>
      </c>
      <c r="B295" s="4" t="s">
        <v>28</v>
      </c>
      <c r="C295" s="4">
        <v>9314567</v>
      </c>
      <c r="D295" s="19">
        <v>254713249395</v>
      </c>
      <c r="E295" s="21">
        <v>44929.3396296296</v>
      </c>
      <c r="F295" s="4">
        <v>1157.78</v>
      </c>
      <c r="G295" s="4">
        <v>11.36</v>
      </c>
      <c r="H295" s="4">
        <v>1146.42</v>
      </c>
      <c r="I295" s="4">
        <v>68.97</v>
      </c>
      <c r="J295" s="4">
        <v>11.31</v>
      </c>
      <c r="K295" s="4">
        <v>57.66</v>
      </c>
      <c r="L295" s="4">
        <v>410.82</v>
      </c>
      <c r="M295" s="4">
        <v>54639</v>
      </c>
      <c r="N295" s="4">
        <v>0.64</v>
      </c>
      <c r="O295" s="4">
        <v>85.5</v>
      </c>
      <c r="P295" s="4" t="s">
        <v>34</v>
      </c>
      <c r="Q295" s="4" t="s">
        <v>30</v>
      </c>
      <c r="R295" s="4" t="s">
        <v>164</v>
      </c>
      <c r="S295" s="4">
        <v>0</v>
      </c>
      <c r="T295" s="4">
        <v>2730</v>
      </c>
      <c r="U295" s="4">
        <v>0</v>
      </c>
      <c r="V295" s="4" t="s">
        <v>32</v>
      </c>
      <c r="W295" s="4" t="s">
        <v>32</v>
      </c>
      <c r="X295" s="4" t="s">
        <v>32</v>
      </c>
      <c r="Y295" s="4" t="s">
        <v>32</v>
      </c>
      <c r="Z295" s="4" t="s">
        <v>32</v>
      </c>
      <c r="AA295" s="4" t="s">
        <v>32</v>
      </c>
    </row>
    <row r="296" s="4" customFormat="1" spans="1:27">
      <c r="A296" s="4" t="s">
        <v>105</v>
      </c>
      <c r="B296" s="4" t="s">
        <v>28</v>
      </c>
      <c r="C296" s="4">
        <v>781558</v>
      </c>
      <c r="D296" s="19">
        <v>254714457970</v>
      </c>
      <c r="E296" s="21">
        <v>43956.8994675926</v>
      </c>
      <c r="F296" s="4">
        <v>401.12</v>
      </c>
      <c r="G296" s="4">
        <v>0</v>
      </c>
      <c r="H296" s="4">
        <v>401.12</v>
      </c>
      <c r="I296" s="4">
        <v>-405.98</v>
      </c>
      <c r="J296" s="4">
        <v>0</v>
      </c>
      <c r="K296" s="4">
        <v>-405.23</v>
      </c>
      <c r="L296" s="4">
        <v>102.27</v>
      </c>
      <c r="M296" s="4">
        <v>13602</v>
      </c>
      <c r="N296" s="4">
        <v>51.43</v>
      </c>
      <c r="O296" s="4">
        <v>6840</v>
      </c>
      <c r="P296" s="4" t="s">
        <v>29</v>
      </c>
      <c r="Q296" s="4" t="s">
        <v>30</v>
      </c>
      <c r="R296" s="4" t="s">
        <v>164</v>
      </c>
      <c r="S296" s="4">
        <v>0</v>
      </c>
      <c r="T296" s="4">
        <v>680</v>
      </c>
      <c r="U296" s="4">
        <v>0</v>
      </c>
      <c r="V296" s="4" t="s">
        <v>32</v>
      </c>
      <c r="W296" s="4" t="s">
        <v>32</v>
      </c>
      <c r="X296" s="4" t="s">
        <v>32</v>
      </c>
      <c r="Y296" s="4" t="s">
        <v>32</v>
      </c>
      <c r="Z296" s="4" t="s">
        <v>32</v>
      </c>
      <c r="AA296" s="4" t="s">
        <v>32</v>
      </c>
    </row>
    <row r="297" s="4" customFormat="1" spans="1:27">
      <c r="A297" s="4" t="s">
        <v>105</v>
      </c>
      <c r="B297" s="4" t="s">
        <v>28</v>
      </c>
      <c r="C297" s="4">
        <v>3860016</v>
      </c>
      <c r="D297" s="19">
        <v>254715001774</v>
      </c>
      <c r="E297" s="21">
        <v>44272.8582060185</v>
      </c>
      <c r="F297" s="4">
        <v>1271.77</v>
      </c>
      <c r="G297" s="4">
        <v>0</v>
      </c>
      <c r="H297" s="4">
        <v>1271.77</v>
      </c>
      <c r="I297" s="4">
        <v>18.62</v>
      </c>
      <c r="J297" s="4">
        <v>0</v>
      </c>
      <c r="K297" s="4">
        <v>18.62</v>
      </c>
      <c r="L297" s="4">
        <v>75</v>
      </c>
      <c r="M297" s="4">
        <v>9975</v>
      </c>
      <c r="N297" s="4">
        <v>71.25</v>
      </c>
      <c r="O297" s="4">
        <v>9476.25</v>
      </c>
      <c r="P297" s="4" t="s">
        <v>29</v>
      </c>
      <c r="Q297" s="4" t="s">
        <v>30</v>
      </c>
      <c r="R297" s="4" t="s">
        <v>164</v>
      </c>
      <c r="S297" s="4">
        <v>0</v>
      </c>
      <c r="T297" s="4">
        <v>500</v>
      </c>
      <c r="U297" s="4">
        <v>0</v>
      </c>
      <c r="V297" s="4" t="s">
        <v>32</v>
      </c>
      <c r="W297" s="4" t="s">
        <v>32</v>
      </c>
      <c r="X297" s="4" t="s">
        <v>32</v>
      </c>
      <c r="Y297" s="4" t="s">
        <v>32</v>
      </c>
      <c r="Z297" s="4" t="s">
        <v>32</v>
      </c>
      <c r="AA297" s="4" t="s">
        <v>32</v>
      </c>
    </row>
    <row r="298" s="4" customFormat="1" spans="1:27">
      <c r="A298" s="4" t="s">
        <v>105</v>
      </c>
      <c r="B298" s="4" t="s">
        <v>28</v>
      </c>
      <c r="C298" s="4">
        <v>11487056</v>
      </c>
      <c r="D298" s="19">
        <v>254715801012</v>
      </c>
      <c r="E298" s="21">
        <v>45256.5795717593</v>
      </c>
      <c r="F298" s="4">
        <v>184.94</v>
      </c>
      <c r="G298" s="4">
        <v>0.08</v>
      </c>
      <c r="H298" s="4">
        <v>184.87</v>
      </c>
      <c r="I298" s="4">
        <v>-18.23</v>
      </c>
      <c r="J298" s="4">
        <v>0.08</v>
      </c>
      <c r="K298" s="4">
        <v>-18.3</v>
      </c>
      <c r="L298" s="4">
        <v>65.64</v>
      </c>
      <c r="M298" s="4">
        <v>8730</v>
      </c>
      <c r="N298" s="4">
        <v>0.79</v>
      </c>
      <c r="O298" s="4">
        <v>104.5</v>
      </c>
      <c r="P298" s="4" t="s">
        <v>34</v>
      </c>
      <c r="Q298" s="4" t="s">
        <v>30</v>
      </c>
      <c r="R298" s="4" t="s">
        <v>164</v>
      </c>
      <c r="S298" s="4">
        <v>0</v>
      </c>
      <c r="T298" s="4">
        <v>440</v>
      </c>
      <c r="U298" s="4">
        <v>0</v>
      </c>
      <c r="V298" s="4" t="s">
        <v>32</v>
      </c>
      <c r="W298" s="4" t="s">
        <v>32</v>
      </c>
      <c r="X298" s="4" t="s">
        <v>32</v>
      </c>
      <c r="Y298" s="4" t="s">
        <v>32</v>
      </c>
      <c r="Z298" s="4" t="s">
        <v>32</v>
      </c>
      <c r="AA298" s="4" t="s">
        <v>32</v>
      </c>
    </row>
    <row r="299" s="4" customFormat="1" spans="1:27">
      <c r="A299" s="4" t="s">
        <v>105</v>
      </c>
      <c r="B299" s="4" t="s">
        <v>28</v>
      </c>
      <c r="C299" s="4">
        <v>18516247</v>
      </c>
      <c r="D299" s="19">
        <v>254715988117</v>
      </c>
      <c r="E299" s="21">
        <v>45917.4748032407</v>
      </c>
      <c r="F299" s="4">
        <v>1010.14</v>
      </c>
      <c r="G299" s="4">
        <v>0.16</v>
      </c>
      <c r="H299" s="4">
        <v>1009.99</v>
      </c>
      <c r="I299" s="4">
        <v>-13.98</v>
      </c>
      <c r="J299" s="4">
        <v>0.16</v>
      </c>
      <c r="K299" s="4">
        <v>-14.14</v>
      </c>
      <c r="L299" s="4">
        <v>219.86</v>
      </c>
      <c r="M299" s="4">
        <v>29241</v>
      </c>
      <c r="N299" s="4">
        <v>11.07</v>
      </c>
      <c r="O299" s="4">
        <v>1472.5</v>
      </c>
      <c r="P299" s="4" t="s">
        <v>34</v>
      </c>
      <c r="Q299" s="4" t="s">
        <v>30</v>
      </c>
      <c r="R299" s="4" t="s">
        <v>164</v>
      </c>
      <c r="S299" s="4">
        <v>0</v>
      </c>
      <c r="T299" s="4">
        <v>1460</v>
      </c>
      <c r="U299" s="4">
        <v>0</v>
      </c>
      <c r="V299" s="4" t="s">
        <v>32</v>
      </c>
      <c r="W299" s="4" t="s">
        <v>32</v>
      </c>
      <c r="X299" s="4" t="s">
        <v>32</v>
      </c>
      <c r="Y299" s="4" t="s">
        <v>32</v>
      </c>
      <c r="Z299" s="4" t="s">
        <v>32</v>
      </c>
      <c r="AA299" s="4" t="s">
        <v>32</v>
      </c>
    </row>
    <row r="300" s="4" customFormat="1" spans="1:27">
      <c r="A300" s="4" t="s">
        <v>105</v>
      </c>
      <c r="B300" s="4" t="s">
        <v>28</v>
      </c>
      <c r="C300" s="4">
        <v>20196936</v>
      </c>
      <c r="D300" s="19">
        <v>254717521940</v>
      </c>
      <c r="E300" s="21">
        <v>46009.7138194444</v>
      </c>
      <c r="F300" s="4">
        <v>174.32</v>
      </c>
      <c r="G300" s="4">
        <v>0</v>
      </c>
      <c r="H300" s="4">
        <v>174.32</v>
      </c>
      <c r="I300" s="4">
        <v>17.66</v>
      </c>
      <c r="J300" s="4">
        <v>0</v>
      </c>
      <c r="K300" s="4">
        <v>17.66</v>
      </c>
      <c r="L300" s="4">
        <v>54.89</v>
      </c>
      <c r="M300" s="4">
        <v>7300</v>
      </c>
      <c r="N300" s="4">
        <v>0</v>
      </c>
      <c r="O300" s="4">
        <v>0</v>
      </c>
      <c r="P300" s="4" t="s">
        <v>29</v>
      </c>
      <c r="Q300" s="4" t="s">
        <v>30</v>
      </c>
      <c r="R300" s="4" t="s">
        <v>164</v>
      </c>
      <c r="S300" s="4">
        <v>0</v>
      </c>
      <c r="T300" s="4">
        <v>360</v>
      </c>
      <c r="U300" s="4">
        <v>0</v>
      </c>
      <c r="V300" s="4" t="s">
        <v>32</v>
      </c>
      <c r="W300" s="4" t="s">
        <v>32</v>
      </c>
      <c r="X300" s="4" t="s">
        <v>32</v>
      </c>
      <c r="Y300" s="4" t="s">
        <v>32</v>
      </c>
      <c r="Z300" s="4" t="s">
        <v>32</v>
      </c>
      <c r="AA300" s="4" t="s">
        <v>32</v>
      </c>
    </row>
    <row r="301" s="4" customFormat="1" spans="1:27">
      <c r="A301" s="4" t="s">
        <v>105</v>
      </c>
      <c r="B301" s="4" t="s">
        <v>28</v>
      </c>
      <c r="C301" s="4">
        <v>21702878</v>
      </c>
      <c r="D301" s="19">
        <v>254717831976</v>
      </c>
      <c r="E301" s="21">
        <v>46085.8087615741</v>
      </c>
      <c r="F301" s="4">
        <v>477.19</v>
      </c>
      <c r="G301" s="4">
        <v>0</v>
      </c>
      <c r="H301" s="4">
        <v>477.19</v>
      </c>
      <c r="I301" s="4">
        <v>-15.9</v>
      </c>
      <c r="J301" s="4">
        <v>0</v>
      </c>
      <c r="K301" s="4">
        <v>-15.9</v>
      </c>
      <c r="L301" s="4">
        <v>94.39</v>
      </c>
      <c r="M301" s="4">
        <v>12554</v>
      </c>
      <c r="N301" s="4">
        <v>87.33</v>
      </c>
      <c r="O301" s="4">
        <v>11614.7</v>
      </c>
      <c r="P301" s="4" t="s">
        <v>29</v>
      </c>
      <c r="Q301" s="4" t="s">
        <v>30</v>
      </c>
      <c r="R301" s="4" t="s">
        <v>164</v>
      </c>
      <c r="S301" s="4">
        <v>0</v>
      </c>
      <c r="T301" s="4">
        <v>630</v>
      </c>
      <c r="U301" s="4">
        <v>0</v>
      </c>
      <c r="V301" s="4" t="s">
        <v>32</v>
      </c>
      <c r="W301" s="4" t="s">
        <v>32</v>
      </c>
      <c r="X301" s="4" t="s">
        <v>32</v>
      </c>
      <c r="Y301" s="4" t="s">
        <v>32</v>
      </c>
      <c r="Z301" s="4" t="s">
        <v>32</v>
      </c>
      <c r="AA301" s="4" t="s">
        <v>32</v>
      </c>
    </row>
    <row r="302" s="4" customFormat="1" spans="1:27">
      <c r="A302" s="4" t="s">
        <v>105</v>
      </c>
      <c r="B302" s="4" t="s">
        <v>28</v>
      </c>
      <c r="C302" s="4">
        <v>12313549</v>
      </c>
      <c r="D302" s="19">
        <v>254718031626</v>
      </c>
      <c r="E302" s="21">
        <v>45338.7330324074</v>
      </c>
      <c r="F302" s="4">
        <v>774.6</v>
      </c>
      <c r="G302" s="4">
        <v>0</v>
      </c>
      <c r="H302" s="4">
        <v>774.6</v>
      </c>
      <c r="I302" s="4">
        <v>8.14</v>
      </c>
      <c r="J302" s="4">
        <v>0</v>
      </c>
      <c r="K302" s="4">
        <v>8.14</v>
      </c>
      <c r="L302" s="4">
        <v>98.26</v>
      </c>
      <c r="M302" s="4">
        <v>13068</v>
      </c>
      <c r="N302" s="4">
        <v>93.34</v>
      </c>
      <c r="O302" s="4">
        <v>12414.6</v>
      </c>
      <c r="P302" s="4" t="s">
        <v>34</v>
      </c>
      <c r="Q302" s="4" t="s">
        <v>30</v>
      </c>
      <c r="R302" s="4" t="s">
        <v>164</v>
      </c>
      <c r="S302" s="4">
        <v>0</v>
      </c>
      <c r="T302" s="4">
        <v>650</v>
      </c>
      <c r="U302" s="4">
        <v>0</v>
      </c>
      <c r="V302" s="4" t="s">
        <v>32</v>
      </c>
      <c r="W302" s="4" t="s">
        <v>32</v>
      </c>
      <c r="X302" s="4" t="s">
        <v>32</v>
      </c>
      <c r="Y302" s="4" t="s">
        <v>32</v>
      </c>
      <c r="Z302" s="4" t="s">
        <v>32</v>
      </c>
      <c r="AA302" s="4" t="s">
        <v>32</v>
      </c>
    </row>
    <row r="303" s="4" customFormat="1" spans="1:27">
      <c r="A303" s="4" t="s">
        <v>105</v>
      </c>
      <c r="B303" s="4" t="s">
        <v>28</v>
      </c>
      <c r="C303" s="4">
        <v>157097</v>
      </c>
      <c r="D303" s="19">
        <v>254718382723</v>
      </c>
      <c r="E303" s="21">
        <v>43909.6232060185</v>
      </c>
      <c r="F303" s="4">
        <v>274.51</v>
      </c>
      <c r="G303" s="4">
        <v>20.68</v>
      </c>
      <c r="H303" s="4">
        <v>253.83</v>
      </c>
      <c r="I303" s="4">
        <v>69.28</v>
      </c>
      <c r="J303" s="4">
        <v>20.68</v>
      </c>
      <c r="K303" s="4">
        <v>48.6</v>
      </c>
      <c r="L303" s="4">
        <v>72.93</v>
      </c>
      <c r="M303" s="4">
        <v>9700</v>
      </c>
      <c r="N303" s="4">
        <v>69.29</v>
      </c>
      <c r="O303" s="4">
        <v>9215</v>
      </c>
      <c r="P303" s="4" t="s">
        <v>34</v>
      </c>
      <c r="Q303" s="4" t="s">
        <v>30</v>
      </c>
      <c r="R303" s="4" t="s">
        <v>164</v>
      </c>
      <c r="S303" s="4">
        <v>0</v>
      </c>
      <c r="T303" s="4">
        <v>480</v>
      </c>
      <c r="U303" s="4">
        <v>0</v>
      </c>
      <c r="V303" s="4" t="s">
        <v>32</v>
      </c>
      <c r="W303" s="4" t="s">
        <v>32</v>
      </c>
      <c r="X303" s="4" t="s">
        <v>32</v>
      </c>
      <c r="Y303" s="4" t="s">
        <v>32</v>
      </c>
      <c r="Z303" s="4" t="s">
        <v>32</v>
      </c>
      <c r="AA303" s="4" t="s">
        <v>32</v>
      </c>
    </row>
    <row r="304" s="4" customFormat="1" spans="1:27">
      <c r="A304" s="4" t="s">
        <v>105</v>
      </c>
      <c r="B304" s="4" t="s">
        <v>28</v>
      </c>
      <c r="C304" s="4">
        <v>1853978</v>
      </c>
      <c r="D304" s="19">
        <v>254719125233</v>
      </c>
      <c r="E304" s="21">
        <v>44025.64</v>
      </c>
      <c r="F304" s="4">
        <v>232.71</v>
      </c>
      <c r="G304" s="4">
        <v>11.41</v>
      </c>
      <c r="H304" s="4">
        <v>219.43</v>
      </c>
      <c r="I304" s="4">
        <v>38.35</v>
      </c>
      <c r="J304" s="4">
        <v>-3.14</v>
      </c>
      <c r="K304" s="4">
        <v>41.49</v>
      </c>
      <c r="L304" s="4">
        <v>70.14</v>
      </c>
      <c r="M304" s="4">
        <v>9329</v>
      </c>
      <c r="N304" s="4">
        <v>2.86</v>
      </c>
      <c r="O304" s="4">
        <v>380</v>
      </c>
      <c r="P304" s="4" t="s">
        <v>34</v>
      </c>
      <c r="Q304" s="4" t="s">
        <v>30</v>
      </c>
      <c r="R304" s="4" t="s">
        <v>164</v>
      </c>
      <c r="S304" s="4">
        <v>0</v>
      </c>
      <c r="T304" s="4">
        <v>470</v>
      </c>
      <c r="U304" s="4">
        <v>0</v>
      </c>
      <c r="V304" s="4" t="s">
        <v>32</v>
      </c>
      <c r="W304" s="4" t="s">
        <v>32</v>
      </c>
      <c r="X304" s="4" t="s">
        <v>32</v>
      </c>
      <c r="Y304" s="4" t="s">
        <v>32</v>
      </c>
      <c r="Z304" s="4" t="s">
        <v>32</v>
      </c>
      <c r="AA304" s="4" t="s">
        <v>32</v>
      </c>
    </row>
    <row r="305" s="4" customFormat="1" spans="1:27">
      <c r="A305" s="4" t="s">
        <v>105</v>
      </c>
      <c r="B305" s="4" t="s">
        <v>28</v>
      </c>
      <c r="C305" s="4">
        <v>13574627</v>
      </c>
      <c r="D305" s="19">
        <v>254719333455</v>
      </c>
      <c r="E305" s="21">
        <v>45538.5225115741</v>
      </c>
      <c r="F305" s="4">
        <v>633.87</v>
      </c>
      <c r="G305" s="4">
        <v>0</v>
      </c>
      <c r="H305" s="4">
        <v>633.87</v>
      </c>
      <c r="I305" s="4">
        <v>-34.71</v>
      </c>
      <c r="J305" s="4">
        <v>0</v>
      </c>
      <c r="K305" s="4">
        <v>-34.71</v>
      </c>
      <c r="L305" s="4">
        <v>73.34</v>
      </c>
      <c r="M305" s="4">
        <v>9754</v>
      </c>
      <c r="N305" s="4">
        <v>0</v>
      </c>
      <c r="O305" s="4">
        <v>0</v>
      </c>
      <c r="P305" s="4" t="s">
        <v>29</v>
      </c>
      <c r="Q305" s="4" t="s">
        <v>30</v>
      </c>
      <c r="R305" s="4" t="s">
        <v>164</v>
      </c>
      <c r="S305" s="4">
        <v>0</v>
      </c>
      <c r="T305" s="4">
        <v>490</v>
      </c>
      <c r="U305" s="4">
        <v>0</v>
      </c>
      <c r="V305" s="4" t="s">
        <v>32</v>
      </c>
      <c r="W305" s="4" t="s">
        <v>32</v>
      </c>
      <c r="X305" s="4" t="s">
        <v>32</v>
      </c>
      <c r="Y305" s="4" t="s">
        <v>32</v>
      </c>
      <c r="Z305" s="4" t="s">
        <v>32</v>
      </c>
      <c r="AA305" s="4" t="s">
        <v>32</v>
      </c>
    </row>
    <row r="306" s="4" customFormat="1" spans="1:27">
      <c r="A306" s="4" t="s">
        <v>105</v>
      </c>
      <c r="B306" s="4" t="s">
        <v>28</v>
      </c>
      <c r="C306" s="4">
        <v>8896627</v>
      </c>
      <c r="D306" s="19">
        <v>254719392048</v>
      </c>
      <c r="E306" s="21">
        <v>44855.7367013889</v>
      </c>
      <c r="F306" s="4">
        <v>3044.07</v>
      </c>
      <c r="G306" s="4">
        <v>6.9</v>
      </c>
      <c r="H306" s="4">
        <v>3037.17</v>
      </c>
      <c r="I306" s="4">
        <v>210.72</v>
      </c>
      <c r="J306" s="4">
        <v>-9.2</v>
      </c>
      <c r="K306" s="4">
        <v>219.92</v>
      </c>
      <c r="L306" s="4">
        <v>687.19</v>
      </c>
      <c r="M306" s="4">
        <v>91396</v>
      </c>
      <c r="N306" s="4">
        <v>4.93</v>
      </c>
      <c r="O306" s="4">
        <v>655.5</v>
      </c>
      <c r="P306" s="4" t="s">
        <v>34</v>
      </c>
      <c r="Q306" s="4" t="s">
        <v>30</v>
      </c>
      <c r="R306" s="4" t="s">
        <v>164</v>
      </c>
      <c r="S306" s="4">
        <v>0</v>
      </c>
      <c r="T306" s="4">
        <v>4570</v>
      </c>
      <c r="U306" s="4">
        <v>0</v>
      </c>
      <c r="V306" s="4" t="s">
        <v>32</v>
      </c>
      <c r="W306" s="4" t="s">
        <v>32</v>
      </c>
      <c r="X306" s="4" t="s">
        <v>32</v>
      </c>
      <c r="Y306" s="4" t="s">
        <v>32</v>
      </c>
      <c r="Z306" s="4" t="s">
        <v>32</v>
      </c>
      <c r="AA306" s="4" t="s">
        <v>32</v>
      </c>
    </row>
    <row r="307" s="4" customFormat="1" spans="1:27">
      <c r="A307" s="4" t="s">
        <v>105</v>
      </c>
      <c r="B307" s="4" t="s">
        <v>28</v>
      </c>
      <c r="C307" s="4">
        <v>14823398</v>
      </c>
      <c r="D307" s="19">
        <v>254719500915</v>
      </c>
      <c r="E307" s="21">
        <v>45621.1923958333</v>
      </c>
      <c r="F307" s="4">
        <v>640.14</v>
      </c>
      <c r="G307" s="4">
        <v>0</v>
      </c>
      <c r="H307" s="4">
        <v>640.14</v>
      </c>
      <c r="I307" s="4">
        <v>-27.74</v>
      </c>
      <c r="J307" s="4">
        <v>0</v>
      </c>
      <c r="K307" s="4">
        <v>-27.74</v>
      </c>
      <c r="L307" s="4">
        <v>150.15</v>
      </c>
      <c r="M307" s="4">
        <v>19970</v>
      </c>
      <c r="N307" s="4">
        <v>12.79</v>
      </c>
      <c r="O307" s="4">
        <v>1700.5</v>
      </c>
      <c r="P307" s="4" t="s">
        <v>29</v>
      </c>
      <c r="Q307" s="4" t="s">
        <v>30</v>
      </c>
      <c r="R307" s="4" t="s">
        <v>164</v>
      </c>
      <c r="S307" s="4">
        <v>0</v>
      </c>
      <c r="T307" s="4">
        <v>1000</v>
      </c>
      <c r="U307" s="4">
        <v>0</v>
      </c>
      <c r="V307" s="4" t="s">
        <v>32</v>
      </c>
      <c r="W307" s="4" t="s">
        <v>32</v>
      </c>
      <c r="X307" s="4" t="s">
        <v>32</v>
      </c>
      <c r="Y307" s="4" t="s">
        <v>32</v>
      </c>
      <c r="Z307" s="4" t="s">
        <v>32</v>
      </c>
      <c r="AA307" s="4" t="s">
        <v>32</v>
      </c>
    </row>
    <row r="308" s="4" customFormat="1" spans="1:27">
      <c r="A308" s="4" t="s">
        <v>105</v>
      </c>
      <c r="B308" s="4" t="s">
        <v>28</v>
      </c>
      <c r="C308" s="4">
        <v>9048897</v>
      </c>
      <c r="D308" s="19">
        <v>254720216606</v>
      </c>
      <c r="E308" s="21">
        <v>44882.1833101852</v>
      </c>
      <c r="F308" s="4">
        <v>575.8</v>
      </c>
      <c r="G308" s="4">
        <v>0.17</v>
      </c>
      <c r="H308" s="4">
        <v>575.62</v>
      </c>
      <c r="I308" s="4">
        <v>15.29</v>
      </c>
      <c r="J308" s="4">
        <v>0.17</v>
      </c>
      <c r="K308" s="4">
        <v>15.11</v>
      </c>
      <c r="L308" s="4">
        <v>98.94</v>
      </c>
      <c r="M308" s="4">
        <v>13159</v>
      </c>
      <c r="N308" s="4">
        <v>8.57</v>
      </c>
      <c r="O308" s="4">
        <v>1140</v>
      </c>
      <c r="P308" s="4" t="s">
        <v>29</v>
      </c>
      <c r="Q308" s="4" t="s">
        <v>30</v>
      </c>
      <c r="R308" s="4" t="s">
        <v>164</v>
      </c>
      <c r="S308" s="4">
        <v>0</v>
      </c>
      <c r="T308" s="4">
        <v>660</v>
      </c>
      <c r="U308" s="4">
        <v>0</v>
      </c>
      <c r="V308" s="4" t="s">
        <v>32</v>
      </c>
      <c r="W308" s="4" t="s">
        <v>32</v>
      </c>
      <c r="X308" s="4" t="s">
        <v>32</v>
      </c>
      <c r="Y308" s="4" t="s">
        <v>32</v>
      </c>
      <c r="Z308" s="4" t="s">
        <v>32</v>
      </c>
      <c r="AA308" s="4" t="s">
        <v>32</v>
      </c>
    </row>
    <row r="309" s="4" customFormat="1" spans="1:27">
      <c r="A309" s="4" t="s">
        <v>105</v>
      </c>
      <c r="B309" s="4" t="s">
        <v>28</v>
      </c>
      <c r="C309" s="4">
        <v>18174829</v>
      </c>
      <c r="D309" s="19">
        <v>254720334933</v>
      </c>
      <c r="E309" s="21">
        <v>45896.8997222222</v>
      </c>
      <c r="F309" s="4">
        <v>655.3</v>
      </c>
      <c r="G309" s="4">
        <v>0</v>
      </c>
      <c r="H309" s="4">
        <v>655.3</v>
      </c>
      <c r="I309" s="4">
        <v>27.41</v>
      </c>
      <c r="J309" s="4">
        <v>0</v>
      </c>
      <c r="K309" s="4">
        <v>27.41</v>
      </c>
      <c r="L309" s="4">
        <v>101.23</v>
      </c>
      <c r="M309" s="4">
        <v>13464</v>
      </c>
      <c r="N309" s="4">
        <v>30.16</v>
      </c>
      <c r="O309" s="4">
        <v>4011.85</v>
      </c>
      <c r="P309" s="4" t="s">
        <v>29</v>
      </c>
      <c r="Q309" s="4" t="s">
        <v>30</v>
      </c>
      <c r="R309" s="4" t="s">
        <v>164</v>
      </c>
      <c r="S309" s="4">
        <v>0</v>
      </c>
      <c r="T309" s="4">
        <v>670</v>
      </c>
      <c r="U309" s="4">
        <v>0</v>
      </c>
      <c r="V309" s="4" t="s">
        <v>32</v>
      </c>
      <c r="W309" s="4" t="s">
        <v>32</v>
      </c>
      <c r="X309" s="4" t="s">
        <v>32</v>
      </c>
      <c r="Y309" s="4" t="s">
        <v>32</v>
      </c>
      <c r="Z309" s="4" t="s">
        <v>32</v>
      </c>
      <c r="AA309" s="4" t="s">
        <v>32</v>
      </c>
    </row>
    <row r="310" s="4" customFormat="1" spans="1:27">
      <c r="A310" s="4" t="s">
        <v>105</v>
      </c>
      <c r="B310" s="4" t="s">
        <v>28</v>
      </c>
      <c r="C310" s="4">
        <v>14985036</v>
      </c>
      <c r="D310" s="19">
        <v>254720364263</v>
      </c>
      <c r="E310" s="21">
        <v>45634.5937847222</v>
      </c>
      <c r="F310" s="4">
        <v>218.12</v>
      </c>
      <c r="G310" s="4">
        <v>33.01</v>
      </c>
      <c r="H310" s="4">
        <v>185.11</v>
      </c>
      <c r="I310" s="4">
        <v>-14.02</v>
      </c>
      <c r="J310" s="4">
        <v>-22.57</v>
      </c>
      <c r="K310" s="4">
        <v>8.56</v>
      </c>
      <c r="L310" s="4">
        <v>52.18</v>
      </c>
      <c r="M310" s="4">
        <v>6940</v>
      </c>
      <c r="N310" s="4">
        <v>14.98</v>
      </c>
      <c r="O310" s="4">
        <v>1992.15</v>
      </c>
      <c r="P310" s="4" t="s">
        <v>35</v>
      </c>
      <c r="Q310" s="4" t="s">
        <v>30</v>
      </c>
      <c r="R310" s="4" t="s">
        <v>164</v>
      </c>
      <c r="S310" s="4">
        <v>2000</v>
      </c>
      <c r="T310" s="4">
        <v>175</v>
      </c>
      <c r="U310" s="4">
        <v>0</v>
      </c>
      <c r="V310" s="4" t="s">
        <v>32</v>
      </c>
      <c r="W310" s="4" t="s">
        <v>32</v>
      </c>
      <c r="X310" s="4" t="s">
        <v>32</v>
      </c>
      <c r="Y310" s="4" t="s">
        <v>32</v>
      </c>
      <c r="Z310" s="4" t="s">
        <v>32</v>
      </c>
      <c r="AA310" s="4" t="s">
        <v>32</v>
      </c>
    </row>
    <row r="311" s="4" customFormat="1" spans="1:27">
      <c r="A311" s="4" t="s">
        <v>105</v>
      </c>
      <c r="B311" s="4" t="s">
        <v>28</v>
      </c>
      <c r="C311" s="4">
        <v>19551786</v>
      </c>
      <c r="D311" s="19">
        <v>254721975097</v>
      </c>
      <c r="E311" s="21">
        <v>45979.6043981481</v>
      </c>
      <c r="F311" s="4">
        <v>475.35</v>
      </c>
      <c r="G311" s="4">
        <v>0</v>
      </c>
      <c r="H311" s="4">
        <v>475.35</v>
      </c>
      <c r="I311" s="4">
        <v>12.3</v>
      </c>
      <c r="J311" s="4">
        <v>0</v>
      </c>
      <c r="K311" s="4">
        <v>12.3</v>
      </c>
      <c r="L311" s="4">
        <v>53.51</v>
      </c>
      <c r="M311" s="4">
        <v>7117</v>
      </c>
      <c r="N311" s="4">
        <v>45.14</v>
      </c>
      <c r="O311" s="4">
        <v>6003.05</v>
      </c>
      <c r="P311" s="4" t="s">
        <v>34</v>
      </c>
      <c r="Q311" s="4" t="s">
        <v>30</v>
      </c>
      <c r="R311" s="4" t="s">
        <v>164</v>
      </c>
      <c r="S311" s="4">
        <v>0</v>
      </c>
      <c r="T311" s="4">
        <v>360</v>
      </c>
      <c r="U311" s="4">
        <v>0</v>
      </c>
      <c r="V311" s="4" t="s">
        <v>32</v>
      </c>
      <c r="W311" s="4" t="s">
        <v>32</v>
      </c>
      <c r="X311" s="4" t="s">
        <v>32</v>
      </c>
      <c r="Y311" s="4" t="s">
        <v>32</v>
      </c>
      <c r="Z311" s="4" t="s">
        <v>32</v>
      </c>
      <c r="AA311" s="4" t="s">
        <v>32</v>
      </c>
    </row>
    <row r="312" s="4" customFormat="1" spans="1:27">
      <c r="A312" s="4" t="s">
        <v>105</v>
      </c>
      <c r="B312" s="4" t="s">
        <v>28</v>
      </c>
      <c r="C312" s="4">
        <v>22075836</v>
      </c>
      <c r="D312" s="19">
        <v>254722261330</v>
      </c>
      <c r="E312" s="21">
        <v>46106.3347222222</v>
      </c>
      <c r="F312" s="4">
        <v>1193.12</v>
      </c>
      <c r="G312" s="4">
        <v>0</v>
      </c>
      <c r="H312" s="4">
        <v>1193.12</v>
      </c>
      <c r="I312" s="4">
        <v>-59.52</v>
      </c>
      <c r="J312" s="4">
        <v>0</v>
      </c>
      <c r="K312" s="4">
        <v>-59.52</v>
      </c>
      <c r="L312" s="4">
        <v>173.61</v>
      </c>
      <c r="M312" s="4">
        <v>23090</v>
      </c>
      <c r="N312" s="4">
        <v>164.93</v>
      </c>
      <c r="O312" s="4">
        <v>21935.5</v>
      </c>
      <c r="P312" s="4" t="s">
        <v>34</v>
      </c>
      <c r="Q312" s="4" t="s">
        <v>30</v>
      </c>
      <c r="R312" s="4" t="s">
        <v>164</v>
      </c>
      <c r="S312" s="4">
        <v>0</v>
      </c>
      <c r="T312" s="4">
        <v>1150</v>
      </c>
      <c r="U312" s="4">
        <v>0</v>
      </c>
      <c r="V312" s="4" t="s">
        <v>32</v>
      </c>
      <c r="W312" s="4" t="s">
        <v>32</v>
      </c>
      <c r="X312" s="4" t="s">
        <v>32</v>
      </c>
      <c r="Y312" s="4" t="s">
        <v>32</v>
      </c>
      <c r="Z312" s="4" t="s">
        <v>32</v>
      </c>
      <c r="AA312" s="4" t="s">
        <v>32</v>
      </c>
    </row>
    <row r="313" s="4" customFormat="1" spans="1:27">
      <c r="A313" s="4" t="s">
        <v>105</v>
      </c>
      <c r="B313" s="4" t="s">
        <v>28</v>
      </c>
      <c r="C313" s="4">
        <v>29789</v>
      </c>
      <c r="D313" s="19">
        <v>254722495359</v>
      </c>
      <c r="E313" s="21">
        <v>43820.2200462963</v>
      </c>
      <c r="F313" s="4">
        <v>43025.06</v>
      </c>
      <c r="G313" s="4">
        <v>1.88</v>
      </c>
      <c r="H313" s="4">
        <v>43023.18</v>
      </c>
      <c r="I313" s="4">
        <v>2435.13</v>
      </c>
      <c r="J313" s="4">
        <v>1.88</v>
      </c>
      <c r="K313" s="4">
        <v>2433.26</v>
      </c>
      <c r="L313" s="4">
        <v>4546.37</v>
      </c>
      <c r="M313" s="4">
        <v>604667</v>
      </c>
      <c r="N313" s="4">
        <v>1776.07</v>
      </c>
      <c r="O313" s="4">
        <v>236217.25</v>
      </c>
      <c r="P313" s="4" t="s">
        <v>34</v>
      </c>
      <c r="Q313" s="4" t="s">
        <v>33</v>
      </c>
      <c r="R313" s="4" t="s">
        <v>164</v>
      </c>
      <c r="S313" s="4">
        <v>0</v>
      </c>
      <c r="T313" s="4">
        <v>30000</v>
      </c>
      <c r="U313" s="4">
        <v>1</v>
      </c>
      <c r="V313" s="4">
        <v>1</v>
      </c>
      <c r="W313" s="4" t="s">
        <v>32</v>
      </c>
      <c r="X313" s="4" t="s">
        <v>32</v>
      </c>
      <c r="Y313" s="4" t="s">
        <v>32</v>
      </c>
      <c r="Z313" s="4" t="s">
        <v>32</v>
      </c>
      <c r="AA313" s="4" t="s">
        <v>32</v>
      </c>
    </row>
    <row r="314" s="4" customFormat="1" spans="1:27">
      <c r="A314" s="4" t="s">
        <v>105</v>
      </c>
      <c r="B314" s="4" t="s">
        <v>28</v>
      </c>
      <c r="C314" s="4">
        <v>4989287</v>
      </c>
      <c r="D314" s="19">
        <v>254723908698</v>
      </c>
      <c r="E314" s="21">
        <v>44381.7349884259</v>
      </c>
      <c r="F314" s="4">
        <v>266.47</v>
      </c>
      <c r="G314" s="4">
        <v>0</v>
      </c>
      <c r="H314" s="4">
        <v>266.47</v>
      </c>
      <c r="I314" s="4">
        <v>46.12</v>
      </c>
      <c r="J314" s="4">
        <v>0</v>
      </c>
      <c r="K314" s="4">
        <v>46.87</v>
      </c>
      <c r="L314" s="4">
        <v>108.27</v>
      </c>
      <c r="M314" s="4">
        <v>14400</v>
      </c>
      <c r="N314" s="4">
        <v>80.71</v>
      </c>
      <c r="O314" s="4">
        <v>10735</v>
      </c>
      <c r="P314" s="4" t="s">
        <v>34</v>
      </c>
      <c r="Q314" s="4" t="s">
        <v>30</v>
      </c>
      <c r="R314" s="4" t="s">
        <v>164</v>
      </c>
      <c r="S314" s="4">
        <v>0</v>
      </c>
      <c r="T314" s="4">
        <v>720</v>
      </c>
      <c r="U314" s="4">
        <v>0</v>
      </c>
      <c r="V314" s="4" t="s">
        <v>32</v>
      </c>
      <c r="W314" s="4" t="s">
        <v>32</v>
      </c>
      <c r="X314" s="4" t="s">
        <v>32</v>
      </c>
      <c r="Y314" s="4" t="s">
        <v>32</v>
      </c>
      <c r="Z314" s="4" t="s">
        <v>32</v>
      </c>
      <c r="AA314" s="4" t="s">
        <v>32</v>
      </c>
    </row>
    <row r="315" s="4" customFormat="1" spans="1:27">
      <c r="A315" s="4" t="s">
        <v>105</v>
      </c>
      <c r="B315" s="4" t="s">
        <v>28</v>
      </c>
      <c r="C315" s="4">
        <v>21026178</v>
      </c>
      <c r="D315" s="19">
        <v>254723972570</v>
      </c>
      <c r="E315" s="21">
        <v>46051.4487037037</v>
      </c>
      <c r="F315" s="4">
        <v>379.06</v>
      </c>
      <c r="G315" s="4">
        <v>0</v>
      </c>
      <c r="H315" s="4">
        <v>379.06</v>
      </c>
      <c r="I315" s="4">
        <v>-3.39</v>
      </c>
      <c r="J315" s="4">
        <v>0</v>
      </c>
      <c r="K315" s="4">
        <v>-3.39</v>
      </c>
      <c r="L315" s="4">
        <v>70.98</v>
      </c>
      <c r="M315" s="4">
        <v>9440</v>
      </c>
      <c r="N315" s="4">
        <v>47.75</v>
      </c>
      <c r="O315" s="4">
        <v>6350.75</v>
      </c>
      <c r="P315" s="4" t="s">
        <v>34</v>
      </c>
      <c r="Q315" s="4" t="s">
        <v>30</v>
      </c>
      <c r="R315" s="4" t="s">
        <v>164</v>
      </c>
      <c r="S315" s="4">
        <v>0</v>
      </c>
      <c r="T315" s="4">
        <v>470</v>
      </c>
      <c r="U315" s="4">
        <v>0</v>
      </c>
      <c r="V315" s="4" t="s">
        <v>32</v>
      </c>
      <c r="W315" s="4" t="s">
        <v>32</v>
      </c>
      <c r="X315" s="4" t="s">
        <v>32</v>
      </c>
      <c r="Y315" s="4" t="s">
        <v>32</v>
      </c>
      <c r="Z315" s="4" t="s">
        <v>32</v>
      </c>
      <c r="AA315" s="4" t="s">
        <v>32</v>
      </c>
    </row>
    <row r="316" s="4" customFormat="1" spans="1:27">
      <c r="A316" s="4" t="s">
        <v>105</v>
      </c>
      <c r="B316" s="4" t="s">
        <v>28</v>
      </c>
      <c r="C316" s="4">
        <v>22628206</v>
      </c>
      <c r="D316" s="19">
        <v>254724023704</v>
      </c>
      <c r="E316" s="21">
        <v>46139.6737615741</v>
      </c>
      <c r="F316" s="4">
        <v>16905.35</v>
      </c>
      <c r="G316" s="4">
        <v>0</v>
      </c>
      <c r="H316" s="4">
        <v>16905.35</v>
      </c>
      <c r="I316" s="4">
        <v>59.85</v>
      </c>
      <c r="J316" s="4">
        <v>0</v>
      </c>
      <c r="K316" s="4">
        <v>59.85</v>
      </c>
      <c r="L316" s="4">
        <v>3403.27</v>
      </c>
      <c r="M316" s="4">
        <v>452635</v>
      </c>
      <c r="N316" s="4">
        <v>3233.11</v>
      </c>
      <c r="O316" s="4">
        <v>430003.25</v>
      </c>
      <c r="P316" s="4" t="s">
        <v>29</v>
      </c>
      <c r="Q316" s="4" t="s">
        <v>33</v>
      </c>
      <c r="R316" s="4" t="s">
        <v>164</v>
      </c>
      <c r="S316" s="4">
        <v>0</v>
      </c>
      <c r="T316" s="4">
        <v>22630</v>
      </c>
      <c r="U316" s="4">
        <v>0</v>
      </c>
      <c r="V316" s="4" t="s">
        <v>32</v>
      </c>
      <c r="W316" s="4" t="s">
        <v>32</v>
      </c>
      <c r="X316" s="4" t="s">
        <v>32</v>
      </c>
      <c r="Y316" s="4" t="s">
        <v>32</v>
      </c>
      <c r="Z316" s="4" t="s">
        <v>32</v>
      </c>
      <c r="AA316" s="4" t="s">
        <v>32</v>
      </c>
    </row>
    <row r="317" s="4" customFormat="1" spans="1:27">
      <c r="A317" s="4" t="s">
        <v>105</v>
      </c>
      <c r="B317" s="4" t="s">
        <v>28</v>
      </c>
      <c r="C317" s="4">
        <v>12997767</v>
      </c>
      <c r="D317" s="19">
        <v>254724613959</v>
      </c>
      <c r="E317" s="21">
        <v>45428.4275462963</v>
      </c>
      <c r="F317" s="4">
        <v>15663.64</v>
      </c>
      <c r="G317" s="4">
        <v>0.38</v>
      </c>
      <c r="H317" s="4">
        <v>15663.25</v>
      </c>
      <c r="I317" s="4">
        <v>809.4</v>
      </c>
      <c r="J317" s="4">
        <v>0.38</v>
      </c>
      <c r="K317" s="4">
        <v>809.02</v>
      </c>
      <c r="L317" s="4">
        <v>1111.16</v>
      </c>
      <c r="M317" s="4">
        <v>147784</v>
      </c>
      <c r="N317" s="4">
        <v>170.28</v>
      </c>
      <c r="O317" s="4">
        <v>22647.05</v>
      </c>
      <c r="P317" s="4" t="s">
        <v>29</v>
      </c>
      <c r="Q317" s="4" t="s">
        <v>33</v>
      </c>
      <c r="R317" s="4" t="s">
        <v>164</v>
      </c>
      <c r="S317" s="4">
        <v>0</v>
      </c>
      <c r="T317" s="4">
        <v>7390</v>
      </c>
      <c r="U317" s="4">
        <v>0</v>
      </c>
      <c r="V317" s="4" t="s">
        <v>32</v>
      </c>
      <c r="W317" s="4" t="s">
        <v>32</v>
      </c>
      <c r="X317" s="4" t="s">
        <v>32</v>
      </c>
      <c r="Y317" s="4" t="s">
        <v>32</v>
      </c>
      <c r="Z317" s="4" t="s">
        <v>32</v>
      </c>
      <c r="AA317" s="4" t="s">
        <v>32</v>
      </c>
    </row>
    <row r="318" s="4" customFormat="1" spans="1:27">
      <c r="A318" s="4" t="s">
        <v>105</v>
      </c>
      <c r="B318" s="4" t="s">
        <v>28</v>
      </c>
      <c r="C318" s="4">
        <v>3809869</v>
      </c>
      <c r="D318" s="19">
        <v>254724838892</v>
      </c>
      <c r="E318" s="21">
        <v>44265.5086111111</v>
      </c>
      <c r="F318" s="4">
        <v>219.88</v>
      </c>
      <c r="G318" s="4">
        <v>0</v>
      </c>
      <c r="H318" s="4">
        <v>219.88</v>
      </c>
      <c r="I318" s="4">
        <v>17.96</v>
      </c>
      <c r="J318" s="4">
        <v>0</v>
      </c>
      <c r="K318" s="4">
        <v>17.96</v>
      </c>
      <c r="L318" s="4">
        <v>126.59</v>
      </c>
      <c r="M318" s="4">
        <v>16837</v>
      </c>
      <c r="N318" s="4">
        <v>4.14</v>
      </c>
      <c r="O318" s="4">
        <v>551</v>
      </c>
      <c r="P318" s="4" t="s">
        <v>29</v>
      </c>
      <c r="Q318" s="4" t="s">
        <v>30</v>
      </c>
      <c r="R318" s="4" t="s">
        <v>164</v>
      </c>
      <c r="S318" s="4">
        <v>0</v>
      </c>
      <c r="T318" s="4">
        <v>840</v>
      </c>
      <c r="U318" s="4">
        <v>0</v>
      </c>
      <c r="V318" s="4" t="s">
        <v>32</v>
      </c>
      <c r="W318" s="4" t="s">
        <v>32</v>
      </c>
      <c r="X318" s="4" t="s">
        <v>32</v>
      </c>
      <c r="Y318" s="4" t="s">
        <v>32</v>
      </c>
      <c r="Z318" s="4" t="s">
        <v>32</v>
      </c>
      <c r="AA318" s="4" t="s">
        <v>32</v>
      </c>
    </row>
    <row r="319" s="4" customFormat="1" spans="1:27">
      <c r="A319" s="4" t="s">
        <v>105</v>
      </c>
      <c r="B319" s="4" t="s">
        <v>28</v>
      </c>
      <c r="C319" s="4">
        <v>2213447</v>
      </c>
      <c r="D319" s="19">
        <v>254725469487</v>
      </c>
      <c r="E319" s="21">
        <v>44058.9016319444</v>
      </c>
      <c r="F319" s="4">
        <v>345.78</v>
      </c>
      <c r="G319" s="4">
        <v>0</v>
      </c>
      <c r="H319" s="4">
        <v>345.78</v>
      </c>
      <c r="I319" s="4">
        <v>17.06</v>
      </c>
      <c r="J319" s="4">
        <v>0</v>
      </c>
      <c r="K319" s="4">
        <v>17.06</v>
      </c>
      <c r="L319" s="4">
        <v>60.15</v>
      </c>
      <c r="M319" s="4">
        <v>8000</v>
      </c>
      <c r="N319" s="4">
        <v>57.14</v>
      </c>
      <c r="O319" s="4">
        <v>7600</v>
      </c>
      <c r="P319" s="4" t="s">
        <v>34</v>
      </c>
      <c r="Q319" s="4" t="s">
        <v>30</v>
      </c>
      <c r="R319" s="4" t="s">
        <v>164</v>
      </c>
      <c r="S319" s="4">
        <v>0</v>
      </c>
      <c r="T319" s="4">
        <v>400</v>
      </c>
      <c r="U319" s="4">
        <v>0</v>
      </c>
      <c r="V319" s="4" t="s">
        <v>32</v>
      </c>
      <c r="W319" s="4" t="s">
        <v>32</v>
      </c>
      <c r="X319" s="4" t="s">
        <v>32</v>
      </c>
      <c r="Y319" s="4" t="s">
        <v>32</v>
      </c>
      <c r="Z319" s="4" t="s">
        <v>32</v>
      </c>
      <c r="AA319" s="4" t="s">
        <v>32</v>
      </c>
    </row>
    <row r="320" s="4" customFormat="1" spans="1:27">
      <c r="A320" s="4" t="s">
        <v>105</v>
      </c>
      <c r="B320" s="4" t="s">
        <v>28</v>
      </c>
      <c r="C320" s="4">
        <v>15831728</v>
      </c>
      <c r="D320" s="19">
        <v>254725697311</v>
      </c>
      <c r="E320" s="21">
        <v>45699.5513078704</v>
      </c>
      <c r="F320" s="4">
        <v>26.57</v>
      </c>
      <c r="G320" s="4">
        <v>0.68</v>
      </c>
      <c r="H320" s="4">
        <v>25.89</v>
      </c>
      <c r="I320" s="4">
        <v>3.22</v>
      </c>
      <c r="J320" s="4">
        <v>0.68</v>
      </c>
      <c r="K320" s="4">
        <v>2.55</v>
      </c>
      <c r="L320" s="4">
        <v>51.59</v>
      </c>
      <c r="M320" s="4">
        <v>6862</v>
      </c>
      <c r="N320" s="4">
        <v>0.71</v>
      </c>
      <c r="O320" s="4">
        <v>94.05</v>
      </c>
      <c r="P320" s="4" t="s">
        <v>29</v>
      </c>
      <c r="Q320" s="4" t="s">
        <v>30</v>
      </c>
      <c r="R320" s="4" t="s">
        <v>164</v>
      </c>
      <c r="S320" s="4">
        <v>0</v>
      </c>
      <c r="T320" s="4">
        <v>340</v>
      </c>
      <c r="U320" s="4">
        <v>0</v>
      </c>
      <c r="V320" s="4" t="s">
        <v>32</v>
      </c>
      <c r="W320" s="4" t="s">
        <v>32</v>
      </c>
      <c r="X320" s="4" t="s">
        <v>32</v>
      </c>
      <c r="Y320" s="4" t="s">
        <v>32</v>
      </c>
      <c r="Z320" s="4" t="s">
        <v>32</v>
      </c>
      <c r="AA320" s="4" t="s">
        <v>32</v>
      </c>
    </row>
    <row r="321" s="4" customFormat="1" spans="1:27">
      <c r="A321" s="4" t="s">
        <v>105</v>
      </c>
      <c r="B321" s="4" t="s">
        <v>28</v>
      </c>
      <c r="C321" s="4">
        <v>12103519</v>
      </c>
      <c r="D321" s="19">
        <v>254725923661</v>
      </c>
      <c r="E321" s="21">
        <v>45312.3135416667</v>
      </c>
      <c r="F321" s="4">
        <v>506.57</v>
      </c>
      <c r="G321" s="4">
        <v>0.86</v>
      </c>
      <c r="H321" s="4">
        <v>505.71</v>
      </c>
      <c r="I321" s="4">
        <v>24.15</v>
      </c>
      <c r="J321" s="4">
        <v>0.84</v>
      </c>
      <c r="K321" s="4">
        <v>24.06</v>
      </c>
      <c r="L321" s="4">
        <v>122.52</v>
      </c>
      <c r="M321" s="4">
        <v>16295</v>
      </c>
      <c r="N321" s="4">
        <v>51.18</v>
      </c>
      <c r="O321" s="4">
        <v>6806.75</v>
      </c>
      <c r="P321" s="4" t="s">
        <v>34</v>
      </c>
      <c r="Q321" s="4" t="s">
        <v>30</v>
      </c>
      <c r="R321" s="4" t="s">
        <v>164</v>
      </c>
      <c r="S321" s="4">
        <v>0</v>
      </c>
      <c r="T321" s="4">
        <v>810</v>
      </c>
      <c r="U321" s="4">
        <v>0</v>
      </c>
      <c r="V321" s="4" t="s">
        <v>32</v>
      </c>
      <c r="W321" s="4" t="s">
        <v>32</v>
      </c>
      <c r="X321" s="4" t="s">
        <v>32</v>
      </c>
      <c r="Y321" s="4" t="s">
        <v>32</v>
      </c>
      <c r="Z321" s="4" t="s">
        <v>32</v>
      </c>
      <c r="AA321" s="4" t="s">
        <v>32</v>
      </c>
    </row>
    <row r="322" s="4" customFormat="1" spans="1:27">
      <c r="A322" s="4" t="s">
        <v>105</v>
      </c>
      <c r="B322" s="4" t="s">
        <v>28</v>
      </c>
      <c r="C322" s="4">
        <v>1763577</v>
      </c>
      <c r="D322" s="19">
        <v>254726084662</v>
      </c>
      <c r="E322" s="21">
        <v>44017.4466666667</v>
      </c>
      <c r="F322" s="4">
        <v>227.21</v>
      </c>
      <c r="G322" s="4">
        <v>0</v>
      </c>
      <c r="H322" s="4">
        <v>227.21</v>
      </c>
      <c r="I322" s="4">
        <v>28.27</v>
      </c>
      <c r="J322" s="4">
        <v>0</v>
      </c>
      <c r="K322" s="4">
        <v>28.27</v>
      </c>
      <c r="L322" s="4">
        <v>72.79</v>
      </c>
      <c r="M322" s="4">
        <v>9681</v>
      </c>
      <c r="N322" s="4">
        <v>69.15</v>
      </c>
      <c r="O322" s="4">
        <v>9196.95</v>
      </c>
      <c r="P322" s="4" t="s">
        <v>29</v>
      </c>
      <c r="Q322" s="4" t="s">
        <v>30</v>
      </c>
      <c r="R322" s="4" t="s">
        <v>164</v>
      </c>
      <c r="S322" s="4">
        <v>0</v>
      </c>
      <c r="T322" s="4">
        <v>480</v>
      </c>
      <c r="U322" s="4">
        <v>0</v>
      </c>
      <c r="V322" s="4" t="s">
        <v>32</v>
      </c>
      <c r="W322" s="4" t="s">
        <v>32</v>
      </c>
      <c r="X322" s="4" t="s">
        <v>32</v>
      </c>
      <c r="Y322" s="4" t="s">
        <v>32</v>
      </c>
      <c r="Z322" s="4" t="s">
        <v>32</v>
      </c>
      <c r="AA322" s="4" t="s">
        <v>32</v>
      </c>
    </row>
    <row r="323" s="4" customFormat="1" spans="1:27">
      <c r="A323" s="4" t="s">
        <v>105</v>
      </c>
      <c r="B323" s="4" t="s">
        <v>28</v>
      </c>
      <c r="C323" s="4">
        <v>12740128</v>
      </c>
      <c r="D323" s="19">
        <v>254726388091</v>
      </c>
      <c r="E323" s="21">
        <v>45398.8439699074</v>
      </c>
      <c r="F323" s="4">
        <v>534.27</v>
      </c>
      <c r="G323" s="4">
        <v>1.23</v>
      </c>
      <c r="H323" s="4">
        <v>533.05</v>
      </c>
      <c r="I323" s="4">
        <v>37.58</v>
      </c>
      <c r="J323" s="4">
        <v>1.21</v>
      </c>
      <c r="K323" s="4">
        <v>36.37</v>
      </c>
      <c r="L323" s="4">
        <v>128.86</v>
      </c>
      <c r="M323" s="4">
        <v>17139</v>
      </c>
      <c r="N323" s="4">
        <v>12.86</v>
      </c>
      <c r="O323" s="4">
        <v>1710</v>
      </c>
      <c r="P323" s="4" t="s">
        <v>29</v>
      </c>
      <c r="Q323" s="4" t="s">
        <v>30</v>
      </c>
      <c r="R323" s="4" t="s">
        <v>164</v>
      </c>
      <c r="S323" s="4">
        <v>0</v>
      </c>
      <c r="T323" s="4">
        <v>860</v>
      </c>
      <c r="U323" s="4">
        <v>0</v>
      </c>
      <c r="V323" s="4" t="s">
        <v>32</v>
      </c>
      <c r="W323" s="4" t="s">
        <v>32</v>
      </c>
      <c r="X323" s="4" t="s">
        <v>32</v>
      </c>
      <c r="Y323" s="4" t="s">
        <v>32</v>
      </c>
      <c r="Z323" s="4" t="s">
        <v>32</v>
      </c>
      <c r="AA323" s="4" t="s">
        <v>32</v>
      </c>
    </row>
    <row r="324" s="4" customFormat="1" spans="1:27">
      <c r="A324" s="4" t="s">
        <v>105</v>
      </c>
      <c r="B324" s="4" t="s">
        <v>28</v>
      </c>
      <c r="C324" s="4">
        <v>19708736</v>
      </c>
      <c r="D324" s="19">
        <v>254726677517</v>
      </c>
      <c r="E324" s="21">
        <v>45987.0081365741</v>
      </c>
      <c r="F324" s="4">
        <v>79738.96</v>
      </c>
      <c r="G324" s="4">
        <v>0</v>
      </c>
      <c r="H324" s="4">
        <v>79738.96</v>
      </c>
      <c r="I324" s="4">
        <v>-1003.56</v>
      </c>
      <c r="J324" s="4">
        <v>0</v>
      </c>
      <c r="K324" s="4">
        <v>-1003.56</v>
      </c>
      <c r="L324" s="4">
        <v>12136.84</v>
      </c>
      <c r="M324" s="4">
        <v>1614200</v>
      </c>
      <c r="N324" s="4">
        <v>3069.92</v>
      </c>
      <c r="O324" s="4">
        <v>408300</v>
      </c>
      <c r="P324" s="4" t="s">
        <v>34</v>
      </c>
      <c r="Q324" s="4" t="s">
        <v>33</v>
      </c>
      <c r="R324" s="4" t="s">
        <v>164</v>
      </c>
      <c r="S324" s="4">
        <v>0</v>
      </c>
      <c r="T324" s="4">
        <v>30000</v>
      </c>
      <c r="U324" s="4">
        <v>1</v>
      </c>
      <c r="V324" s="4">
        <v>1</v>
      </c>
      <c r="W324" s="4" t="s">
        <v>32</v>
      </c>
      <c r="X324" s="4" t="s">
        <v>32</v>
      </c>
      <c r="Y324" s="4" t="s">
        <v>32</v>
      </c>
      <c r="Z324" s="4" t="s">
        <v>32</v>
      </c>
      <c r="AA324" s="4" t="s">
        <v>32</v>
      </c>
    </row>
    <row r="325" s="4" customFormat="1" spans="1:27">
      <c r="A325" s="4" t="s">
        <v>105</v>
      </c>
      <c r="B325" s="4" t="s">
        <v>28</v>
      </c>
      <c r="C325" s="4">
        <v>2419117</v>
      </c>
      <c r="D325" s="19">
        <v>254727685355</v>
      </c>
      <c r="E325" s="21">
        <v>44079.4725115741</v>
      </c>
      <c r="F325" s="4">
        <v>579.55</v>
      </c>
      <c r="G325" s="4">
        <v>0.03</v>
      </c>
      <c r="H325" s="4">
        <v>579.52</v>
      </c>
      <c r="I325" s="4">
        <v>-139.73</v>
      </c>
      <c r="J325" s="4">
        <v>0.03</v>
      </c>
      <c r="K325" s="4">
        <v>-139.76</v>
      </c>
      <c r="L325" s="4">
        <v>237</v>
      </c>
      <c r="M325" s="4">
        <v>31521</v>
      </c>
      <c r="N325" s="4">
        <v>35.04</v>
      </c>
      <c r="O325" s="4">
        <v>4660.7</v>
      </c>
      <c r="P325" s="4" t="s">
        <v>29</v>
      </c>
      <c r="Q325" s="4" t="s">
        <v>30</v>
      </c>
      <c r="R325" s="4" t="s">
        <v>164</v>
      </c>
      <c r="S325" s="4">
        <v>0</v>
      </c>
      <c r="T325" s="4">
        <v>1580</v>
      </c>
      <c r="U325" s="4">
        <v>0</v>
      </c>
      <c r="V325" s="4" t="s">
        <v>32</v>
      </c>
      <c r="W325" s="4" t="s">
        <v>32</v>
      </c>
      <c r="X325" s="4" t="s">
        <v>32</v>
      </c>
      <c r="Y325" s="4" t="s">
        <v>32</v>
      </c>
      <c r="Z325" s="4" t="s">
        <v>32</v>
      </c>
      <c r="AA325" s="4" t="s">
        <v>32</v>
      </c>
    </row>
    <row r="326" s="4" customFormat="1" spans="1:27">
      <c r="A326" s="4" t="s">
        <v>105</v>
      </c>
      <c r="B326" s="4" t="s">
        <v>28</v>
      </c>
      <c r="C326" s="4">
        <v>20543179</v>
      </c>
      <c r="D326" s="19">
        <v>254727778939</v>
      </c>
      <c r="E326" s="21">
        <v>46026.7505439815</v>
      </c>
      <c r="F326" s="4">
        <v>784.81</v>
      </c>
      <c r="G326" s="4">
        <v>0</v>
      </c>
      <c r="H326" s="4">
        <v>784.81</v>
      </c>
      <c r="I326" s="4">
        <v>108.09</v>
      </c>
      <c r="J326" s="4">
        <v>0</v>
      </c>
      <c r="K326" s="4">
        <v>108.09</v>
      </c>
      <c r="L326" s="4">
        <v>120.49</v>
      </c>
      <c r="M326" s="4">
        <v>16025</v>
      </c>
      <c r="N326" s="4">
        <v>50.86</v>
      </c>
      <c r="O326" s="4">
        <v>6764</v>
      </c>
      <c r="P326" s="4" t="s">
        <v>34</v>
      </c>
      <c r="Q326" s="4" t="s">
        <v>30</v>
      </c>
      <c r="R326" s="4" t="s">
        <v>164</v>
      </c>
      <c r="S326" s="4">
        <v>0</v>
      </c>
      <c r="T326" s="4">
        <v>800</v>
      </c>
      <c r="U326" s="4">
        <v>0</v>
      </c>
      <c r="V326" s="4" t="s">
        <v>32</v>
      </c>
      <c r="W326" s="4" t="s">
        <v>32</v>
      </c>
      <c r="X326" s="4" t="s">
        <v>32</v>
      </c>
      <c r="Y326" s="4" t="s">
        <v>32</v>
      </c>
      <c r="Z326" s="4" t="s">
        <v>32</v>
      </c>
      <c r="AA326" s="4" t="s">
        <v>32</v>
      </c>
    </row>
    <row r="327" s="4" customFormat="1" spans="1:27">
      <c r="A327" s="4" t="s">
        <v>105</v>
      </c>
      <c r="B327" s="4" t="s">
        <v>28</v>
      </c>
      <c r="C327" s="4">
        <v>13493527</v>
      </c>
      <c r="D327" s="19">
        <v>254728657248</v>
      </c>
      <c r="E327" s="21">
        <v>45525.3564351852</v>
      </c>
      <c r="F327" s="4">
        <v>208.69</v>
      </c>
      <c r="G327" s="4">
        <v>0</v>
      </c>
      <c r="H327" s="4">
        <v>208.69</v>
      </c>
      <c r="I327" s="4">
        <v>28.79</v>
      </c>
      <c r="J327" s="4">
        <v>0</v>
      </c>
      <c r="K327" s="4">
        <v>28.79</v>
      </c>
      <c r="L327" s="4">
        <v>53.98</v>
      </c>
      <c r="M327" s="4">
        <v>7179</v>
      </c>
      <c r="N327" s="4">
        <v>11.31</v>
      </c>
      <c r="O327" s="4">
        <v>1503.85</v>
      </c>
      <c r="P327" s="4" t="s">
        <v>34</v>
      </c>
      <c r="Q327" s="4" t="s">
        <v>30</v>
      </c>
      <c r="R327" s="4" t="s">
        <v>164</v>
      </c>
      <c r="S327" s="4">
        <v>0</v>
      </c>
      <c r="T327" s="4">
        <v>360</v>
      </c>
      <c r="U327" s="4">
        <v>0</v>
      </c>
      <c r="V327" s="4" t="s">
        <v>32</v>
      </c>
      <c r="W327" s="4" t="s">
        <v>32</v>
      </c>
      <c r="X327" s="4" t="s">
        <v>32</v>
      </c>
      <c r="Y327" s="4" t="s">
        <v>32</v>
      </c>
      <c r="Z327" s="4" t="s">
        <v>32</v>
      </c>
      <c r="AA327" s="4" t="s">
        <v>32</v>
      </c>
    </row>
    <row r="328" s="4" customFormat="1" spans="1:27">
      <c r="A328" s="4" t="s">
        <v>105</v>
      </c>
      <c r="B328" s="4" t="s">
        <v>28</v>
      </c>
      <c r="C328" s="4">
        <v>4908836</v>
      </c>
      <c r="D328" s="19">
        <v>254729238726</v>
      </c>
      <c r="E328" s="21">
        <v>44374.547025463</v>
      </c>
      <c r="F328" s="4">
        <v>2422.73</v>
      </c>
      <c r="G328" s="4">
        <v>1.44</v>
      </c>
      <c r="H328" s="4">
        <v>2421.28</v>
      </c>
      <c r="I328" s="4">
        <v>-6.41</v>
      </c>
      <c r="J328" s="4">
        <v>1.44</v>
      </c>
      <c r="K328" s="4">
        <v>-7.85</v>
      </c>
      <c r="L328" s="4">
        <v>624.32</v>
      </c>
      <c r="M328" s="4">
        <v>83034</v>
      </c>
      <c r="N328" s="4">
        <v>78.74</v>
      </c>
      <c r="O328" s="4">
        <v>10472.42</v>
      </c>
      <c r="P328" s="4" t="s">
        <v>29</v>
      </c>
      <c r="Q328" s="4" t="s">
        <v>30</v>
      </c>
      <c r="R328" s="4" t="s">
        <v>164</v>
      </c>
      <c r="S328" s="4">
        <v>0</v>
      </c>
      <c r="T328" s="4">
        <v>4150</v>
      </c>
      <c r="U328" s="4">
        <v>0</v>
      </c>
      <c r="V328" s="4" t="s">
        <v>32</v>
      </c>
      <c r="W328" s="4" t="s">
        <v>32</v>
      </c>
      <c r="X328" s="4" t="s">
        <v>32</v>
      </c>
      <c r="Y328" s="4" t="s">
        <v>32</v>
      </c>
      <c r="Z328" s="4" t="s">
        <v>32</v>
      </c>
      <c r="AA328" s="4" t="s">
        <v>32</v>
      </c>
    </row>
    <row r="329" s="4" customFormat="1" spans="1:27">
      <c r="A329" s="4" t="s">
        <v>105</v>
      </c>
      <c r="B329" s="4" t="s">
        <v>28</v>
      </c>
      <c r="C329" s="4">
        <v>20698447</v>
      </c>
      <c r="D329" s="19">
        <v>254729353693</v>
      </c>
      <c r="E329" s="21">
        <v>46033.7341319445</v>
      </c>
      <c r="F329" s="4">
        <v>638.92</v>
      </c>
      <c r="G329" s="4">
        <v>0.04</v>
      </c>
      <c r="H329" s="4">
        <v>638.88</v>
      </c>
      <c r="I329" s="4">
        <v>13.28</v>
      </c>
      <c r="J329" s="4">
        <v>0.04</v>
      </c>
      <c r="K329" s="4">
        <v>13.25</v>
      </c>
      <c r="L329" s="4">
        <v>101.4</v>
      </c>
      <c r="M329" s="4">
        <v>13486</v>
      </c>
      <c r="N329" s="4">
        <v>55.42</v>
      </c>
      <c r="O329" s="4">
        <v>7371.05</v>
      </c>
      <c r="P329" s="4" t="s">
        <v>34</v>
      </c>
      <c r="Q329" s="4" t="s">
        <v>30</v>
      </c>
      <c r="R329" s="4" t="s">
        <v>164</v>
      </c>
      <c r="S329" s="4">
        <v>0</v>
      </c>
      <c r="T329" s="4">
        <v>670</v>
      </c>
      <c r="U329" s="4">
        <v>0</v>
      </c>
      <c r="V329" s="4" t="s">
        <v>32</v>
      </c>
      <c r="W329" s="4" t="s">
        <v>32</v>
      </c>
      <c r="X329" s="4" t="s">
        <v>32</v>
      </c>
      <c r="Y329" s="4" t="s">
        <v>32</v>
      </c>
      <c r="Z329" s="4" t="s">
        <v>32</v>
      </c>
      <c r="AA329" s="4" t="s">
        <v>32</v>
      </c>
    </row>
    <row r="330" s="4" customFormat="1" spans="1:27">
      <c r="A330" s="4" t="s">
        <v>105</v>
      </c>
      <c r="B330" s="4" t="s">
        <v>28</v>
      </c>
      <c r="C330" s="4">
        <v>9694198</v>
      </c>
      <c r="D330" s="19">
        <v>254729377037</v>
      </c>
      <c r="E330" s="21">
        <v>45017.7823842593</v>
      </c>
      <c r="F330" s="4">
        <v>1691.57</v>
      </c>
      <c r="G330" s="4">
        <v>0.04</v>
      </c>
      <c r="H330" s="4">
        <v>1691.53</v>
      </c>
      <c r="I330" s="4">
        <v>182.39</v>
      </c>
      <c r="J330" s="4">
        <v>0.04</v>
      </c>
      <c r="K330" s="4">
        <v>183.1</v>
      </c>
      <c r="L330" s="4">
        <v>267.1</v>
      </c>
      <c r="M330" s="4">
        <v>35524</v>
      </c>
      <c r="N330" s="4">
        <v>7.14</v>
      </c>
      <c r="O330" s="4">
        <v>950</v>
      </c>
      <c r="P330" s="4" t="s">
        <v>34</v>
      </c>
      <c r="Q330" s="4" t="s">
        <v>30</v>
      </c>
      <c r="R330" s="4" t="s">
        <v>164</v>
      </c>
      <c r="S330" s="4">
        <v>0</v>
      </c>
      <c r="T330" s="4">
        <v>1780</v>
      </c>
      <c r="U330" s="4">
        <v>0</v>
      </c>
      <c r="V330" s="4" t="s">
        <v>32</v>
      </c>
      <c r="W330" s="4" t="s">
        <v>32</v>
      </c>
      <c r="X330" s="4" t="s">
        <v>32</v>
      </c>
      <c r="Y330" s="4" t="s">
        <v>32</v>
      </c>
      <c r="Z330" s="4" t="s">
        <v>32</v>
      </c>
      <c r="AA330" s="4" t="s">
        <v>32</v>
      </c>
    </row>
    <row r="331" s="4" customFormat="1" spans="1:27">
      <c r="A331" s="4" t="s">
        <v>105</v>
      </c>
      <c r="B331" s="4" t="s">
        <v>28</v>
      </c>
      <c r="C331" s="4">
        <v>16781039</v>
      </c>
      <c r="D331" s="19">
        <v>254729673790</v>
      </c>
      <c r="E331" s="21">
        <v>45802.3279513889</v>
      </c>
      <c r="F331" s="4">
        <v>2088.41</v>
      </c>
      <c r="G331" s="4">
        <v>0</v>
      </c>
      <c r="H331" s="4">
        <v>2088.41</v>
      </c>
      <c r="I331" s="4">
        <v>116.47</v>
      </c>
      <c r="J331" s="4">
        <v>0</v>
      </c>
      <c r="K331" s="4">
        <v>116.47</v>
      </c>
      <c r="L331" s="4">
        <v>214.78</v>
      </c>
      <c r="M331" s="4">
        <v>28566</v>
      </c>
      <c r="N331" s="4">
        <v>28.86</v>
      </c>
      <c r="O331" s="4">
        <v>3838</v>
      </c>
      <c r="P331" s="4" t="s">
        <v>29</v>
      </c>
      <c r="Q331" s="4" t="s">
        <v>30</v>
      </c>
      <c r="R331" s="4" t="s">
        <v>164</v>
      </c>
      <c r="S331" s="4">
        <v>0</v>
      </c>
      <c r="T331" s="4">
        <v>1430</v>
      </c>
      <c r="U331" s="4">
        <v>0</v>
      </c>
      <c r="V331" s="4" t="s">
        <v>32</v>
      </c>
      <c r="W331" s="4" t="s">
        <v>32</v>
      </c>
      <c r="X331" s="4" t="s">
        <v>32</v>
      </c>
      <c r="Y331" s="4" t="s">
        <v>32</v>
      </c>
      <c r="Z331" s="4" t="s">
        <v>32</v>
      </c>
      <c r="AA331" s="4" t="s">
        <v>32</v>
      </c>
    </row>
    <row r="332" s="4" customFormat="1" spans="1:27">
      <c r="A332" s="4" t="s">
        <v>105</v>
      </c>
      <c r="B332" s="4" t="s">
        <v>28</v>
      </c>
      <c r="C332" s="4">
        <v>17307087</v>
      </c>
      <c r="D332" s="19">
        <v>254741036382</v>
      </c>
      <c r="E332" s="21">
        <v>45845.4297800926</v>
      </c>
      <c r="F332" s="4">
        <v>2453.85</v>
      </c>
      <c r="G332" s="4">
        <v>0.76</v>
      </c>
      <c r="H332" s="4">
        <v>2453.09</v>
      </c>
      <c r="I332" s="4">
        <v>86.69</v>
      </c>
      <c r="J332" s="4">
        <v>0.76</v>
      </c>
      <c r="K332" s="4">
        <v>85.93</v>
      </c>
      <c r="L332" s="4">
        <v>291.73</v>
      </c>
      <c r="M332" s="4">
        <v>38800</v>
      </c>
      <c r="N332" s="4">
        <v>271.43</v>
      </c>
      <c r="O332" s="4">
        <v>36100</v>
      </c>
      <c r="P332" s="4" t="s">
        <v>34</v>
      </c>
      <c r="Q332" s="4" t="s">
        <v>30</v>
      </c>
      <c r="R332" s="4" t="s">
        <v>164</v>
      </c>
      <c r="S332" s="4">
        <v>0</v>
      </c>
      <c r="T332" s="4">
        <v>1940</v>
      </c>
      <c r="U332" s="4">
        <v>0</v>
      </c>
      <c r="V332" s="4" t="s">
        <v>32</v>
      </c>
      <c r="W332" s="4" t="s">
        <v>32</v>
      </c>
      <c r="X332" s="4" t="s">
        <v>32</v>
      </c>
      <c r="Y332" s="4" t="s">
        <v>32</v>
      </c>
      <c r="Z332" s="4" t="s">
        <v>32</v>
      </c>
      <c r="AA332" s="4" t="s">
        <v>32</v>
      </c>
    </row>
    <row r="333" s="4" customFormat="1" spans="1:27">
      <c r="A333" s="4" t="s">
        <v>105</v>
      </c>
      <c r="B333" s="4" t="s">
        <v>28</v>
      </c>
      <c r="C333" s="4">
        <v>17602818</v>
      </c>
      <c r="D333" s="19">
        <v>254741763894</v>
      </c>
      <c r="E333" s="21">
        <v>45865.3946759259</v>
      </c>
      <c r="F333" s="4">
        <v>198.65</v>
      </c>
      <c r="G333" s="4">
        <v>0</v>
      </c>
      <c r="H333" s="4">
        <v>198.65</v>
      </c>
      <c r="I333" s="4">
        <v>48.69</v>
      </c>
      <c r="J333" s="4">
        <v>0</v>
      </c>
      <c r="K333" s="4">
        <v>48.69</v>
      </c>
      <c r="L333" s="4">
        <v>50.98</v>
      </c>
      <c r="M333" s="4">
        <v>6781</v>
      </c>
      <c r="N333" s="4">
        <v>17.86</v>
      </c>
      <c r="O333" s="4">
        <v>2375.95</v>
      </c>
      <c r="P333" s="4" t="s">
        <v>29</v>
      </c>
      <c r="Q333" s="4" t="s">
        <v>30</v>
      </c>
      <c r="R333" s="4" t="s">
        <v>164</v>
      </c>
      <c r="S333" s="4">
        <v>0</v>
      </c>
      <c r="T333" s="4">
        <v>340</v>
      </c>
      <c r="U333" s="4">
        <v>0</v>
      </c>
      <c r="V333" s="4" t="s">
        <v>32</v>
      </c>
      <c r="W333" s="4" t="s">
        <v>32</v>
      </c>
      <c r="X333" s="4" t="s">
        <v>32</v>
      </c>
      <c r="Y333" s="4" t="s">
        <v>32</v>
      </c>
      <c r="Z333" s="4" t="s">
        <v>32</v>
      </c>
      <c r="AA333" s="4" t="s">
        <v>32</v>
      </c>
    </row>
    <row r="334" s="4" customFormat="1" spans="1:27">
      <c r="A334" s="4" t="s">
        <v>105</v>
      </c>
      <c r="B334" s="4" t="s">
        <v>28</v>
      </c>
      <c r="C334" s="4">
        <v>16820166</v>
      </c>
      <c r="D334" s="19">
        <v>254746453310</v>
      </c>
      <c r="E334" s="21">
        <v>45806.614837963</v>
      </c>
      <c r="F334" s="4">
        <v>266.64</v>
      </c>
      <c r="G334" s="4">
        <v>0</v>
      </c>
      <c r="H334" s="4">
        <v>266.64</v>
      </c>
      <c r="I334" s="4">
        <v>17.01</v>
      </c>
      <c r="J334" s="4">
        <v>0</v>
      </c>
      <c r="K334" s="4">
        <v>17.01</v>
      </c>
      <c r="L334" s="4">
        <v>62.16</v>
      </c>
      <c r="M334" s="4">
        <v>8267</v>
      </c>
      <c r="N334" s="4">
        <v>6.29</v>
      </c>
      <c r="O334" s="4">
        <v>836.95</v>
      </c>
      <c r="P334" s="4" t="s">
        <v>29</v>
      </c>
      <c r="Q334" s="4" t="s">
        <v>30</v>
      </c>
      <c r="R334" s="4" t="s">
        <v>164</v>
      </c>
      <c r="S334" s="4">
        <v>0</v>
      </c>
      <c r="T334" s="4">
        <v>410</v>
      </c>
      <c r="U334" s="4">
        <v>0</v>
      </c>
      <c r="V334" s="4" t="s">
        <v>32</v>
      </c>
      <c r="W334" s="4" t="s">
        <v>32</v>
      </c>
      <c r="X334" s="4" t="s">
        <v>32</v>
      </c>
      <c r="Y334" s="4" t="s">
        <v>32</v>
      </c>
      <c r="Z334" s="4" t="s">
        <v>32</v>
      </c>
      <c r="AA334" s="4" t="s">
        <v>32</v>
      </c>
    </row>
    <row r="335" s="4" customFormat="1" spans="1:27">
      <c r="A335" s="4" t="s">
        <v>105</v>
      </c>
      <c r="B335" s="4" t="s">
        <v>28</v>
      </c>
      <c r="C335" s="4">
        <v>207796</v>
      </c>
      <c r="D335" s="19">
        <v>254748232521</v>
      </c>
      <c r="E335" s="21">
        <v>43918.4362847222</v>
      </c>
      <c r="F335" s="4">
        <v>1229.17</v>
      </c>
      <c r="G335" s="4">
        <v>0</v>
      </c>
      <c r="H335" s="4">
        <v>1229.17</v>
      </c>
      <c r="I335" s="4">
        <v>99.76</v>
      </c>
      <c r="J335" s="4">
        <v>0</v>
      </c>
      <c r="K335" s="4">
        <v>99.76</v>
      </c>
      <c r="L335" s="4">
        <v>457.16</v>
      </c>
      <c r="M335" s="4">
        <v>60802</v>
      </c>
      <c r="N335" s="4">
        <v>0.63</v>
      </c>
      <c r="O335" s="4">
        <v>83.6</v>
      </c>
      <c r="P335" s="4" t="s">
        <v>29</v>
      </c>
      <c r="Q335" s="4" t="s">
        <v>30</v>
      </c>
      <c r="R335" s="4" t="s">
        <v>164</v>
      </c>
      <c r="S335" s="4">
        <v>0</v>
      </c>
      <c r="T335" s="4">
        <v>3040</v>
      </c>
      <c r="U335" s="4">
        <v>0</v>
      </c>
      <c r="V335" s="4" t="s">
        <v>32</v>
      </c>
      <c r="W335" s="4" t="s">
        <v>32</v>
      </c>
      <c r="X335" s="4" t="s">
        <v>32</v>
      </c>
      <c r="Y335" s="4" t="s">
        <v>32</v>
      </c>
      <c r="Z335" s="4" t="s">
        <v>32</v>
      </c>
      <c r="AA335" s="4" t="s">
        <v>32</v>
      </c>
    </row>
    <row r="336" s="4" customFormat="1" spans="1:27">
      <c r="A336" s="4" t="s">
        <v>105</v>
      </c>
      <c r="B336" s="4" t="s">
        <v>28</v>
      </c>
      <c r="C336" s="4">
        <v>4877956</v>
      </c>
      <c r="D336" s="19">
        <v>254748300807</v>
      </c>
      <c r="E336" s="21">
        <v>44371.1933449074</v>
      </c>
      <c r="F336" s="4">
        <v>2097.21</v>
      </c>
      <c r="G336" s="4">
        <v>2.8</v>
      </c>
      <c r="H336" s="4">
        <v>2094.41</v>
      </c>
      <c r="I336" s="4">
        <v>97.66</v>
      </c>
      <c r="J336" s="4">
        <v>2.8</v>
      </c>
      <c r="K336" s="4">
        <v>94.86</v>
      </c>
      <c r="L336" s="4">
        <v>255.01</v>
      </c>
      <c r="M336" s="4">
        <v>33916</v>
      </c>
      <c r="N336" s="4">
        <v>70.54</v>
      </c>
      <c r="O336" s="4">
        <v>9382.2</v>
      </c>
      <c r="P336" s="4" t="s">
        <v>29</v>
      </c>
      <c r="Q336" s="4" t="s">
        <v>30</v>
      </c>
      <c r="R336" s="4" t="s">
        <v>164</v>
      </c>
      <c r="S336" s="4">
        <v>0</v>
      </c>
      <c r="T336" s="4">
        <v>1700</v>
      </c>
      <c r="U336" s="4">
        <v>0</v>
      </c>
      <c r="V336" s="4" t="s">
        <v>32</v>
      </c>
      <c r="W336" s="4" t="s">
        <v>32</v>
      </c>
      <c r="X336" s="4" t="s">
        <v>32</v>
      </c>
      <c r="Y336" s="4" t="s">
        <v>32</v>
      </c>
      <c r="Z336" s="4" t="s">
        <v>32</v>
      </c>
      <c r="AA336" s="4" t="s">
        <v>32</v>
      </c>
    </row>
    <row r="337" s="4" customFormat="1" spans="1:27">
      <c r="A337" s="4" t="s">
        <v>105</v>
      </c>
      <c r="B337" s="4" t="s">
        <v>28</v>
      </c>
      <c r="C337" s="4">
        <v>2384066</v>
      </c>
      <c r="D337" s="19">
        <v>254748338772</v>
      </c>
      <c r="E337" s="21">
        <v>44075.5931481482</v>
      </c>
      <c r="F337" s="4">
        <v>654.61</v>
      </c>
      <c r="G337" s="4">
        <v>0</v>
      </c>
      <c r="H337" s="4">
        <v>654.61</v>
      </c>
      <c r="I337" s="4">
        <v>-69.78</v>
      </c>
      <c r="J337" s="4">
        <v>0</v>
      </c>
      <c r="K337" s="4">
        <v>-69.78</v>
      </c>
      <c r="L337" s="4">
        <v>160.9</v>
      </c>
      <c r="M337" s="4">
        <v>21400</v>
      </c>
      <c r="N337" s="4">
        <v>8.56</v>
      </c>
      <c r="O337" s="4">
        <v>1139.05</v>
      </c>
      <c r="P337" s="4" t="s">
        <v>29</v>
      </c>
      <c r="Q337" s="4" t="s">
        <v>30</v>
      </c>
      <c r="R337" s="4" t="s">
        <v>164</v>
      </c>
      <c r="S337" s="4">
        <v>0</v>
      </c>
      <c r="T337" s="4">
        <v>1070</v>
      </c>
      <c r="U337" s="4">
        <v>0</v>
      </c>
      <c r="V337" s="4" t="s">
        <v>32</v>
      </c>
      <c r="W337" s="4" t="s">
        <v>32</v>
      </c>
      <c r="X337" s="4" t="s">
        <v>32</v>
      </c>
      <c r="Y337" s="4" t="s">
        <v>32</v>
      </c>
      <c r="Z337" s="4" t="s">
        <v>32</v>
      </c>
      <c r="AA337" s="4" t="s">
        <v>32</v>
      </c>
    </row>
    <row r="338" s="4" customFormat="1" spans="1:27">
      <c r="A338" s="4" t="s">
        <v>105</v>
      </c>
      <c r="B338" s="4" t="s">
        <v>28</v>
      </c>
      <c r="C338" s="4">
        <v>3108369</v>
      </c>
      <c r="D338" s="19">
        <v>254748503820</v>
      </c>
      <c r="E338" s="21">
        <v>44139.4279398148</v>
      </c>
      <c r="F338" s="4">
        <v>221.43</v>
      </c>
      <c r="G338" s="4">
        <v>0</v>
      </c>
      <c r="H338" s="4">
        <v>221.43</v>
      </c>
      <c r="I338" s="4">
        <v>14.41</v>
      </c>
      <c r="J338" s="4">
        <v>0</v>
      </c>
      <c r="K338" s="4">
        <v>14.41</v>
      </c>
      <c r="L338" s="4">
        <v>62.18</v>
      </c>
      <c r="M338" s="4">
        <v>8270</v>
      </c>
      <c r="N338" s="4">
        <v>59.07</v>
      </c>
      <c r="O338" s="4">
        <v>7856.5</v>
      </c>
      <c r="P338" s="4" t="s">
        <v>34</v>
      </c>
      <c r="Q338" s="4" t="s">
        <v>30</v>
      </c>
      <c r="R338" s="4" t="s">
        <v>164</v>
      </c>
      <c r="S338" s="4">
        <v>0</v>
      </c>
      <c r="T338" s="4">
        <v>410</v>
      </c>
      <c r="U338" s="4">
        <v>0</v>
      </c>
      <c r="V338" s="4" t="s">
        <v>32</v>
      </c>
      <c r="W338" s="4" t="s">
        <v>32</v>
      </c>
      <c r="X338" s="4" t="s">
        <v>32</v>
      </c>
      <c r="Y338" s="4" t="s">
        <v>32</v>
      </c>
      <c r="Z338" s="4" t="s">
        <v>32</v>
      </c>
      <c r="AA338" s="4" t="s">
        <v>32</v>
      </c>
    </row>
    <row r="339" s="4" customFormat="1" spans="1:27">
      <c r="A339" s="4" t="s">
        <v>105</v>
      </c>
      <c r="B339" s="4" t="s">
        <v>28</v>
      </c>
      <c r="C339" s="4">
        <v>13283928</v>
      </c>
      <c r="D339" s="19">
        <v>254748721300</v>
      </c>
      <c r="E339" s="21">
        <v>45481.7641435185</v>
      </c>
      <c r="F339" s="4">
        <v>5688.16</v>
      </c>
      <c r="G339" s="4">
        <v>0.74</v>
      </c>
      <c r="H339" s="4">
        <v>5687.42</v>
      </c>
      <c r="I339" s="4">
        <v>403.06</v>
      </c>
      <c r="J339" s="4">
        <v>0.74</v>
      </c>
      <c r="K339" s="4">
        <v>402.32</v>
      </c>
      <c r="L339" s="4">
        <v>1677.29</v>
      </c>
      <c r="M339" s="4">
        <v>223080</v>
      </c>
      <c r="N339" s="4">
        <v>54.29</v>
      </c>
      <c r="O339" s="4">
        <v>7220</v>
      </c>
      <c r="P339" s="4" t="s">
        <v>29</v>
      </c>
      <c r="Q339" s="4" t="s">
        <v>33</v>
      </c>
      <c r="R339" s="4" t="s">
        <v>164</v>
      </c>
      <c r="S339" s="4">
        <v>0</v>
      </c>
      <c r="T339" s="4">
        <v>11150</v>
      </c>
      <c r="U339" s="4">
        <v>0</v>
      </c>
      <c r="V339" s="4" t="s">
        <v>32</v>
      </c>
      <c r="W339" s="4" t="s">
        <v>32</v>
      </c>
      <c r="X339" s="4" t="s">
        <v>32</v>
      </c>
      <c r="Y339" s="4" t="s">
        <v>32</v>
      </c>
      <c r="Z339" s="4" t="s">
        <v>32</v>
      </c>
      <c r="AA339" s="4" t="s">
        <v>32</v>
      </c>
    </row>
    <row r="340" s="4" customFormat="1" spans="1:27">
      <c r="A340" s="4" t="s">
        <v>105</v>
      </c>
      <c r="B340" s="4" t="s">
        <v>28</v>
      </c>
      <c r="C340" s="4">
        <v>18250728</v>
      </c>
      <c r="D340" s="19">
        <v>254750057497</v>
      </c>
      <c r="E340" s="21">
        <v>45900.3435069445</v>
      </c>
      <c r="F340" s="4">
        <v>193.87</v>
      </c>
      <c r="G340" s="4">
        <v>0.91</v>
      </c>
      <c r="H340" s="4">
        <v>192.96</v>
      </c>
      <c r="I340" s="4">
        <v>4.85</v>
      </c>
      <c r="J340" s="4">
        <v>-0.8</v>
      </c>
      <c r="K340" s="4">
        <v>5.65</v>
      </c>
      <c r="L340" s="4">
        <v>63.9</v>
      </c>
      <c r="M340" s="4">
        <v>8499</v>
      </c>
      <c r="N340" s="4">
        <v>41.34</v>
      </c>
      <c r="O340" s="4">
        <v>5498.6</v>
      </c>
      <c r="P340" s="4" t="s">
        <v>34</v>
      </c>
      <c r="Q340" s="4" t="s">
        <v>30</v>
      </c>
      <c r="R340" s="4" t="s">
        <v>164</v>
      </c>
      <c r="S340" s="4">
        <v>0</v>
      </c>
      <c r="T340" s="4">
        <v>420</v>
      </c>
      <c r="U340" s="4">
        <v>0</v>
      </c>
      <c r="V340" s="4" t="s">
        <v>32</v>
      </c>
      <c r="W340" s="4" t="s">
        <v>32</v>
      </c>
      <c r="X340" s="4" t="s">
        <v>32</v>
      </c>
      <c r="Y340" s="4" t="s">
        <v>32</v>
      </c>
      <c r="Z340" s="4" t="s">
        <v>32</v>
      </c>
      <c r="AA340" s="4" t="s">
        <v>32</v>
      </c>
    </row>
    <row r="341" s="4" customFormat="1" spans="1:27">
      <c r="A341" s="4" t="s">
        <v>105</v>
      </c>
      <c r="B341" s="4" t="s">
        <v>28</v>
      </c>
      <c r="C341" s="4">
        <v>16670456</v>
      </c>
      <c r="D341" s="19">
        <v>254757379930</v>
      </c>
      <c r="E341" s="21">
        <v>45790.5072453704</v>
      </c>
      <c r="F341" s="4">
        <v>996.08</v>
      </c>
      <c r="G341" s="4">
        <v>0.36</v>
      </c>
      <c r="H341" s="4">
        <v>995.72</v>
      </c>
      <c r="I341" s="4">
        <v>66.86</v>
      </c>
      <c r="J341" s="4">
        <v>0.36</v>
      </c>
      <c r="K341" s="4">
        <v>66.5</v>
      </c>
      <c r="L341" s="4">
        <v>235.83</v>
      </c>
      <c r="M341" s="4">
        <v>31366</v>
      </c>
      <c r="N341" s="4">
        <v>83.48</v>
      </c>
      <c r="O341" s="4">
        <v>11102.65</v>
      </c>
      <c r="P341" s="4" t="s">
        <v>29</v>
      </c>
      <c r="Q341" s="4" t="s">
        <v>30</v>
      </c>
      <c r="R341" s="4" t="s">
        <v>164</v>
      </c>
      <c r="S341" s="4">
        <v>0</v>
      </c>
      <c r="T341" s="4">
        <v>1570</v>
      </c>
      <c r="U341" s="4">
        <v>0</v>
      </c>
      <c r="V341" s="4" t="s">
        <v>32</v>
      </c>
      <c r="W341" s="4" t="s">
        <v>32</v>
      </c>
      <c r="X341" s="4" t="s">
        <v>32</v>
      </c>
      <c r="Y341" s="4" t="s">
        <v>32</v>
      </c>
      <c r="Z341" s="4" t="s">
        <v>32</v>
      </c>
      <c r="AA341" s="4" t="s">
        <v>32</v>
      </c>
    </row>
    <row r="342" s="4" customFormat="1" spans="1:27">
      <c r="A342" s="4" t="s">
        <v>105</v>
      </c>
      <c r="B342" s="4" t="s">
        <v>28</v>
      </c>
      <c r="C342" s="4">
        <v>13822059</v>
      </c>
      <c r="D342" s="19">
        <v>254757579090</v>
      </c>
      <c r="E342" s="21">
        <v>45559.7046180556</v>
      </c>
      <c r="F342" s="4">
        <v>1400.98</v>
      </c>
      <c r="G342" s="4">
        <v>3.76</v>
      </c>
      <c r="H342" s="4">
        <v>1397.23</v>
      </c>
      <c r="I342" s="4">
        <v>45.35</v>
      </c>
      <c r="J342" s="4">
        <v>-1.09</v>
      </c>
      <c r="K342" s="4">
        <v>46.45</v>
      </c>
      <c r="L342" s="4">
        <v>198.53</v>
      </c>
      <c r="M342" s="4">
        <v>26404</v>
      </c>
      <c r="N342" s="4">
        <v>99.64</v>
      </c>
      <c r="O342" s="4">
        <v>13251.55</v>
      </c>
      <c r="P342" s="4" t="s">
        <v>29</v>
      </c>
      <c r="Q342" s="4" t="s">
        <v>30</v>
      </c>
      <c r="R342" s="4" t="s">
        <v>164</v>
      </c>
      <c r="S342" s="4">
        <v>0</v>
      </c>
      <c r="T342" s="4">
        <v>1320</v>
      </c>
      <c r="U342" s="4">
        <v>0</v>
      </c>
      <c r="V342" s="4" t="s">
        <v>32</v>
      </c>
      <c r="W342" s="4" t="s">
        <v>32</v>
      </c>
      <c r="X342" s="4" t="s">
        <v>32</v>
      </c>
      <c r="Y342" s="4" t="s">
        <v>32</v>
      </c>
      <c r="Z342" s="4" t="s">
        <v>32</v>
      </c>
      <c r="AA342" s="4" t="s">
        <v>32</v>
      </c>
    </row>
    <row r="343" s="4" customFormat="1" spans="1:27">
      <c r="A343" s="4" t="s">
        <v>105</v>
      </c>
      <c r="B343" s="4" t="s">
        <v>28</v>
      </c>
      <c r="C343" s="4">
        <v>20525348</v>
      </c>
      <c r="D343" s="19">
        <v>254768955816</v>
      </c>
      <c r="E343" s="21">
        <v>46025.8183680556</v>
      </c>
      <c r="F343" s="4">
        <v>357.77</v>
      </c>
      <c r="G343" s="4">
        <v>0</v>
      </c>
      <c r="H343" s="4">
        <v>357.77</v>
      </c>
      <c r="I343" s="4">
        <v>54.07</v>
      </c>
      <c r="J343" s="4">
        <v>0</v>
      </c>
      <c r="K343" s="4">
        <v>54.07</v>
      </c>
      <c r="L343" s="4">
        <v>56.92</v>
      </c>
      <c r="M343" s="4">
        <v>7570</v>
      </c>
      <c r="N343" s="4">
        <v>53.36</v>
      </c>
      <c r="O343" s="4">
        <v>7096.5</v>
      </c>
      <c r="P343" s="4" t="s">
        <v>29</v>
      </c>
      <c r="Q343" s="4" t="s">
        <v>30</v>
      </c>
      <c r="R343" s="4" t="s">
        <v>164</v>
      </c>
      <c r="S343" s="4">
        <v>0</v>
      </c>
      <c r="T343" s="4">
        <v>380</v>
      </c>
      <c r="U343" s="4">
        <v>0</v>
      </c>
      <c r="V343" s="4" t="s">
        <v>32</v>
      </c>
      <c r="W343" s="4" t="s">
        <v>32</v>
      </c>
      <c r="X343" s="4" t="s">
        <v>32</v>
      </c>
      <c r="Y343" s="4" t="s">
        <v>32</v>
      </c>
      <c r="Z343" s="4" t="s">
        <v>32</v>
      </c>
      <c r="AA343" s="4" t="s">
        <v>32</v>
      </c>
    </row>
    <row r="344" s="4" customFormat="1" spans="1:27">
      <c r="A344" s="4" t="s">
        <v>105</v>
      </c>
      <c r="B344" s="4" t="s">
        <v>28</v>
      </c>
      <c r="C344" s="4">
        <v>1007768</v>
      </c>
      <c r="D344" s="19">
        <v>254769010326</v>
      </c>
      <c r="E344" s="21">
        <v>43991.5696643519</v>
      </c>
      <c r="F344" s="4">
        <v>3524.89</v>
      </c>
      <c r="G344" s="4">
        <v>1.16</v>
      </c>
      <c r="H344" s="4">
        <v>3523.73</v>
      </c>
      <c r="I344" s="4">
        <v>135.71</v>
      </c>
      <c r="J344" s="4">
        <v>1.16</v>
      </c>
      <c r="K344" s="4">
        <v>134.55</v>
      </c>
      <c r="L344" s="4">
        <v>476.84</v>
      </c>
      <c r="M344" s="4">
        <v>63420</v>
      </c>
      <c r="N344" s="4">
        <v>304.93</v>
      </c>
      <c r="O344" s="4">
        <v>40555.5</v>
      </c>
      <c r="P344" s="4" t="s">
        <v>34</v>
      </c>
      <c r="Q344" s="4" t="s">
        <v>30</v>
      </c>
      <c r="R344" s="4" t="s">
        <v>164</v>
      </c>
      <c r="S344" s="4">
        <v>0</v>
      </c>
      <c r="T344" s="4">
        <v>3170</v>
      </c>
      <c r="U344" s="4">
        <v>0</v>
      </c>
      <c r="V344" s="4" t="s">
        <v>32</v>
      </c>
      <c r="W344" s="4" t="s">
        <v>32</v>
      </c>
      <c r="X344" s="4" t="s">
        <v>32</v>
      </c>
      <c r="Y344" s="4" t="s">
        <v>32</v>
      </c>
      <c r="Z344" s="4" t="s">
        <v>32</v>
      </c>
      <c r="AA344" s="4" t="s">
        <v>32</v>
      </c>
    </row>
    <row r="345" s="4" customFormat="1" spans="1:27">
      <c r="A345" s="4" t="s">
        <v>105</v>
      </c>
      <c r="B345" s="4" t="s">
        <v>28</v>
      </c>
      <c r="C345" s="4">
        <v>19851489</v>
      </c>
      <c r="D345" s="19">
        <v>254786184963</v>
      </c>
      <c r="E345" s="21">
        <v>45993.7168865741</v>
      </c>
      <c r="F345" s="4">
        <v>2506.9</v>
      </c>
      <c r="G345" s="4">
        <v>2.98</v>
      </c>
      <c r="H345" s="4">
        <v>2503.92</v>
      </c>
      <c r="I345" s="4">
        <v>-6.12</v>
      </c>
      <c r="J345" s="4">
        <v>1.95</v>
      </c>
      <c r="K345" s="4">
        <v>-8.08</v>
      </c>
      <c r="L345" s="4">
        <v>328.99</v>
      </c>
      <c r="M345" s="4">
        <v>43756</v>
      </c>
      <c r="N345" s="4">
        <v>111.32</v>
      </c>
      <c r="O345" s="4">
        <v>14805.75</v>
      </c>
      <c r="P345" s="4" t="s">
        <v>29</v>
      </c>
      <c r="Q345" s="4" t="s">
        <v>30</v>
      </c>
      <c r="R345" s="4" t="s">
        <v>164</v>
      </c>
      <c r="S345" s="4">
        <v>0</v>
      </c>
      <c r="T345" s="4">
        <v>2190</v>
      </c>
      <c r="U345" s="4">
        <v>0</v>
      </c>
      <c r="V345" s="4" t="s">
        <v>32</v>
      </c>
      <c r="W345" s="4" t="s">
        <v>32</v>
      </c>
      <c r="X345" s="4" t="s">
        <v>32</v>
      </c>
      <c r="Y345" s="4" t="s">
        <v>32</v>
      </c>
      <c r="Z345" s="4" t="s">
        <v>32</v>
      </c>
      <c r="AA345" s="4" t="s">
        <v>32</v>
      </c>
    </row>
    <row r="346" s="4" customFormat="1" spans="1:27">
      <c r="A346" s="4" t="s">
        <v>105</v>
      </c>
      <c r="B346" s="4" t="s">
        <v>28</v>
      </c>
      <c r="C346" s="4">
        <v>13956357</v>
      </c>
      <c r="D346" s="19">
        <v>254790146308</v>
      </c>
      <c r="E346" s="21">
        <v>45565.5908680556</v>
      </c>
      <c r="F346" s="4">
        <v>663.92</v>
      </c>
      <c r="G346" s="4">
        <v>0</v>
      </c>
      <c r="H346" s="4">
        <v>663.92</v>
      </c>
      <c r="I346" s="4">
        <v>9.47</v>
      </c>
      <c r="J346" s="4">
        <v>0</v>
      </c>
      <c r="K346" s="4">
        <v>9.47</v>
      </c>
      <c r="L346" s="4">
        <v>225.22</v>
      </c>
      <c r="M346" s="4">
        <v>29954</v>
      </c>
      <c r="N346" s="4">
        <v>103.36</v>
      </c>
      <c r="O346" s="4">
        <v>13746.5</v>
      </c>
      <c r="P346" s="4" t="s">
        <v>29</v>
      </c>
      <c r="Q346" s="4" t="s">
        <v>30</v>
      </c>
      <c r="R346" s="4" t="s">
        <v>164</v>
      </c>
      <c r="S346" s="4">
        <v>0</v>
      </c>
      <c r="T346" s="4">
        <v>1500</v>
      </c>
      <c r="U346" s="4">
        <v>0</v>
      </c>
      <c r="V346" s="4" t="s">
        <v>32</v>
      </c>
      <c r="W346" s="4" t="s">
        <v>32</v>
      </c>
      <c r="X346" s="4" t="s">
        <v>32</v>
      </c>
      <c r="Y346" s="4" t="s">
        <v>32</v>
      </c>
      <c r="Z346" s="4" t="s">
        <v>32</v>
      </c>
      <c r="AA346" s="4" t="s">
        <v>32</v>
      </c>
    </row>
    <row r="347" s="4" customFormat="1" spans="1:27">
      <c r="A347" s="4" t="s">
        <v>105</v>
      </c>
      <c r="B347" s="4" t="s">
        <v>28</v>
      </c>
      <c r="C347" s="4">
        <v>22707557</v>
      </c>
      <c r="D347" s="19">
        <v>254791329860</v>
      </c>
      <c r="E347" s="21">
        <v>46145.1194212963</v>
      </c>
      <c r="F347" s="4">
        <v>757.56</v>
      </c>
      <c r="G347" s="4">
        <v>0.75</v>
      </c>
      <c r="H347" s="4">
        <v>756.8</v>
      </c>
      <c r="I347" s="4">
        <v>43.03</v>
      </c>
      <c r="J347" s="4">
        <v>0.2</v>
      </c>
      <c r="K347" s="4">
        <v>42.83</v>
      </c>
      <c r="L347" s="4">
        <v>103.62</v>
      </c>
      <c r="M347" s="4">
        <v>13782</v>
      </c>
      <c r="N347" s="4">
        <v>98.44</v>
      </c>
      <c r="O347" s="4">
        <v>13092.9</v>
      </c>
      <c r="P347" s="4" t="s">
        <v>29</v>
      </c>
      <c r="Q347" s="4" t="s">
        <v>30</v>
      </c>
      <c r="R347" s="4" t="s">
        <v>164</v>
      </c>
      <c r="S347" s="4">
        <v>0</v>
      </c>
      <c r="T347" s="4">
        <v>690</v>
      </c>
      <c r="U347" s="4">
        <v>0</v>
      </c>
      <c r="V347" s="4" t="s">
        <v>32</v>
      </c>
      <c r="W347" s="4" t="s">
        <v>32</v>
      </c>
      <c r="X347" s="4" t="s">
        <v>32</v>
      </c>
      <c r="Y347" s="4" t="s">
        <v>32</v>
      </c>
      <c r="Z347" s="4" t="s">
        <v>32</v>
      </c>
      <c r="AA347" s="4" t="s">
        <v>32</v>
      </c>
    </row>
    <row r="348" s="4" customFormat="1" spans="1:27">
      <c r="A348" s="4" t="s">
        <v>105</v>
      </c>
      <c r="B348" s="4" t="s">
        <v>28</v>
      </c>
      <c r="C348" s="4">
        <v>16864118</v>
      </c>
      <c r="D348" s="19">
        <v>254791368991</v>
      </c>
      <c r="E348" s="21">
        <v>45810.5925115741</v>
      </c>
      <c r="F348" s="4">
        <v>374.19</v>
      </c>
      <c r="G348" s="4">
        <v>0</v>
      </c>
      <c r="H348" s="4">
        <v>374.19</v>
      </c>
      <c r="I348" s="4">
        <v>24.72</v>
      </c>
      <c r="J348" s="4">
        <v>0</v>
      </c>
      <c r="K348" s="4">
        <v>24.72</v>
      </c>
      <c r="L348" s="4">
        <v>64.49</v>
      </c>
      <c r="M348" s="4">
        <v>8577</v>
      </c>
      <c r="N348" s="4">
        <v>0</v>
      </c>
      <c r="O348" s="4">
        <v>0</v>
      </c>
      <c r="P348" s="4" t="s">
        <v>29</v>
      </c>
      <c r="Q348" s="4" t="s">
        <v>30</v>
      </c>
      <c r="R348" s="4" t="s">
        <v>164</v>
      </c>
      <c r="S348" s="4">
        <v>0</v>
      </c>
      <c r="T348" s="4">
        <v>430</v>
      </c>
      <c r="U348" s="4">
        <v>0</v>
      </c>
      <c r="V348" s="4" t="s">
        <v>32</v>
      </c>
      <c r="W348" s="4" t="s">
        <v>32</v>
      </c>
      <c r="X348" s="4" t="s">
        <v>32</v>
      </c>
      <c r="Y348" s="4" t="s">
        <v>32</v>
      </c>
      <c r="Z348" s="4" t="s">
        <v>32</v>
      </c>
      <c r="AA348" s="4" t="s">
        <v>32</v>
      </c>
    </row>
    <row r="349" s="4" customFormat="1" spans="1:27">
      <c r="A349" s="4" t="s">
        <v>105</v>
      </c>
      <c r="B349" s="4" t="s">
        <v>28</v>
      </c>
      <c r="C349" s="4">
        <v>13768506</v>
      </c>
      <c r="D349" s="19">
        <v>254791675622</v>
      </c>
      <c r="E349" s="21">
        <v>45554.6987731481</v>
      </c>
      <c r="F349" s="4">
        <v>691.43</v>
      </c>
      <c r="G349" s="4">
        <v>49.75</v>
      </c>
      <c r="H349" s="4">
        <v>641.68</v>
      </c>
      <c r="I349" s="4">
        <v>57.23</v>
      </c>
      <c r="J349" s="4">
        <v>33.72</v>
      </c>
      <c r="K349" s="4">
        <v>23.51</v>
      </c>
      <c r="L349" s="4">
        <v>224.35</v>
      </c>
      <c r="M349" s="4">
        <v>29838</v>
      </c>
      <c r="N349" s="4">
        <v>48.76</v>
      </c>
      <c r="O349" s="4">
        <v>6484.7</v>
      </c>
      <c r="P349" s="4" t="s">
        <v>34</v>
      </c>
      <c r="Q349" s="4" t="s">
        <v>30</v>
      </c>
      <c r="R349" s="4" t="s">
        <v>164</v>
      </c>
      <c r="S349" s="4">
        <v>0</v>
      </c>
      <c r="T349" s="4">
        <v>1490</v>
      </c>
      <c r="U349" s="4">
        <v>0</v>
      </c>
      <c r="V349" s="4" t="s">
        <v>32</v>
      </c>
      <c r="W349" s="4" t="s">
        <v>32</v>
      </c>
      <c r="X349" s="4" t="s">
        <v>32</v>
      </c>
      <c r="Y349" s="4" t="s">
        <v>32</v>
      </c>
      <c r="Z349" s="4" t="s">
        <v>32</v>
      </c>
      <c r="AA349" s="4" t="s">
        <v>32</v>
      </c>
    </row>
    <row r="350" s="4" customFormat="1" spans="1:27">
      <c r="A350" s="4" t="s">
        <v>105</v>
      </c>
      <c r="B350" s="4" t="s">
        <v>28</v>
      </c>
      <c r="C350" s="4">
        <v>20933788</v>
      </c>
      <c r="D350" s="19">
        <v>254792536727</v>
      </c>
      <c r="E350" s="21">
        <v>46045.7163657407</v>
      </c>
      <c r="F350" s="4">
        <v>1171.44</v>
      </c>
      <c r="G350" s="4">
        <v>621.65</v>
      </c>
      <c r="H350" s="4">
        <v>549.78</v>
      </c>
      <c r="I350" s="4">
        <v>-27.71</v>
      </c>
      <c r="J350" s="4">
        <v>-35.88</v>
      </c>
      <c r="K350" s="4">
        <v>8.17</v>
      </c>
      <c r="L350" s="4">
        <v>380.74</v>
      </c>
      <c r="M350" s="4">
        <v>50638</v>
      </c>
      <c r="N350" s="4">
        <v>287.32</v>
      </c>
      <c r="O350" s="4">
        <v>38213.75</v>
      </c>
      <c r="P350" s="4" t="s">
        <v>35</v>
      </c>
      <c r="Q350" s="4" t="s">
        <v>30</v>
      </c>
      <c r="R350" s="4" t="s">
        <v>164</v>
      </c>
      <c r="S350" s="4">
        <v>2000</v>
      </c>
      <c r="T350" s="4">
        <v>1265</v>
      </c>
      <c r="U350" s="4">
        <v>0</v>
      </c>
      <c r="V350" s="4" t="s">
        <v>32</v>
      </c>
      <c r="W350" s="4" t="s">
        <v>32</v>
      </c>
      <c r="X350" s="4" t="s">
        <v>32</v>
      </c>
      <c r="Y350" s="4" t="s">
        <v>32</v>
      </c>
      <c r="Z350" s="4" t="s">
        <v>32</v>
      </c>
      <c r="AA350" s="4" t="s">
        <v>32</v>
      </c>
    </row>
    <row r="351" s="4" customFormat="1" spans="1:27">
      <c r="A351" s="4" t="s">
        <v>105</v>
      </c>
      <c r="B351" s="4" t="s">
        <v>28</v>
      </c>
      <c r="C351" s="4">
        <v>12635136</v>
      </c>
      <c r="D351" s="19">
        <v>254793517303</v>
      </c>
      <c r="E351" s="21">
        <v>45386.2880787037</v>
      </c>
      <c r="F351" s="4">
        <v>164.17</v>
      </c>
      <c r="G351" s="4">
        <v>0</v>
      </c>
      <c r="H351" s="4">
        <v>164.17</v>
      </c>
      <c r="I351" s="4">
        <v>72.9</v>
      </c>
      <c r="J351" s="4">
        <v>0</v>
      </c>
      <c r="K351" s="4">
        <v>72.9</v>
      </c>
      <c r="L351" s="4">
        <v>76.68</v>
      </c>
      <c r="M351" s="4">
        <v>10199</v>
      </c>
      <c r="N351" s="4">
        <v>72.85</v>
      </c>
      <c r="O351" s="4">
        <v>9689.05</v>
      </c>
      <c r="P351" s="4" t="s">
        <v>29</v>
      </c>
      <c r="Q351" s="4" t="s">
        <v>30</v>
      </c>
      <c r="R351" s="4" t="s">
        <v>164</v>
      </c>
      <c r="S351" s="4">
        <v>0</v>
      </c>
      <c r="T351" s="4">
        <v>510</v>
      </c>
      <c r="U351" s="4">
        <v>0</v>
      </c>
      <c r="V351" s="4" t="s">
        <v>32</v>
      </c>
      <c r="W351" s="4" t="s">
        <v>32</v>
      </c>
      <c r="X351" s="4" t="s">
        <v>32</v>
      </c>
      <c r="Y351" s="4" t="s">
        <v>32</v>
      </c>
      <c r="Z351" s="4" t="s">
        <v>32</v>
      </c>
      <c r="AA351" s="4" t="s">
        <v>32</v>
      </c>
    </row>
    <row r="352" s="4" customFormat="1" spans="1:27">
      <c r="A352" s="4" t="s">
        <v>105</v>
      </c>
      <c r="B352" s="4" t="s">
        <v>28</v>
      </c>
      <c r="C352" s="4">
        <v>13061037</v>
      </c>
      <c r="D352" s="19">
        <v>254793865233</v>
      </c>
      <c r="E352" s="21">
        <v>45438.2484490741</v>
      </c>
      <c r="F352" s="4">
        <v>265.71</v>
      </c>
      <c r="G352" s="4">
        <v>4.46</v>
      </c>
      <c r="H352" s="4">
        <v>261.25</v>
      </c>
      <c r="I352" s="4">
        <v>21.54</v>
      </c>
      <c r="J352" s="4">
        <v>0.4</v>
      </c>
      <c r="K352" s="4">
        <v>21.14</v>
      </c>
      <c r="L352" s="4">
        <v>55.45</v>
      </c>
      <c r="M352" s="4">
        <v>7375</v>
      </c>
      <c r="N352" s="4">
        <v>12.49</v>
      </c>
      <c r="O352" s="4">
        <v>1661.55</v>
      </c>
      <c r="P352" s="4" t="s">
        <v>34</v>
      </c>
      <c r="Q352" s="4" t="s">
        <v>30</v>
      </c>
      <c r="R352" s="4" t="s">
        <v>164</v>
      </c>
      <c r="S352" s="4">
        <v>0</v>
      </c>
      <c r="T352" s="4">
        <v>370</v>
      </c>
      <c r="U352" s="4">
        <v>0</v>
      </c>
      <c r="V352" s="4" t="s">
        <v>32</v>
      </c>
      <c r="W352" s="4" t="s">
        <v>32</v>
      </c>
      <c r="X352" s="4" t="s">
        <v>32</v>
      </c>
      <c r="Y352" s="4" t="s">
        <v>32</v>
      </c>
      <c r="Z352" s="4" t="s">
        <v>32</v>
      </c>
      <c r="AA352" s="4" t="s">
        <v>32</v>
      </c>
    </row>
    <row r="353" s="4" customFormat="1" spans="1:27">
      <c r="A353" s="4" t="s">
        <v>105</v>
      </c>
      <c r="B353" s="4" t="s">
        <v>28</v>
      </c>
      <c r="C353" s="4">
        <v>21108796</v>
      </c>
      <c r="D353" s="19">
        <v>254795116837</v>
      </c>
      <c r="E353" s="21">
        <v>46055.6461111111</v>
      </c>
      <c r="F353" s="4">
        <v>408.5</v>
      </c>
      <c r="G353" s="4">
        <v>0.96</v>
      </c>
      <c r="H353" s="4">
        <v>407.54</v>
      </c>
      <c r="I353" s="4">
        <v>-59.71</v>
      </c>
      <c r="J353" s="4">
        <v>0.96</v>
      </c>
      <c r="K353" s="4">
        <v>-60.67</v>
      </c>
      <c r="L353" s="4">
        <v>114.05</v>
      </c>
      <c r="M353" s="4">
        <v>15169</v>
      </c>
      <c r="N353" s="4">
        <v>101.21</v>
      </c>
      <c r="O353" s="4">
        <v>13460.55</v>
      </c>
      <c r="P353" s="4" t="s">
        <v>29</v>
      </c>
      <c r="Q353" s="4" t="s">
        <v>30</v>
      </c>
      <c r="R353" s="4" t="s">
        <v>164</v>
      </c>
      <c r="S353" s="4">
        <v>0</v>
      </c>
      <c r="T353" s="4">
        <v>760</v>
      </c>
      <c r="U353" s="4">
        <v>0</v>
      </c>
      <c r="V353" s="4" t="s">
        <v>32</v>
      </c>
      <c r="W353" s="4" t="s">
        <v>32</v>
      </c>
      <c r="X353" s="4" t="s">
        <v>32</v>
      </c>
      <c r="Y353" s="4" t="s">
        <v>32</v>
      </c>
      <c r="Z353" s="4" t="s">
        <v>32</v>
      </c>
      <c r="AA353" s="4" t="s">
        <v>32</v>
      </c>
    </row>
    <row r="354" s="4" customFormat="1" spans="1:27">
      <c r="A354" s="4" t="s">
        <v>105</v>
      </c>
      <c r="B354" s="4" t="s">
        <v>28</v>
      </c>
      <c r="C354" s="4">
        <v>11533099</v>
      </c>
      <c r="D354" s="19">
        <v>254795172129</v>
      </c>
      <c r="E354" s="21">
        <v>45260.4633912037</v>
      </c>
      <c r="F354" s="4">
        <v>279.9</v>
      </c>
      <c r="G354" s="4">
        <v>11.32</v>
      </c>
      <c r="H354" s="4">
        <v>268.57</v>
      </c>
      <c r="I354" s="4">
        <v>15.06</v>
      </c>
      <c r="J354" s="4">
        <v>11.32</v>
      </c>
      <c r="K354" s="4">
        <v>3.73</v>
      </c>
      <c r="L354" s="4">
        <v>80.25</v>
      </c>
      <c r="M354" s="4">
        <v>10673</v>
      </c>
      <c r="N354" s="4">
        <v>6.71</v>
      </c>
      <c r="O354" s="4">
        <v>892.05</v>
      </c>
      <c r="P354" s="4" t="s">
        <v>29</v>
      </c>
      <c r="Q354" s="4" t="s">
        <v>30</v>
      </c>
      <c r="R354" s="4" t="s">
        <v>164</v>
      </c>
      <c r="S354" s="4">
        <v>0</v>
      </c>
      <c r="T354" s="4">
        <v>530</v>
      </c>
      <c r="U354" s="4">
        <v>0</v>
      </c>
      <c r="V354" s="4" t="s">
        <v>32</v>
      </c>
      <c r="W354" s="4" t="s">
        <v>32</v>
      </c>
      <c r="X354" s="4" t="s">
        <v>32</v>
      </c>
      <c r="Y354" s="4" t="s">
        <v>32</v>
      </c>
      <c r="Z354" s="4" t="s">
        <v>32</v>
      </c>
      <c r="AA354" s="4" t="s">
        <v>32</v>
      </c>
    </row>
    <row r="355" s="4" customFormat="1" spans="1:27">
      <c r="A355" s="4" t="s">
        <v>105</v>
      </c>
      <c r="B355" s="4" t="s">
        <v>28</v>
      </c>
      <c r="C355" s="4">
        <v>10879249</v>
      </c>
      <c r="D355" s="19">
        <v>254795314883</v>
      </c>
      <c r="E355" s="21">
        <v>45204.599224537</v>
      </c>
      <c r="F355" s="4">
        <v>566.17</v>
      </c>
      <c r="G355" s="4">
        <v>0</v>
      </c>
      <c r="H355" s="4">
        <v>566.17</v>
      </c>
      <c r="I355" s="4">
        <v>-125.67</v>
      </c>
      <c r="J355" s="4">
        <v>0</v>
      </c>
      <c r="K355" s="4">
        <v>-124.17</v>
      </c>
      <c r="L355" s="4">
        <v>180.63</v>
      </c>
      <c r="M355" s="4">
        <v>24024</v>
      </c>
      <c r="N355" s="4">
        <v>60.67</v>
      </c>
      <c r="O355" s="4">
        <v>8069.3</v>
      </c>
      <c r="P355" s="4" t="s">
        <v>29</v>
      </c>
      <c r="Q355" s="4" t="s">
        <v>30</v>
      </c>
      <c r="R355" s="4" t="s">
        <v>164</v>
      </c>
      <c r="S355" s="4">
        <v>0</v>
      </c>
      <c r="T355" s="4">
        <v>1200</v>
      </c>
      <c r="U355" s="4">
        <v>0</v>
      </c>
      <c r="V355" s="4" t="s">
        <v>32</v>
      </c>
      <c r="W355" s="4" t="s">
        <v>32</v>
      </c>
      <c r="X355" s="4" t="s">
        <v>32</v>
      </c>
      <c r="Y355" s="4" t="s">
        <v>32</v>
      </c>
      <c r="Z355" s="4" t="s">
        <v>32</v>
      </c>
      <c r="AA355" s="4" t="s">
        <v>32</v>
      </c>
    </row>
    <row r="356" s="4" customFormat="1" spans="1:27">
      <c r="A356" s="4" t="s">
        <v>105</v>
      </c>
      <c r="B356" s="4" t="s">
        <v>28</v>
      </c>
      <c r="C356" s="4">
        <v>19027768</v>
      </c>
      <c r="D356" s="19">
        <v>254795868759</v>
      </c>
      <c r="E356" s="21">
        <v>45950.2126736111</v>
      </c>
      <c r="F356" s="4">
        <v>330.99</v>
      </c>
      <c r="G356" s="4">
        <v>2.47</v>
      </c>
      <c r="H356" s="4">
        <v>328.51</v>
      </c>
      <c r="I356" s="4">
        <v>14</v>
      </c>
      <c r="J356" s="4">
        <v>2.14</v>
      </c>
      <c r="K356" s="4">
        <v>11.86</v>
      </c>
      <c r="L356" s="4">
        <v>55.01</v>
      </c>
      <c r="M356" s="4">
        <v>7316</v>
      </c>
      <c r="N356" s="4">
        <v>7.04</v>
      </c>
      <c r="O356" s="4">
        <v>935.75</v>
      </c>
      <c r="P356" s="4" t="s">
        <v>29</v>
      </c>
      <c r="Q356" s="4" t="s">
        <v>30</v>
      </c>
      <c r="R356" s="4" t="s">
        <v>164</v>
      </c>
      <c r="S356" s="4">
        <v>0</v>
      </c>
      <c r="T356" s="4">
        <v>370</v>
      </c>
      <c r="U356" s="4">
        <v>0</v>
      </c>
      <c r="V356" s="4" t="s">
        <v>32</v>
      </c>
      <c r="W356" s="4" t="s">
        <v>32</v>
      </c>
      <c r="X356" s="4" t="s">
        <v>32</v>
      </c>
      <c r="Y356" s="4" t="s">
        <v>32</v>
      </c>
      <c r="Z356" s="4" t="s">
        <v>32</v>
      </c>
      <c r="AA356" s="4" t="s">
        <v>32</v>
      </c>
    </row>
    <row r="357" s="4" customFormat="1" spans="1:27">
      <c r="A357" s="4" t="s">
        <v>105</v>
      </c>
      <c r="B357" s="4" t="s">
        <v>28</v>
      </c>
      <c r="C357" s="4">
        <v>3066426</v>
      </c>
      <c r="D357" s="19">
        <v>254796524482</v>
      </c>
      <c r="E357" s="21">
        <v>44136.3656365741</v>
      </c>
      <c r="F357" s="4">
        <v>228.97</v>
      </c>
      <c r="G357" s="4">
        <v>48.76</v>
      </c>
      <c r="H357" s="4">
        <v>180.21</v>
      </c>
      <c r="I357" s="4">
        <v>13.58</v>
      </c>
      <c r="J357" s="4">
        <v>6.44</v>
      </c>
      <c r="K357" s="4">
        <v>7.14</v>
      </c>
      <c r="L357" s="4">
        <v>70.55</v>
      </c>
      <c r="M357" s="4">
        <v>9383</v>
      </c>
      <c r="N357" s="4">
        <v>8.75</v>
      </c>
      <c r="O357" s="4">
        <v>1163.75</v>
      </c>
      <c r="P357" s="4" t="s">
        <v>35</v>
      </c>
      <c r="Q357" s="4" t="s">
        <v>30</v>
      </c>
      <c r="R357" s="4" t="s">
        <v>164</v>
      </c>
      <c r="S357" s="4">
        <v>2000</v>
      </c>
      <c r="T357" s="4">
        <v>235</v>
      </c>
      <c r="U357" s="4">
        <v>0</v>
      </c>
      <c r="V357" s="4" t="s">
        <v>32</v>
      </c>
      <c r="W357" s="4" t="s">
        <v>32</v>
      </c>
      <c r="X357" s="4" t="s">
        <v>32</v>
      </c>
      <c r="Y357" s="4" t="s">
        <v>32</v>
      </c>
      <c r="Z357" s="4" t="s">
        <v>32</v>
      </c>
      <c r="AA357" s="4" t="s">
        <v>32</v>
      </c>
    </row>
    <row r="358" s="4" customFormat="1" spans="1:27">
      <c r="A358" s="4" t="s">
        <v>105</v>
      </c>
      <c r="B358" s="4" t="s">
        <v>28</v>
      </c>
      <c r="C358" s="4">
        <v>22504349</v>
      </c>
      <c r="D358" s="19">
        <v>254797831034</v>
      </c>
      <c r="E358" s="21">
        <v>46131.4357523148</v>
      </c>
      <c r="F358" s="4">
        <v>631</v>
      </c>
      <c r="G358" s="4">
        <v>0</v>
      </c>
      <c r="H358" s="4">
        <v>631</v>
      </c>
      <c r="I358" s="4">
        <v>18.1</v>
      </c>
      <c r="J358" s="4">
        <v>0</v>
      </c>
      <c r="K358" s="4">
        <v>18.1</v>
      </c>
      <c r="L358" s="4">
        <v>100.71</v>
      </c>
      <c r="M358" s="4">
        <v>13394</v>
      </c>
      <c r="N358" s="4">
        <v>95.67</v>
      </c>
      <c r="O358" s="4">
        <v>12724.3</v>
      </c>
      <c r="P358" s="4" t="s">
        <v>29</v>
      </c>
      <c r="Q358" s="4" t="s">
        <v>30</v>
      </c>
      <c r="R358" s="4" t="s">
        <v>164</v>
      </c>
      <c r="S358" s="4">
        <v>0</v>
      </c>
      <c r="T358" s="4">
        <v>670</v>
      </c>
      <c r="U358" s="4">
        <v>0</v>
      </c>
      <c r="V358" s="4" t="s">
        <v>32</v>
      </c>
      <c r="W358" s="4" t="s">
        <v>32</v>
      </c>
      <c r="X358" s="4" t="s">
        <v>32</v>
      </c>
      <c r="Y358" s="4" t="s">
        <v>32</v>
      </c>
      <c r="Z358" s="4" t="s">
        <v>32</v>
      </c>
      <c r="AA358" s="4" t="s">
        <v>32</v>
      </c>
    </row>
    <row r="359" s="4" customFormat="1" spans="1:27">
      <c r="A359" s="4" t="s">
        <v>105</v>
      </c>
      <c r="B359" s="4" t="s">
        <v>28</v>
      </c>
      <c r="C359" s="4">
        <v>21631277</v>
      </c>
      <c r="D359" s="19">
        <v>254798147287</v>
      </c>
      <c r="E359" s="21">
        <v>46082.3093518519</v>
      </c>
      <c r="F359" s="4">
        <v>351.03</v>
      </c>
      <c r="G359" s="4">
        <v>4.48</v>
      </c>
      <c r="H359" s="4">
        <v>346.54</v>
      </c>
      <c r="I359" s="4">
        <v>-2.36</v>
      </c>
      <c r="J359" s="4">
        <v>4.39</v>
      </c>
      <c r="K359" s="4">
        <v>-6.75</v>
      </c>
      <c r="L359" s="4">
        <v>55.71</v>
      </c>
      <c r="M359" s="4">
        <v>7410</v>
      </c>
      <c r="N359" s="4">
        <v>43.79</v>
      </c>
      <c r="O359" s="4">
        <v>5823.5</v>
      </c>
      <c r="P359" s="4" t="s">
        <v>29</v>
      </c>
      <c r="Q359" s="4" t="s">
        <v>30</v>
      </c>
      <c r="R359" s="4" t="s">
        <v>164</v>
      </c>
      <c r="S359" s="4">
        <v>0</v>
      </c>
      <c r="T359" s="4">
        <v>370</v>
      </c>
      <c r="U359" s="4">
        <v>0</v>
      </c>
      <c r="V359" s="4" t="s">
        <v>32</v>
      </c>
      <c r="W359" s="4" t="s">
        <v>32</v>
      </c>
      <c r="X359" s="4" t="s">
        <v>32</v>
      </c>
      <c r="Y359" s="4" t="s">
        <v>32</v>
      </c>
      <c r="Z359" s="4" t="s">
        <v>32</v>
      </c>
      <c r="AA359" s="4" t="s">
        <v>32</v>
      </c>
    </row>
    <row r="360" s="4" customFormat="1" spans="1:27">
      <c r="A360" s="4" t="s">
        <v>105</v>
      </c>
      <c r="B360" s="4" t="s">
        <v>28</v>
      </c>
      <c r="C360" s="4">
        <v>19721527</v>
      </c>
      <c r="D360" s="19">
        <v>254798447624</v>
      </c>
      <c r="E360" s="21">
        <v>45987.7340625</v>
      </c>
      <c r="F360" s="4">
        <v>1860.67</v>
      </c>
      <c r="G360" s="4">
        <v>0</v>
      </c>
      <c r="H360" s="4">
        <v>1860.67</v>
      </c>
      <c r="I360" s="4">
        <v>70.79</v>
      </c>
      <c r="J360" s="4">
        <v>-0.3</v>
      </c>
      <c r="K360" s="4">
        <v>71.09</v>
      </c>
      <c r="L360" s="4">
        <v>314.24</v>
      </c>
      <c r="M360" s="4">
        <v>41794</v>
      </c>
      <c r="N360" s="4">
        <v>1.64</v>
      </c>
      <c r="O360" s="4">
        <v>218.5</v>
      </c>
      <c r="P360" s="4" t="s">
        <v>29</v>
      </c>
      <c r="Q360" s="4" t="s">
        <v>30</v>
      </c>
      <c r="R360" s="4" t="s">
        <v>164</v>
      </c>
      <c r="S360" s="4">
        <v>0</v>
      </c>
      <c r="T360" s="4">
        <v>2090</v>
      </c>
      <c r="U360" s="4">
        <v>0</v>
      </c>
      <c r="V360" s="4" t="s">
        <v>32</v>
      </c>
      <c r="W360" s="4" t="s">
        <v>32</v>
      </c>
      <c r="X360" s="4" t="s">
        <v>32</v>
      </c>
      <c r="Y360" s="4" t="s">
        <v>32</v>
      </c>
      <c r="Z360" s="4" t="s">
        <v>32</v>
      </c>
      <c r="AA360" s="4" t="s">
        <v>32</v>
      </c>
    </row>
    <row r="361" s="4" customFormat="1" spans="1:27">
      <c r="A361" s="4" t="s">
        <v>106</v>
      </c>
      <c r="B361" s="4" t="s">
        <v>28</v>
      </c>
      <c r="C361" s="4">
        <v>12701126</v>
      </c>
      <c r="D361" s="19">
        <v>254104748080</v>
      </c>
      <c r="E361" s="21">
        <v>45395.2235532407</v>
      </c>
      <c r="F361" s="4">
        <v>506.29</v>
      </c>
      <c r="G361" s="4">
        <v>0</v>
      </c>
      <c r="H361" s="4">
        <v>506.29</v>
      </c>
      <c r="I361" s="4">
        <v>36.81</v>
      </c>
      <c r="J361" s="4">
        <v>0</v>
      </c>
      <c r="K361" s="4">
        <v>36.81</v>
      </c>
      <c r="L361" s="4">
        <v>58.52</v>
      </c>
      <c r="M361" s="4">
        <v>7783</v>
      </c>
      <c r="N361" s="4">
        <v>0.68</v>
      </c>
      <c r="O361" s="4">
        <v>90.25</v>
      </c>
      <c r="P361" s="4" t="s">
        <v>34</v>
      </c>
      <c r="Q361" s="4" t="s">
        <v>30</v>
      </c>
      <c r="R361" s="4" t="s">
        <v>164</v>
      </c>
      <c r="S361" s="4">
        <v>0</v>
      </c>
      <c r="T361" s="4">
        <v>390</v>
      </c>
      <c r="U361" s="4">
        <v>0</v>
      </c>
      <c r="V361" s="4" t="s">
        <v>32</v>
      </c>
      <c r="W361" s="4" t="s">
        <v>32</v>
      </c>
      <c r="X361" s="4" t="s">
        <v>32</v>
      </c>
      <c r="Y361" s="4" t="s">
        <v>32</v>
      </c>
      <c r="Z361" s="4" t="s">
        <v>32</v>
      </c>
      <c r="AA361" s="4" t="s">
        <v>32</v>
      </c>
    </row>
    <row r="362" s="4" customFormat="1" spans="1:27">
      <c r="A362" s="4" t="s">
        <v>106</v>
      </c>
      <c r="B362" s="4" t="s">
        <v>28</v>
      </c>
      <c r="C362" s="4">
        <v>17237138</v>
      </c>
      <c r="D362" s="19">
        <v>254110755834</v>
      </c>
      <c r="E362" s="21">
        <v>45841.2432986111</v>
      </c>
      <c r="F362" s="4">
        <v>929.38</v>
      </c>
      <c r="G362" s="4">
        <v>0.77</v>
      </c>
      <c r="H362" s="4">
        <v>928.61</v>
      </c>
      <c r="I362" s="4">
        <v>-7.71</v>
      </c>
      <c r="J362" s="4">
        <v>0.06</v>
      </c>
      <c r="K362" s="4">
        <v>-7.77</v>
      </c>
      <c r="L362" s="4">
        <v>217.59</v>
      </c>
      <c r="M362" s="4">
        <v>28939</v>
      </c>
      <c r="N362" s="4">
        <v>20.92</v>
      </c>
      <c r="O362" s="4">
        <v>2782.55</v>
      </c>
      <c r="P362" s="4" t="s">
        <v>29</v>
      </c>
      <c r="Q362" s="4" t="s">
        <v>30</v>
      </c>
      <c r="R362" s="4" t="s">
        <v>164</v>
      </c>
      <c r="S362" s="4">
        <v>0</v>
      </c>
      <c r="T362" s="4">
        <v>1450</v>
      </c>
      <c r="U362" s="4">
        <v>0</v>
      </c>
      <c r="V362" s="4" t="s">
        <v>32</v>
      </c>
      <c r="W362" s="4" t="s">
        <v>32</v>
      </c>
      <c r="X362" s="4" t="s">
        <v>32</v>
      </c>
      <c r="Y362" s="4" t="s">
        <v>32</v>
      </c>
      <c r="Z362" s="4" t="s">
        <v>32</v>
      </c>
      <c r="AA362" s="4" t="s">
        <v>32</v>
      </c>
    </row>
    <row r="363" s="4" customFormat="1" spans="1:27">
      <c r="A363" s="4" t="s">
        <v>106</v>
      </c>
      <c r="B363" s="4" t="s">
        <v>28</v>
      </c>
      <c r="C363" s="4">
        <v>20446276</v>
      </c>
      <c r="D363" s="19">
        <v>254111735831</v>
      </c>
      <c r="E363" s="21">
        <v>46022.4840856482</v>
      </c>
      <c r="F363" s="4">
        <v>3174.4</v>
      </c>
      <c r="G363" s="4">
        <v>0</v>
      </c>
      <c r="H363" s="4">
        <v>3174.4</v>
      </c>
      <c r="I363" s="4">
        <v>-26.39</v>
      </c>
      <c r="J363" s="4">
        <v>0</v>
      </c>
      <c r="K363" s="4">
        <v>-25.92</v>
      </c>
      <c r="L363" s="4">
        <v>256.05</v>
      </c>
      <c r="M363" s="4">
        <v>34054</v>
      </c>
      <c r="N363" s="4">
        <v>67.94</v>
      </c>
      <c r="O363" s="4">
        <v>9035.45</v>
      </c>
      <c r="P363" s="4" t="s">
        <v>29</v>
      </c>
      <c r="Q363" s="4" t="s">
        <v>30</v>
      </c>
      <c r="R363" s="4" t="s">
        <v>164</v>
      </c>
      <c r="S363" s="4">
        <v>0</v>
      </c>
      <c r="T363" s="4">
        <v>1700</v>
      </c>
      <c r="U363" s="4">
        <v>0</v>
      </c>
      <c r="V363" s="4" t="s">
        <v>32</v>
      </c>
      <c r="W363" s="4" t="s">
        <v>32</v>
      </c>
      <c r="X363" s="4" t="s">
        <v>32</v>
      </c>
      <c r="Y363" s="4" t="s">
        <v>32</v>
      </c>
      <c r="Z363" s="4" t="s">
        <v>32</v>
      </c>
      <c r="AA363" s="4" t="s">
        <v>32</v>
      </c>
    </row>
    <row r="364" s="4" customFormat="1" spans="1:27">
      <c r="A364" s="4" t="s">
        <v>106</v>
      </c>
      <c r="B364" s="4" t="s">
        <v>28</v>
      </c>
      <c r="C364" s="4">
        <v>13464509</v>
      </c>
      <c r="D364" s="19">
        <v>254112999657</v>
      </c>
      <c r="E364" s="21">
        <v>45521.2744097222</v>
      </c>
      <c r="F364" s="4">
        <v>2273.34</v>
      </c>
      <c r="G364" s="4">
        <v>0</v>
      </c>
      <c r="H364" s="4">
        <v>2273.34</v>
      </c>
      <c r="I364" s="4">
        <v>20.96</v>
      </c>
      <c r="J364" s="4">
        <v>0</v>
      </c>
      <c r="K364" s="4">
        <v>20.96</v>
      </c>
      <c r="L364" s="4">
        <v>361.09</v>
      </c>
      <c r="M364" s="4">
        <v>48025</v>
      </c>
      <c r="N364" s="4">
        <v>55.69</v>
      </c>
      <c r="O364" s="4">
        <v>7406.2</v>
      </c>
      <c r="P364" s="4" t="s">
        <v>29</v>
      </c>
      <c r="Q364" s="4" t="s">
        <v>30</v>
      </c>
      <c r="R364" s="4" t="s">
        <v>164</v>
      </c>
      <c r="S364" s="4">
        <v>0</v>
      </c>
      <c r="T364" s="4">
        <v>2400</v>
      </c>
      <c r="U364" s="4">
        <v>0</v>
      </c>
      <c r="V364" s="4" t="s">
        <v>32</v>
      </c>
      <c r="W364" s="4" t="s">
        <v>32</v>
      </c>
      <c r="X364" s="4" t="s">
        <v>32</v>
      </c>
      <c r="Y364" s="4" t="s">
        <v>32</v>
      </c>
      <c r="Z364" s="4" t="s">
        <v>32</v>
      </c>
      <c r="AA364" s="4" t="s">
        <v>32</v>
      </c>
    </row>
    <row r="365" s="4" customFormat="1" spans="1:27">
      <c r="A365" s="4" t="s">
        <v>106</v>
      </c>
      <c r="B365" s="4" t="s">
        <v>28</v>
      </c>
      <c r="C365" s="4">
        <v>21465917</v>
      </c>
      <c r="D365" s="19">
        <v>254113864401</v>
      </c>
      <c r="E365" s="21">
        <v>46074.5259143518</v>
      </c>
      <c r="F365" s="4">
        <v>69.36</v>
      </c>
      <c r="G365" s="4">
        <v>35.89</v>
      </c>
      <c r="H365" s="4">
        <v>33.47</v>
      </c>
      <c r="I365" s="4">
        <v>37.61</v>
      </c>
      <c r="J365" s="4">
        <v>21.16</v>
      </c>
      <c r="K365" s="4">
        <v>16.45</v>
      </c>
      <c r="L365" s="4">
        <v>54.55</v>
      </c>
      <c r="M365" s="4">
        <v>7255</v>
      </c>
      <c r="N365" s="4">
        <v>21.11</v>
      </c>
      <c r="O365" s="4">
        <v>2807.25</v>
      </c>
      <c r="P365" s="4" t="s">
        <v>35</v>
      </c>
      <c r="Q365" s="4" t="s">
        <v>30</v>
      </c>
      <c r="R365" s="4" t="s">
        <v>164</v>
      </c>
      <c r="S365" s="4">
        <v>2000</v>
      </c>
      <c r="T365" s="4">
        <v>180</v>
      </c>
      <c r="U365" s="4">
        <v>0</v>
      </c>
      <c r="V365" s="4" t="s">
        <v>32</v>
      </c>
      <c r="W365" s="4" t="s">
        <v>32</v>
      </c>
      <c r="X365" s="4" t="s">
        <v>32</v>
      </c>
      <c r="Y365" s="4" t="s">
        <v>32</v>
      </c>
      <c r="Z365" s="4" t="s">
        <v>32</v>
      </c>
      <c r="AA365" s="4" t="s">
        <v>32</v>
      </c>
    </row>
    <row r="366" s="4" customFormat="1" spans="1:27">
      <c r="A366" s="4" t="s">
        <v>106</v>
      </c>
      <c r="B366" s="4" t="s">
        <v>28</v>
      </c>
      <c r="C366" s="4">
        <v>19854849</v>
      </c>
      <c r="D366" s="19">
        <v>254114103319</v>
      </c>
      <c r="E366" s="21">
        <v>45993.8523726852</v>
      </c>
      <c r="F366" s="4">
        <v>2132.43</v>
      </c>
      <c r="G366" s="4">
        <v>0</v>
      </c>
      <c r="H366" s="4">
        <v>2132.43</v>
      </c>
      <c r="I366" s="4">
        <v>-111.69</v>
      </c>
      <c r="J366" s="4">
        <v>0</v>
      </c>
      <c r="K366" s="4">
        <v>-111.69</v>
      </c>
      <c r="L366" s="4">
        <v>275.19</v>
      </c>
      <c r="M366" s="4">
        <v>36600</v>
      </c>
      <c r="N366" s="4">
        <v>90</v>
      </c>
      <c r="O366" s="4">
        <v>11970</v>
      </c>
      <c r="P366" s="4" t="s">
        <v>29</v>
      </c>
      <c r="Q366" s="4" t="s">
        <v>30</v>
      </c>
      <c r="R366" s="4" t="s">
        <v>164</v>
      </c>
      <c r="S366" s="4">
        <v>0</v>
      </c>
      <c r="T366" s="4">
        <v>1830</v>
      </c>
      <c r="U366" s="4">
        <v>0</v>
      </c>
      <c r="V366" s="4" t="s">
        <v>32</v>
      </c>
      <c r="W366" s="4" t="s">
        <v>32</v>
      </c>
      <c r="X366" s="4" t="s">
        <v>32</v>
      </c>
      <c r="Y366" s="4" t="s">
        <v>32</v>
      </c>
      <c r="Z366" s="4" t="s">
        <v>32</v>
      </c>
      <c r="AA366" s="4" t="s">
        <v>32</v>
      </c>
    </row>
    <row r="367" s="4" customFormat="1" spans="1:27">
      <c r="A367" s="4" t="s">
        <v>106</v>
      </c>
      <c r="B367" s="4" t="s">
        <v>28</v>
      </c>
      <c r="C367" s="4">
        <v>22686056</v>
      </c>
      <c r="D367" s="19">
        <v>254114351290</v>
      </c>
      <c r="E367" s="21">
        <v>46143.4577893519</v>
      </c>
      <c r="F367" s="4">
        <v>2302.89</v>
      </c>
      <c r="G367" s="4">
        <v>0.02</v>
      </c>
      <c r="H367" s="4">
        <v>2302.88</v>
      </c>
      <c r="I367" s="4">
        <v>69.64</v>
      </c>
      <c r="J367" s="4">
        <v>-0.39</v>
      </c>
      <c r="K367" s="4">
        <v>70.04</v>
      </c>
      <c r="L367" s="4">
        <v>435.96</v>
      </c>
      <c r="M367" s="4">
        <v>57983</v>
      </c>
      <c r="N367" s="4">
        <v>414.16</v>
      </c>
      <c r="O367" s="4">
        <v>55083.85</v>
      </c>
      <c r="P367" s="4" t="s">
        <v>29</v>
      </c>
      <c r="Q367" s="4" t="s">
        <v>30</v>
      </c>
      <c r="R367" s="4" t="s">
        <v>164</v>
      </c>
      <c r="S367" s="4">
        <v>0</v>
      </c>
      <c r="T367" s="4">
        <v>2900</v>
      </c>
      <c r="U367" s="4">
        <v>0</v>
      </c>
      <c r="V367" s="4" t="s">
        <v>32</v>
      </c>
      <c r="W367" s="4" t="s">
        <v>32</v>
      </c>
      <c r="X367" s="4" t="s">
        <v>32</v>
      </c>
      <c r="Y367" s="4" t="s">
        <v>32</v>
      </c>
      <c r="Z367" s="4" t="s">
        <v>32</v>
      </c>
      <c r="AA367" s="4" t="s">
        <v>32</v>
      </c>
    </row>
    <row r="368" s="4" customFormat="1" spans="1:27">
      <c r="A368" s="4" t="s">
        <v>106</v>
      </c>
      <c r="B368" s="4" t="s">
        <v>28</v>
      </c>
      <c r="C368" s="4">
        <v>17482598</v>
      </c>
      <c r="D368" s="19">
        <v>254114536921</v>
      </c>
      <c r="E368" s="21">
        <v>45857.8370601852</v>
      </c>
      <c r="F368" s="4">
        <v>118.91</v>
      </c>
      <c r="G368" s="4">
        <v>2.74</v>
      </c>
      <c r="H368" s="4">
        <v>116.16</v>
      </c>
      <c r="I368" s="4">
        <v>-0.96</v>
      </c>
      <c r="J368" s="4">
        <v>2.16</v>
      </c>
      <c r="K368" s="4">
        <v>-3.12</v>
      </c>
      <c r="L368" s="4">
        <v>56.75</v>
      </c>
      <c r="M368" s="4">
        <v>7548</v>
      </c>
      <c r="N368" s="4">
        <v>24.96</v>
      </c>
      <c r="O368" s="4">
        <v>3319.3</v>
      </c>
      <c r="P368" s="4" t="s">
        <v>29</v>
      </c>
      <c r="Q368" s="4" t="s">
        <v>30</v>
      </c>
      <c r="R368" s="4" t="s">
        <v>164</v>
      </c>
      <c r="S368" s="4">
        <v>0</v>
      </c>
      <c r="T368" s="4">
        <v>380</v>
      </c>
      <c r="U368" s="4">
        <v>0</v>
      </c>
      <c r="V368" s="4" t="s">
        <v>32</v>
      </c>
      <c r="W368" s="4" t="s">
        <v>32</v>
      </c>
      <c r="X368" s="4" t="s">
        <v>32</v>
      </c>
      <c r="Y368" s="4" t="s">
        <v>32</v>
      </c>
      <c r="Z368" s="4" t="s">
        <v>32</v>
      </c>
      <c r="AA368" s="4" t="s">
        <v>32</v>
      </c>
    </row>
    <row r="369" s="4" customFormat="1" spans="1:27">
      <c r="A369" s="4" t="s">
        <v>106</v>
      </c>
      <c r="B369" s="4" t="s">
        <v>28</v>
      </c>
      <c r="C369" s="4">
        <v>15510988</v>
      </c>
      <c r="D369" s="19">
        <v>254116203844</v>
      </c>
      <c r="E369" s="21">
        <v>45675.6240625</v>
      </c>
      <c r="F369" s="4">
        <v>3466.52</v>
      </c>
      <c r="G369" s="4">
        <v>0.5</v>
      </c>
      <c r="H369" s="4">
        <v>3466.02</v>
      </c>
      <c r="I369" s="4">
        <v>-346.74</v>
      </c>
      <c r="J369" s="4">
        <v>0.07</v>
      </c>
      <c r="K369" s="4">
        <v>-346.81</v>
      </c>
      <c r="L369" s="4">
        <v>595.06</v>
      </c>
      <c r="M369" s="4">
        <v>79143</v>
      </c>
      <c r="N369" s="4">
        <v>177.04</v>
      </c>
      <c r="O369" s="4">
        <v>23545.75</v>
      </c>
      <c r="P369" s="4" t="s">
        <v>29</v>
      </c>
      <c r="Q369" s="4" t="s">
        <v>30</v>
      </c>
      <c r="R369" s="4" t="s">
        <v>164</v>
      </c>
      <c r="S369" s="4">
        <v>0</v>
      </c>
      <c r="T369" s="4">
        <v>3960</v>
      </c>
      <c r="U369" s="4">
        <v>0</v>
      </c>
      <c r="V369" s="4" t="s">
        <v>32</v>
      </c>
      <c r="W369" s="4" t="s">
        <v>32</v>
      </c>
      <c r="X369" s="4" t="s">
        <v>32</v>
      </c>
      <c r="Y369" s="4" t="s">
        <v>32</v>
      </c>
      <c r="Z369" s="4" t="s">
        <v>32</v>
      </c>
      <c r="AA369" s="4" t="s">
        <v>32</v>
      </c>
    </row>
    <row r="370" s="4" customFormat="1" spans="1:27">
      <c r="A370" s="4" t="s">
        <v>106</v>
      </c>
      <c r="B370" s="4" t="s">
        <v>28</v>
      </c>
      <c r="C370" s="4">
        <v>16623617</v>
      </c>
      <c r="D370" s="19">
        <v>254116987428</v>
      </c>
      <c r="E370" s="21">
        <v>45785.824375</v>
      </c>
      <c r="F370" s="4">
        <v>154.9</v>
      </c>
      <c r="G370" s="4">
        <v>1.07</v>
      </c>
      <c r="H370" s="4">
        <v>153.83</v>
      </c>
      <c r="I370" s="4">
        <v>6.76</v>
      </c>
      <c r="J370" s="4">
        <v>0.88</v>
      </c>
      <c r="K370" s="4">
        <v>5.88</v>
      </c>
      <c r="L370" s="4">
        <v>55.31</v>
      </c>
      <c r="M370" s="4">
        <v>7356</v>
      </c>
      <c r="N370" s="4">
        <v>3.38</v>
      </c>
      <c r="O370" s="4">
        <v>449.35</v>
      </c>
      <c r="P370" s="4" t="s">
        <v>29</v>
      </c>
      <c r="Q370" s="4" t="s">
        <v>30</v>
      </c>
      <c r="R370" s="4" t="s">
        <v>164</v>
      </c>
      <c r="S370" s="4">
        <v>0</v>
      </c>
      <c r="T370" s="4">
        <v>370</v>
      </c>
      <c r="U370" s="4">
        <v>0</v>
      </c>
      <c r="V370" s="4" t="s">
        <v>32</v>
      </c>
      <c r="W370" s="4" t="s">
        <v>32</v>
      </c>
      <c r="X370" s="4" t="s">
        <v>32</v>
      </c>
      <c r="Y370" s="4" t="s">
        <v>32</v>
      </c>
      <c r="Z370" s="4" t="s">
        <v>32</v>
      </c>
      <c r="AA370" s="4" t="s">
        <v>32</v>
      </c>
    </row>
    <row r="371" s="4" customFormat="1" spans="1:27">
      <c r="A371" s="4" t="s">
        <v>106</v>
      </c>
      <c r="B371" s="4" t="s">
        <v>28</v>
      </c>
      <c r="C371" s="4">
        <v>21102058</v>
      </c>
      <c r="D371" s="19">
        <v>254117086301</v>
      </c>
      <c r="E371" s="21">
        <v>46055.3395949074</v>
      </c>
      <c r="F371" s="4">
        <v>257.76</v>
      </c>
      <c r="G371" s="4">
        <v>0</v>
      </c>
      <c r="H371" s="4">
        <v>257.76</v>
      </c>
      <c r="I371" s="4">
        <v>22.1</v>
      </c>
      <c r="J371" s="4">
        <v>0</v>
      </c>
      <c r="K371" s="4">
        <v>22.1</v>
      </c>
      <c r="L371" s="4">
        <v>62.03</v>
      </c>
      <c r="M371" s="4">
        <v>8250</v>
      </c>
      <c r="N371" s="4">
        <v>58.93</v>
      </c>
      <c r="O371" s="4">
        <v>7837.5</v>
      </c>
      <c r="P371" s="4" t="s">
        <v>29</v>
      </c>
      <c r="Q371" s="4" t="s">
        <v>30</v>
      </c>
      <c r="R371" s="4" t="s">
        <v>164</v>
      </c>
      <c r="S371" s="4">
        <v>0</v>
      </c>
      <c r="T371" s="4">
        <v>410</v>
      </c>
      <c r="U371" s="4">
        <v>0</v>
      </c>
      <c r="V371" s="4" t="s">
        <v>32</v>
      </c>
      <c r="W371" s="4" t="s">
        <v>32</v>
      </c>
      <c r="X371" s="4" t="s">
        <v>32</v>
      </c>
      <c r="Y371" s="4" t="s">
        <v>32</v>
      </c>
      <c r="Z371" s="4" t="s">
        <v>32</v>
      </c>
      <c r="AA371" s="4" t="s">
        <v>32</v>
      </c>
    </row>
    <row r="372" s="4" customFormat="1" spans="1:27">
      <c r="A372" s="4" t="s">
        <v>106</v>
      </c>
      <c r="B372" s="4" t="s">
        <v>28</v>
      </c>
      <c r="C372" s="4">
        <v>20893538</v>
      </c>
      <c r="D372" s="19">
        <v>254118814497</v>
      </c>
      <c r="E372" s="21">
        <v>46043.7001851852</v>
      </c>
      <c r="F372" s="4">
        <v>217.06</v>
      </c>
      <c r="G372" s="4">
        <v>0</v>
      </c>
      <c r="H372" s="4">
        <v>217.06</v>
      </c>
      <c r="I372" s="4">
        <v>39.53</v>
      </c>
      <c r="J372" s="4">
        <v>0</v>
      </c>
      <c r="K372" s="4">
        <v>39.53</v>
      </c>
      <c r="L372" s="4">
        <v>50.99</v>
      </c>
      <c r="M372" s="4">
        <v>6782</v>
      </c>
      <c r="N372" s="4">
        <v>40.38</v>
      </c>
      <c r="O372" s="4">
        <v>5370.35</v>
      </c>
      <c r="P372" s="4" t="s">
        <v>29</v>
      </c>
      <c r="Q372" s="4" t="s">
        <v>30</v>
      </c>
      <c r="R372" s="4" t="s">
        <v>164</v>
      </c>
      <c r="S372" s="4">
        <v>0</v>
      </c>
      <c r="T372" s="4">
        <v>340</v>
      </c>
      <c r="U372" s="4">
        <v>0</v>
      </c>
      <c r="V372" s="4" t="s">
        <v>32</v>
      </c>
      <c r="W372" s="4" t="s">
        <v>32</v>
      </c>
      <c r="X372" s="4" t="s">
        <v>32</v>
      </c>
      <c r="Y372" s="4" t="s">
        <v>32</v>
      </c>
      <c r="Z372" s="4" t="s">
        <v>32</v>
      </c>
      <c r="AA372" s="4" t="s">
        <v>32</v>
      </c>
    </row>
    <row r="373" s="4" customFormat="1" spans="1:27">
      <c r="A373" s="4" t="s">
        <v>106</v>
      </c>
      <c r="B373" s="4" t="s">
        <v>28</v>
      </c>
      <c r="C373" s="4">
        <v>21127528</v>
      </c>
      <c r="D373" s="19">
        <v>254119854979</v>
      </c>
      <c r="E373" s="21">
        <v>46056.7515856481</v>
      </c>
      <c r="F373" s="4">
        <v>280.61</v>
      </c>
      <c r="G373" s="4">
        <v>0</v>
      </c>
      <c r="H373" s="4">
        <v>280.61</v>
      </c>
      <c r="I373" s="4">
        <v>20.34</v>
      </c>
      <c r="J373" s="4">
        <v>0</v>
      </c>
      <c r="K373" s="4">
        <v>20.34</v>
      </c>
      <c r="L373" s="4">
        <v>97.38</v>
      </c>
      <c r="M373" s="4">
        <v>12951</v>
      </c>
      <c r="N373" s="4">
        <v>90.61</v>
      </c>
      <c r="O373" s="4">
        <v>12050.75</v>
      </c>
      <c r="P373" s="4" t="s">
        <v>29</v>
      </c>
      <c r="Q373" s="4" t="s">
        <v>30</v>
      </c>
      <c r="R373" s="4" t="s">
        <v>164</v>
      </c>
      <c r="S373" s="4">
        <v>0</v>
      </c>
      <c r="T373" s="4">
        <v>650</v>
      </c>
      <c r="U373" s="4">
        <v>0</v>
      </c>
      <c r="V373" s="4" t="s">
        <v>32</v>
      </c>
      <c r="W373" s="4" t="s">
        <v>32</v>
      </c>
      <c r="X373" s="4" t="s">
        <v>32</v>
      </c>
      <c r="Y373" s="4" t="s">
        <v>32</v>
      </c>
      <c r="Z373" s="4" t="s">
        <v>32</v>
      </c>
      <c r="AA373" s="4" t="s">
        <v>32</v>
      </c>
    </row>
    <row r="374" s="4" customFormat="1" spans="1:27">
      <c r="A374" s="4" t="s">
        <v>106</v>
      </c>
      <c r="B374" s="4" t="s">
        <v>28</v>
      </c>
      <c r="C374" s="4">
        <v>22989778</v>
      </c>
      <c r="D374" s="19">
        <v>254140321302</v>
      </c>
      <c r="E374" s="21">
        <v>46165.2635532407</v>
      </c>
      <c r="F374" s="4">
        <v>756.18</v>
      </c>
      <c r="G374" s="4">
        <v>0</v>
      </c>
      <c r="H374" s="4">
        <v>756.18</v>
      </c>
      <c r="I374" s="4">
        <v>31.9</v>
      </c>
      <c r="J374" s="4">
        <v>0</v>
      </c>
      <c r="K374" s="4">
        <v>31.9</v>
      </c>
      <c r="L374" s="4">
        <v>450.38</v>
      </c>
      <c r="M374" s="4">
        <v>59900</v>
      </c>
      <c r="N374" s="4">
        <v>427.86</v>
      </c>
      <c r="O374" s="4">
        <v>56905</v>
      </c>
      <c r="P374" s="4" t="s">
        <v>29</v>
      </c>
      <c r="Q374" s="4" t="s">
        <v>30</v>
      </c>
      <c r="R374" s="4" t="s">
        <v>164</v>
      </c>
      <c r="S374" s="4">
        <v>0</v>
      </c>
      <c r="T374" s="4">
        <v>3000</v>
      </c>
      <c r="U374" s="4">
        <v>0</v>
      </c>
      <c r="V374" s="4" t="s">
        <v>32</v>
      </c>
      <c r="W374" s="4" t="s">
        <v>32</v>
      </c>
      <c r="X374" s="4" t="s">
        <v>32</v>
      </c>
      <c r="Y374" s="4" t="s">
        <v>32</v>
      </c>
      <c r="Z374" s="4" t="s">
        <v>32</v>
      </c>
      <c r="AA374" s="4" t="s">
        <v>32</v>
      </c>
    </row>
    <row r="375" s="4" customFormat="1" spans="1:27">
      <c r="A375" s="4" t="s">
        <v>106</v>
      </c>
      <c r="B375" s="4" t="s">
        <v>28</v>
      </c>
      <c r="C375" s="4">
        <v>22991459</v>
      </c>
      <c r="D375" s="19">
        <v>254141029726</v>
      </c>
      <c r="E375" s="21">
        <v>46165.3806134259</v>
      </c>
      <c r="F375" s="4">
        <v>0.11</v>
      </c>
      <c r="G375" s="4">
        <v>0</v>
      </c>
      <c r="H375" s="4">
        <v>0.11</v>
      </c>
      <c r="I375" s="4">
        <v>0.11</v>
      </c>
      <c r="J375" s="4">
        <v>0</v>
      </c>
      <c r="K375" s="4">
        <v>0.11</v>
      </c>
      <c r="L375" s="4">
        <v>330.08</v>
      </c>
      <c r="M375" s="4">
        <v>43900</v>
      </c>
      <c r="N375" s="4">
        <v>313.57</v>
      </c>
      <c r="O375" s="4">
        <v>41705</v>
      </c>
      <c r="P375" s="4" t="s">
        <v>29</v>
      </c>
      <c r="Q375" s="4" t="s">
        <v>30</v>
      </c>
      <c r="R375" s="4" t="s">
        <v>164</v>
      </c>
      <c r="S375" s="4">
        <v>0</v>
      </c>
      <c r="T375" s="4">
        <v>2200</v>
      </c>
      <c r="U375" s="4">
        <v>0</v>
      </c>
      <c r="V375" s="4" t="s">
        <v>32</v>
      </c>
      <c r="W375" s="4" t="s">
        <v>32</v>
      </c>
      <c r="X375" s="4" t="s">
        <v>32</v>
      </c>
      <c r="Y375" s="4" t="s">
        <v>32</v>
      </c>
      <c r="Z375" s="4" t="s">
        <v>32</v>
      </c>
      <c r="AA375" s="4" t="s">
        <v>32</v>
      </c>
    </row>
    <row r="376" s="4" customFormat="1" spans="1:27">
      <c r="A376" s="4" t="s">
        <v>106</v>
      </c>
      <c r="B376" s="4" t="s">
        <v>28</v>
      </c>
      <c r="C376" s="4">
        <v>15832258</v>
      </c>
      <c r="D376" s="19">
        <v>254700004252</v>
      </c>
      <c r="E376" s="21">
        <v>45699.6281018518</v>
      </c>
      <c r="F376" s="4">
        <v>124.73</v>
      </c>
      <c r="G376" s="4">
        <v>75.47</v>
      </c>
      <c r="H376" s="4">
        <v>49.26</v>
      </c>
      <c r="I376" s="4">
        <v>46.96</v>
      </c>
      <c r="J376" s="4">
        <v>42</v>
      </c>
      <c r="K376" s="4">
        <v>4.97</v>
      </c>
      <c r="L376" s="4">
        <v>85.71</v>
      </c>
      <c r="M376" s="4">
        <v>11400</v>
      </c>
      <c r="N376" s="4">
        <v>11.68</v>
      </c>
      <c r="O376" s="4">
        <v>1553.25</v>
      </c>
      <c r="P376" s="4" t="s">
        <v>35</v>
      </c>
      <c r="Q376" s="4" t="s">
        <v>30</v>
      </c>
      <c r="R376" s="4" t="s">
        <v>164</v>
      </c>
      <c r="S376" s="4">
        <v>2000</v>
      </c>
      <c r="T376" s="4">
        <v>285</v>
      </c>
      <c r="U376" s="4">
        <v>0</v>
      </c>
      <c r="V376" s="4" t="s">
        <v>32</v>
      </c>
      <c r="W376" s="4" t="s">
        <v>32</v>
      </c>
      <c r="X376" s="4" t="s">
        <v>32</v>
      </c>
      <c r="Y376" s="4" t="s">
        <v>32</v>
      </c>
      <c r="Z376" s="4" t="s">
        <v>32</v>
      </c>
      <c r="AA376" s="4" t="s">
        <v>32</v>
      </c>
    </row>
    <row r="377" s="4" customFormat="1" spans="1:27">
      <c r="A377" s="4" t="s">
        <v>106</v>
      </c>
      <c r="B377" s="4" t="s">
        <v>28</v>
      </c>
      <c r="C377" s="4">
        <v>3539759</v>
      </c>
      <c r="D377" s="19">
        <v>254700874013</v>
      </c>
      <c r="E377" s="21">
        <v>44243.8328240741</v>
      </c>
      <c r="F377" s="4">
        <v>4985.45</v>
      </c>
      <c r="G377" s="4">
        <v>0.01</v>
      </c>
      <c r="H377" s="4">
        <v>4985.44</v>
      </c>
      <c r="I377" s="4">
        <v>200.91</v>
      </c>
      <c r="J377" s="4">
        <v>0.01</v>
      </c>
      <c r="K377" s="4">
        <v>200.9</v>
      </c>
      <c r="L377" s="4">
        <v>782.41</v>
      </c>
      <c r="M377" s="4">
        <v>104060</v>
      </c>
      <c r="N377" s="4">
        <v>0</v>
      </c>
      <c r="O377" s="4">
        <v>0</v>
      </c>
      <c r="P377" s="4" t="s">
        <v>34</v>
      </c>
      <c r="Q377" s="4" t="s">
        <v>30</v>
      </c>
      <c r="R377" s="4" t="s">
        <v>164</v>
      </c>
      <c r="S377" s="4">
        <v>0</v>
      </c>
      <c r="T377" s="4">
        <v>5200</v>
      </c>
      <c r="U377" s="4">
        <v>0</v>
      </c>
      <c r="V377" s="4" t="s">
        <v>32</v>
      </c>
      <c r="W377" s="4" t="s">
        <v>32</v>
      </c>
      <c r="X377" s="4" t="s">
        <v>32</v>
      </c>
      <c r="Y377" s="4" t="s">
        <v>32</v>
      </c>
      <c r="Z377" s="4" t="s">
        <v>32</v>
      </c>
      <c r="AA377" s="4" t="s">
        <v>32</v>
      </c>
    </row>
    <row r="378" s="4" customFormat="1" spans="1:27">
      <c r="A378" s="4" t="s">
        <v>106</v>
      </c>
      <c r="B378" s="4" t="s">
        <v>28</v>
      </c>
      <c r="C378" s="4">
        <v>5197539</v>
      </c>
      <c r="D378" s="19">
        <v>254701900216</v>
      </c>
      <c r="E378" s="21">
        <v>44426.8632638889</v>
      </c>
      <c r="F378" s="4">
        <v>506.66</v>
      </c>
      <c r="G378" s="4">
        <v>0</v>
      </c>
      <c r="H378" s="4">
        <v>506.66</v>
      </c>
      <c r="I378" s="4">
        <v>4.94</v>
      </c>
      <c r="J378" s="4">
        <v>0</v>
      </c>
      <c r="K378" s="4">
        <v>5.02</v>
      </c>
      <c r="L378" s="4">
        <v>129.47</v>
      </c>
      <c r="M378" s="4">
        <v>17220</v>
      </c>
      <c r="N378" s="4">
        <v>0</v>
      </c>
      <c r="O378" s="4">
        <v>0</v>
      </c>
      <c r="P378" s="4" t="s">
        <v>29</v>
      </c>
      <c r="Q378" s="4" t="s">
        <v>30</v>
      </c>
      <c r="R378" s="4" t="s">
        <v>164</v>
      </c>
      <c r="S378" s="4">
        <v>0</v>
      </c>
      <c r="T378" s="4">
        <v>860</v>
      </c>
      <c r="U378" s="4">
        <v>0</v>
      </c>
      <c r="V378" s="4" t="s">
        <v>32</v>
      </c>
      <c r="W378" s="4" t="s">
        <v>32</v>
      </c>
      <c r="X378" s="4" t="s">
        <v>32</v>
      </c>
      <c r="Y378" s="4" t="s">
        <v>32</v>
      </c>
      <c r="Z378" s="4" t="s">
        <v>32</v>
      </c>
      <c r="AA378" s="4" t="s">
        <v>32</v>
      </c>
    </row>
    <row r="379" s="4" customFormat="1" spans="1:27">
      <c r="A379" s="4" t="s">
        <v>106</v>
      </c>
      <c r="B379" s="4" t="s">
        <v>28</v>
      </c>
      <c r="C379" s="4">
        <v>19869217</v>
      </c>
      <c r="D379" s="19">
        <v>254702926824</v>
      </c>
      <c r="E379" s="21">
        <v>45994.7015509259</v>
      </c>
      <c r="F379" s="4">
        <v>626.22</v>
      </c>
      <c r="G379" s="4">
        <v>0.01</v>
      </c>
      <c r="H379" s="4">
        <v>626.22</v>
      </c>
      <c r="I379" s="4">
        <v>50.1</v>
      </c>
      <c r="J379" s="4">
        <v>0.01</v>
      </c>
      <c r="K379" s="4">
        <v>50.09</v>
      </c>
      <c r="L379" s="4">
        <v>104.47</v>
      </c>
      <c r="M379" s="4">
        <v>13895</v>
      </c>
      <c r="N379" s="4">
        <v>1.29</v>
      </c>
      <c r="O379" s="4">
        <v>171</v>
      </c>
      <c r="P379" s="4" t="s">
        <v>34</v>
      </c>
      <c r="Q379" s="4" t="s">
        <v>30</v>
      </c>
      <c r="R379" s="4" t="s">
        <v>164</v>
      </c>
      <c r="S379" s="4">
        <v>0</v>
      </c>
      <c r="T379" s="4">
        <v>690</v>
      </c>
      <c r="U379" s="4">
        <v>0</v>
      </c>
      <c r="V379" s="4" t="s">
        <v>32</v>
      </c>
      <c r="W379" s="4" t="s">
        <v>32</v>
      </c>
      <c r="X379" s="4" t="s">
        <v>32</v>
      </c>
      <c r="Y379" s="4" t="s">
        <v>32</v>
      </c>
      <c r="Z379" s="4" t="s">
        <v>32</v>
      </c>
      <c r="AA379" s="4" t="s">
        <v>32</v>
      </c>
    </row>
    <row r="380" s="4" customFormat="1" spans="1:27">
      <c r="A380" s="4" t="s">
        <v>106</v>
      </c>
      <c r="B380" s="4" t="s">
        <v>28</v>
      </c>
      <c r="C380" s="4">
        <v>18295698</v>
      </c>
      <c r="D380" s="19">
        <v>254703935626</v>
      </c>
      <c r="E380" s="21">
        <v>45903.5444444444</v>
      </c>
      <c r="F380" s="4">
        <v>1769.21</v>
      </c>
      <c r="G380" s="4">
        <v>0</v>
      </c>
      <c r="H380" s="4">
        <v>1769.21</v>
      </c>
      <c r="I380" s="4">
        <v>120.37</v>
      </c>
      <c r="J380" s="4">
        <v>0</v>
      </c>
      <c r="K380" s="4">
        <v>120.37</v>
      </c>
      <c r="L380" s="4">
        <v>408.76</v>
      </c>
      <c r="M380" s="4">
        <v>54365</v>
      </c>
      <c r="N380" s="4">
        <v>20.54</v>
      </c>
      <c r="O380" s="4">
        <v>2731.25</v>
      </c>
      <c r="P380" s="4" t="s">
        <v>29</v>
      </c>
      <c r="Q380" s="4" t="s">
        <v>30</v>
      </c>
      <c r="R380" s="4" t="s">
        <v>164</v>
      </c>
      <c r="S380" s="4">
        <v>0</v>
      </c>
      <c r="T380" s="4">
        <v>2720</v>
      </c>
      <c r="U380" s="4">
        <v>0</v>
      </c>
      <c r="V380" s="4" t="s">
        <v>32</v>
      </c>
      <c r="W380" s="4" t="s">
        <v>32</v>
      </c>
      <c r="X380" s="4" t="s">
        <v>32</v>
      </c>
      <c r="Y380" s="4" t="s">
        <v>32</v>
      </c>
      <c r="Z380" s="4" t="s">
        <v>32</v>
      </c>
      <c r="AA380" s="4" t="s">
        <v>32</v>
      </c>
    </row>
    <row r="381" s="4" customFormat="1" spans="1:27">
      <c r="A381" s="4" t="s">
        <v>106</v>
      </c>
      <c r="B381" s="4" t="s">
        <v>28</v>
      </c>
      <c r="C381" s="4">
        <v>74656</v>
      </c>
      <c r="D381" s="19">
        <v>254704074497</v>
      </c>
      <c r="E381" s="21">
        <v>43860.4374189815</v>
      </c>
      <c r="F381" s="4">
        <v>888.14</v>
      </c>
      <c r="G381" s="4">
        <v>0</v>
      </c>
      <c r="H381" s="4">
        <v>888.14</v>
      </c>
      <c r="I381" s="4">
        <v>101.45</v>
      </c>
      <c r="J381" s="4">
        <v>0</v>
      </c>
      <c r="K381" s="4">
        <v>102.21</v>
      </c>
      <c r="L381" s="4">
        <v>233.08</v>
      </c>
      <c r="M381" s="4">
        <v>31000</v>
      </c>
      <c r="N381" s="4">
        <v>5</v>
      </c>
      <c r="O381" s="4">
        <v>665</v>
      </c>
      <c r="P381" s="4" t="s">
        <v>34</v>
      </c>
      <c r="Q381" s="4" t="s">
        <v>30</v>
      </c>
      <c r="R381" s="4" t="s">
        <v>164</v>
      </c>
      <c r="S381" s="4">
        <v>0</v>
      </c>
      <c r="T381" s="4">
        <v>1550</v>
      </c>
      <c r="U381" s="4">
        <v>0</v>
      </c>
      <c r="V381" s="4" t="s">
        <v>32</v>
      </c>
      <c r="W381" s="4" t="s">
        <v>32</v>
      </c>
      <c r="X381" s="4" t="s">
        <v>32</v>
      </c>
      <c r="Y381" s="4" t="s">
        <v>32</v>
      </c>
      <c r="Z381" s="4" t="s">
        <v>32</v>
      </c>
      <c r="AA381" s="4" t="s">
        <v>32</v>
      </c>
    </row>
    <row r="382" s="4" customFormat="1" spans="1:27">
      <c r="A382" s="4" t="s">
        <v>106</v>
      </c>
      <c r="B382" s="4" t="s">
        <v>28</v>
      </c>
      <c r="C382" s="4">
        <v>21863986</v>
      </c>
      <c r="D382" s="19">
        <v>254704112371</v>
      </c>
      <c r="E382" s="21">
        <v>46093.8778819444</v>
      </c>
      <c r="F382" s="4">
        <v>420.6</v>
      </c>
      <c r="G382" s="4">
        <v>1.52</v>
      </c>
      <c r="H382" s="4">
        <v>419.08</v>
      </c>
      <c r="I382" s="4">
        <v>80.58</v>
      </c>
      <c r="J382" s="4">
        <v>-0.36</v>
      </c>
      <c r="K382" s="4">
        <v>80.94</v>
      </c>
      <c r="L382" s="4">
        <v>92.41</v>
      </c>
      <c r="M382" s="4">
        <v>12290</v>
      </c>
      <c r="N382" s="4">
        <v>87.79</v>
      </c>
      <c r="O382" s="4">
        <v>11675.5</v>
      </c>
      <c r="P382" s="4" t="s">
        <v>29</v>
      </c>
      <c r="Q382" s="4" t="s">
        <v>30</v>
      </c>
      <c r="R382" s="4" t="s">
        <v>164</v>
      </c>
      <c r="S382" s="4">
        <v>0</v>
      </c>
      <c r="T382" s="4">
        <v>610</v>
      </c>
      <c r="U382" s="4">
        <v>0</v>
      </c>
      <c r="V382" s="4" t="s">
        <v>32</v>
      </c>
      <c r="W382" s="4" t="s">
        <v>32</v>
      </c>
      <c r="X382" s="4" t="s">
        <v>32</v>
      </c>
      <c r="Y382" s="4" t="s">
        <v>32</v>
      </c>
      <c r="Z382" s="4" t="s">
        <v>32</v>
      </c>
      <c r="AA382" s="4" t="s">
        <v>32</v>
      </c>
    </row>
    <row r="383" s="4" customFormat="1" spans="1:27">
      <c r="A383" s="4" t="s">
        <v>106</v>
      </c>
      <c r="B383" s="4" t="s">
        <v>28</v>
      </c>
      <c r="C383" s="4">
        <v>7928869</v>
      </c>
      <c r="D383" s="19">
        <v>254704539977</v>
      </c>
      <c r="E383" s="21">
        <v>44692.4153819444</v>
      </c>
      <c r="F383" s="4">
        <v>9838.33</v>
      </c>
      <c r="G383" s="4">
        <v>0</v>
      </c>
      <c r="H383" s="4">
        <v>9838.33</v>
      </c>
      <c r="I383" s="4">
        <v>369.41</v>
      </c>
      <c r="J383" s="4">
        <v>0</v>
      </c>
      <c r="K383" s="4">
        <v>370.17</v>
      </c>
      <c r="L383" s="4">
        <v>2144.27</v>
      </c>
      <c r="M383" s="4">
        <v>285188</v>
      </c>
      <c r="N383" s="4">
        <v>72.86</v>
      </c>
      <c r="O383" s="4">
        <v>9690</v>
      </c>
      <c r="P383" s="4" t="s">
        <v>34</v>
      </c>
      <c r="Q383" s="4" t="s">
        <v>33</v>
      </c>
      <c r="R383" s="4" t="s">
        <v>164</v>
      </c>
      <c r="S383" s="4">
        <v>0</v>
      </c>
      <c r="T383" s="4">
        <v>14260</v>
      </c>
      <c r="U383" s="4">
        <v>0</v>
      </c>
      <c r="V383" s="4" t="s">
        <v>32</v>
      </c>
      <c r="W383" s="4" t="s">
        <v>32</v>
      </c>
      <c r="X383" s="4" t="s">
        <v>32</v>
      </c>
      <c r="Y383" s="4" t="s">
        <v>32</v>
      </c>
      <c r="Z383" s="4" t="s">
        <v>32</v>
      </c>
      <c r="AA383" s="4" t="s">
        <v>32</v>
      </c>
    </row>
    <row r="384" s="4" customFormat="1" spans="1:27">
      <c r="A384" s="4" t="s">
        <v>106</v>
      </c>
      <c r="B384" s="4" t="s">
        <v>28</v>
      </c>
      <c r="C384" s="4">
        <v>10595597</v>
      </c>
      <c r="D384" s="19">
        <v>254705455322</v>
      </c>
      <c r="E384" s="21">
        <v>45175.3271527778</v>
      </c>
      <c r="F384" s="4">
        <v>338.19</v>
      </c>
      <c r="G384" s="4">
        <v>0.19</v>
      </c>
      <c r="H384" s="4">
        <v>338.01</v>
      </c>
      <c r="I384" s="4">
        <v>39.78</v>
      </c>
      <c r="J384" s="4">
        <v>0.19</v>
      </c>
      <c r="K384" s="4">
        <v>39.59</v>
      </c>
      <c r="L384" s="4">
        <v>138.27</v>
      </c>
      <c r="M384" s="4">
        <v>18390</v>
      </c>
      <c r="N384" s="4">
        <v>11.29</v>
      </c>
      <c r="O384" s="4">
        <v>1501</v>
      </c>
      <c r="P384" s="4" t="s">
        <v>34</v>
      </c>
      <c r="Q384" s="4" t="s">
        <v>30</v>
      </c>
      <c r="R384" s="4" t="s">
        <v>164</v>
      </c>
      <c r="S384" s="4">
        <v>0</v>
      </c>
      <c r="T384" s="4">
        <v>920</v>
      </c>
      <c r="U384" s="4">
        <v>0</v>
      </c>
      <c r="V384" s="4" t="s">
        <v>32</v>
      </c>
      <c r="W384" s="4" t="s">
        <v>32</v>
      </c>
      <c r="X384" s="4" t="s">
        <v>32</v>
      </c>
      <c r="Y384" s="4" t="s">
        <v>32</v>
      </c>
      <c r="Z384" s="4" t="s">
        <v>32</v>
      </c>
      <c r="AA384" s="4" t="s">
        <v>32</v>
      </c>
    </row>
    <row r="385" s="4" customFormat="1" spans="1:27">
      <c r="A385" s="4" t="s">
        <v>106</v>
      </c>
      <c r="B385" s="4" t="s">
        <v>28</v>
      </c>
      <c r="C385" s="4">
        <v>15568718</v>
      </c>
      <c r="D385" s="19">
        <v>254706246179</v>
      </c>
      <c r="E385" s="21">
        <v>45680.7510763889</v>
      </c>
      <c r="F385" s="4">
        <v>835.79</v>
      </c>
      <c r="G385" s="4">
        <v>0</v>
      </c>
      <c r="H385" s="4">
        <v>835.79</v>
      </c>
      <c r="I385" s="4">
        <v>3.72</v>
      </c>
      <c r="J385" s="4">
        <v>0</v>
      </c>
      <c r="K385" s="4">
        <v>3.72</v>
      </c>
      <c r="L385" s="4">
        <v>113.88</v>
      </c>
      <c r="M385" s="4">
        <v>15146</v>
      </c>
      <c r="N385" s="4">
        <v>92.78</v>
      </c>
      <c r="O385" s="4">
        <v>12339.55</v>
      </c>
      <c r="P385" s="4" t="s">
        <v>29</v>
      </c>
      <c r="Q385" s="4" t="s">
        <v>30</v>
      </c>
      <c r="R385" s="4" t="s">
        <v>164</v>
      </c>
      <c r="S385" s="4">
        <v>0</v>
      </c>
      <c r="T385" s="4">
        <v>760</v>
      </c>
      <c r="U385" s="4">
        <v>0</v>
      </c>
      <c r="V385" s="4" t="s">
        <v>32</v>
      </c>
      <c r="W385" s="4" t="s">
        <v>32</v>
      </c>
      <c r="X385" s="4" t="s">
        <v>32</v>
      </c>
      <c r="Y385" s="4" t="s">
        <v>32</v>
      </c>
      <c r="Z385" s="4" t="s">
        <v>32</v>
      </c>
      <c r="AA385" s="4" t="s">
        <v>32</v>
      </c>
    </row>
    <row r="386" s="4" customFormat="1" spans="1:27">
      <c r="A386" s="4" t="s">
        <v>106</v>
      </c>
      <c r="B386" s="4" t="s">
        <v>28</v>
      </c>
      <c r="C386" s="4">
        <v>16410149</v>
      </c>
      <c r="D386" s="19">
        <v>254706341406</v>
      </c>
      <c r="E386" s="21">
        <v>45773.2578587963</v>
      </c>
      <c r="F386" s="4">
        <v>3138.67</v>
      </c>
      <c r="G386" s="4">
        <v>0.41</v>
      </c>
      <c r="H386" s="4">
        <v>3138.26</v>
      </c>
      <c r="I386" s="4">
        <v>98.15</v>
      </c>
      <c r="J386" s="4">
        <v>0.41</v>
      </c>
      <c r="K386" s="4">
        <v>97.74</v>
      </c>
      <c r="L386" s="4">
        <v>361.37</v>
      </c>
      <c r="M386" s="4">
        <v>48062</v>
      </c>
      <c r="N386" s="4">
        <v>151.89</v>
      </c>
      <c r="O386" s="4">
        <v>20200.8</v>
      </c>
      <c r="P386" s="4" t="s">
        <v>34</v>
      </c>
      <c r="Q386" s="4" t="s">
        <v>30</v>
      </c>
      <c r="R386" s="4" t="s">
        <v>164</v>
      </c>
      <c r="S386" s="4">
        <v>0</v>
      </c>
      <c r="T386" s="4">
        <v>2400</v>
      </c>
      <c r="U386" s="4">
        <v>0</v>
      </c>
      <c r="V386" s="4" t="s">
        <v>32</v>
      </c>
      <c r="W386" s="4" t="s">
        <v>32</v>
      </c>
      <c r="X386" s="4" t="s">
        <v>32</v>
      </c>
      <c r="Y386" s="4" t="s">
        <v>32</v>
      </c>
      <c r="Z386" s="4" t="s">
        <v>32</v>
      </c>
      <c r="AA386" s="4" t="s">
        <v>32</v>
      </c>
    </row>
    <row r="387" s="4" customFormat="1" spans="1:27">
      <c r="A387" s="4" t="s">
        <v>106</v>
      </c>
      <c r="B387" s="4" t="s">
        <v>28</v>
      </c>
      <c r="C387" s="4">
        <v>13631238</v>
      </c>
      <c r="D387" s="19">
        <v>254706649300</v>
      </c>
      <c r="E387" s="21">
        <v>45543.5215393519</v>
      </c>
      <c r="F387" s="4">
        <v>247.46</v>
      </c>
      <c r="G387" s="4">
        <v>22.62</v>
      </c>
      <c r="H387" s="4">
        <v>224.85</v>
      </c>
      <c r="I387" s="4">
        <v>19.51</v>
      </c>
      <c r="J387" s="4">
        <v>18.43</v>
      </c>
      <c r="K387" s="4">
        <v>1.08</v>
      </c>
      <c r="L387" s="4">
        <v>58.73</v>
      </c>
      <c r="M387" s="4">
        <v>7811</v>
      </c>
      <c r="N387" s="4">
        <v>5.18</v>
      </c>
      <c r="O387" s="4">
        <v>688.75</v>
      </c>
      <c r="P387" s="4" t="s">
        <v>35</v>
      </c>
      <c r="Q387" s="4" t="s">
        <v>30</v>
      </c>
      <c r="R387" s="4" t="s">
        <v>164</v>
      </c>
      <c r="S387" s="4">
        <v>2000</v>
      </c>
      <c r="T387" s="4">
        <v>195</v>
      </c>
      <c r="U387" s="4">
        <v>0</v>
      </c>
      <c r="V387" s="4" t="s">
        <v>32</v>
      </c>
      <c r="W387" s="4" t="s">
        <v>32</v>
      </c>
      <c r="X387" s="4" t="s">
        <v>32</v>
      </c>
      <c r="Y387" s="4" t="s">
        <v>32</v>
      </c>
      <c r="Z387" s="4" t="s">
        <v>32</v>
      </c>
      <c r="AA387" s="4" t="s">
        <v>32</v>
      </c>
    </row>
    <row r="388" s="4" customFormat="1" spans="1:27">
      <c r="A388" s="4" t="s">
        <v>106</v>
      </c>
      <c r="B388" s="4" t="s">
        <v>28</v>
      </c>
      <c r="C388" s="4">
        <v>22147926</v>
      </c>
      <c r="D388" s="19">
        <v>254707666155</v>
      </c>
      <c r="E388" s="21">
        <v>46110.5803356481</v>
      </c>
      <c r="F388" s="4">
        <v>309.85</v>
      </c>
      <c r="G388" s="4">
        <v>0</v>
      </c>
      <c r="H388" s="4">
        <v>309.85</v>
      </c>
      <c r="I388" s="4">
        <v>51.72</v>
      </c>
      <c r="J388" s="4">
        <v>0</v>
      </c>
      <c r="K388" s="4">
        <v>51.72</v>
      </c>
      <c r="L388" s="4">
        <v>131.2</v>
      </c>
      <c r="M388" s="4">
        <v>17450</v>
      </c>
      <c r="N388" s="4">
        <v>124.64</v>
      </c>
      <c r="O388" s="4">
        <v>16577.5</v>
      </c>
      <c r="P388" s="4" t="s">
        <v>29</v>
      </c>
      <c r="Q388" s="4" t="s">
        <v>30</v>
      </c>
      <c r="R388" s="4" t="s">
        <v>164</v>
      </c>
      <c r="S388" s="4">
        <v>0</v>
      </c>
      <c r="T388" s="4">
        <v>870</v>
      </c>
      <c r="U388" s="4">
        <v>0</v>
      </c>
      <c r="V388" s="4" t="s">
        <v>32</v>
      </c>
      <c r="W388" s="4" t="s">
        <v>32</v>
      </c>
      <c r="X388" s="4" t="s">
        <v>32</v>
      </c>
      <c r="Y388" s="4" t="s">
        <v>32</v>
      </c>
      <c r="Z388" s="4" t="s">
        <v>32</v>
      </c>
      <c r="AA388" s="4" t="s">
        <v>32</v>
      </c>
    </row>
    <row r="389" s="4" customFormat="1" spans="1:27">
      <c r="A389" s="4" t="s">
        <v>106</v>
      </c>
      <c r="B389" s="4" t="s">
        <v>28</v>
      </c>
      <c r="C389" s="4">
        <v>13042248</v>
      </c>
      <c r="D389" s="19">
        <v>254708525873</v>
      </c>
      <c r="E389" s="21">
        <v>45435.4398611111</v>
      </c>
      <c r="F389" s="4">
        <v>7902.94</v>
      </c>
      <c r="G389" s="4">
        <v>7.2</v>
      </c>
      <c r="H389" s="4">
        <v>7895.75</v>
      </c>
      <c r="I389" s="4">
        <v>355.6</v>
      </c>
      <c r="J389" s="4">
        <v>5.82</v>
      </c>
      <c r="K389" s="4">
        <v>349.78</v>
      </c>
      <c r="L389" s="4">
        <v>787.68</v>
      </c>
      <c r="M389" s="4">
        <v>104762</v>
      </c>
      <c r="N389" s="4">
        <v>17.15</v>
      </c>
      <c r="O389" s="4">
        <v>2280.95</v>
      </c>
      <c r="P389" s="4" t="s">
        <v>34</v>
      </c>
      <c r="Q389" s="4" t="s">
        <v>30</v>
      </c>
      <c r="R389" s="4" t="s">
        <v>164</v>
      </c>
      <c r="S389" s="4">
        <v>0</v>
      </c>
      <c r="T389" s="4">
        <v>5240</v>
      </c>
      <c r="U389" s="4">
        <v>0</v>
      </c>
      <c r="V389" s="4" t="s">
        <v>32</v>
      </c>
      <c r="W389" s="4" t="s">
        <v>32</v>
      </c>
      <c r="X389" s="4" t="s">
        <v>32</v>
      </c>
      <c r="Y389" s="4" t="s">
        <v>32</v>
      </c>
      <c r="Z389" s="4" t="s">
        <v>32</v>
      </c>
      <c r="AA389" s="4" t="s">
        <v>32</v>
      </c>
    </row>
    <row r="390" s="4" customFormat="1" spans="1:27">
      <c r="A390" s="4" t="s">
        <v>106</v>
      </c>
      <c r="B390" s="4" t="s">
        <v>28</v>
      </c>
      <c r="C390" s="4">
        <v>12686767</v>
      </c>
      <c r="D390" s="19">
        <v>254708532727</v>
      </c>
      <c r="E390" s="21">
        <v>45393.3259837963</v>
      </c>
      <c r="F390" s="4">
        <v>6605.51</v>
      </c>
      <c r="G390" s="4">
        <v>3.53</v>
      </c>
      <c r="H390" s="4">
        <v>6601.98</v>
      </c>
      <c r="I390" s="4">
        <v>180.46</v>
      </c>
      <c r="J390" s="4">
        <v>-1.09</v>
      </c>
      <c r="K390" s="4">
        <v>181.56</v>
      </c>
      <c r="L390" s="4">
        <v>1036.84</v>
      </c>
      <c r="M390" s="4">
        <v>137900</v>
      </c>
      <c r="N390" s="4">
        <v>29.63</v>
      </c>
      <c r="O390" s="4">
        <v>3940.6</v>
      </c>
      <c r="P390" s="4" t="s">
        <v>34</v>
      </c>
      <c r="Q390" s="4" t="s">
        <v>33</v>
      </c>
      <c r="R390" s="4" t="s">
        <v>164</v>
      </c>
      <c r="S390" s="4">
        <v>0</v>
      </c>
      <c r="T390" s="4">
        <v>6900</v>
      </c>
      <c r="U390" s="4">
        <v>0</v>
      </c>
      <c r="V390" s="4" t="s">
        <v>32</v>
      </c>
      <c r="W390" s="4" t="s">
        <v>32</v>
      </c>
      <c r="X390" s="4" t="s">
        <v>32</v>
      </c>
      <c r="Y390" s="4" t="s">
        <v>32</v>
      </c>
      <c r="Z390" s="4" t="s">
        <v>32</v>
      </c>
      <c r="AA390" s="4" t="s">
        <v>32</v>
      </c>
    </row>
    <row r="391" s="4" customFormat="1" spans="1:27">
      <c r="A391" s="4" t="s">
        <v>106</v>
      </c>
      <c r="B391" s="4" t="s">
        <v>28</v>
      </c>
      <c r="C391" s="4">
        <v>29379</v>
      </c>
      <c r="D391" s="19">
        <v>254710665594</v>
      </c>
      <c r="E391" s="21">
        <v>43819.6307291667</v>
      </c>
      <c r="F391" s="4">
        <v>95.15</v>
      </c>
      <c r="G391" s="4">
        <v>41.8</v>
      </c>
      <c r="H391" s="4">
        <v>53.35</v>
      </c>
      <c r="I391" s="4">
        <v>50.52</v>
      </c>
      <c r="J391" s="4">
        <v>37.78</v>
      </c>
      <c r="K391" s="4">
        <v>12.74</v>
      </c>
      <c r="L391" s="4">
        <v>54.42</v>
      </c>
      <c r="M391" s="4">
        <v>7238</v>
      </c>
      <c r="N391" s="4">
        <v>19.46</v>
      </c>
      <c r="O391" s="4">
        <v>2587.8</v>
      </c>
      <c r="P391" s="4" t="s">
        <v>35</v>
      </c>
      <c r="Q391" s="4" t="s">
        <v>30</v>
      </c>
      <c r="R391" s="4" t="s">
        <v>164</v>
      </c>
      <c r="S391" s="4">
        <v>2000</v>
      </c>
      <c r="T391" s="4">
        <v>180</v>
      </c>
      <c r="U391" s="4">
        <v>0</v>
      </c>
      <c r="V391" s="4" t="s">
        <v>32</v>
      </c>
      <c r="W391" s="4" t="s">
        <v>32</v>
      </c>
      <c r="X391" s="4" t="s">
        <v>32</v>
      </c>
      <c r="Y391" s="4" t="s">
        <v>32</v>
      </c>
      <c r="Z391" s="4" t="s">
        <v>32</v>
      </c>
      <c r="AA391" s="4" t="s">
        <v>32</v>
      </c>
    </row>
    <row r="392" s="4" customFormat="1" spans="1:27">
      <c r="A392" s="4" t="s">
        <v>106</v>
      </c>
      <c r="B392" s="4" t="s">
        <v>28</v>
      </c>
      <c r="C392" s="4">
        <v>22328628</v>
      </c>
      <c r="D392" s="19">
        <v>254711262353</v>
      </c>
      <c r="E392" s="21">
        <v>46121.5908796296</v>
      </c>
      <c r="F392" s="4">
        <v>386.42</v>
      </c>
      <c r="G392" s="4">
        <v>0</v>
      </c>
      <c r="H392" s="4">
        <v>386.42</v>
      </c>
      <c r="I392" s="4">
        <v>34.71</v>
      </c>
      <c r="J392" s="4">
        <v>0</v>
      </c>
      <c r="K392" s="4">
        <v>34.71</v>
      </c>
      <c r="L392" s="4">
        <v>57.98</v>
      </c>
      <c r="M392" s="4">
        <v>7711</v>
      </c>
      <c r="N392" s="4">
        <v>55.08</v>
      </c>
      <c r="O392" s="4">
        <v>7325.45</v>
      </c>
      <c r="P392" s="4" t="s">
        <v>29</v>
      </c>
      <c r="Q392" s="4" t="s">
        <v>30</v>
      </c>
      <c r="R392" s="4" t="s">
        <v>164</v>
      </c>
      <c r="S392" s="4">
        <v>0</v>
      </c>
      <c r="T392" s="4">
        <v>390</v>
      </c>
      <c r="U392" s="4">
        <v>0</v>
      </c>
      <c r="V392" s="4" t="s">
        <v>32</v>
      </c>
      <c r="W392" s="4" t="s">
        <v>32</v>
      </c>
      <c r="X392" s="4" t="s">
        <v>32</v>
      </c>
      <c r="Y392" s="4" t="s">
        <v>32</v>
      </c>
      <c r="Z392" s="4" t="s">
        <v>32</v>
      </c>
      <c r="AA392" s="4" t="s">
        <v>32</v>
      </c>
    </row>
    <row r="393" s="4" customFormat="1" spans="1:27">
      <c r="A393" s="4" t="s">
        <v>106</v>
      </c>
      <c r="B393" s="4" t="s">
        <v>28</v>
      </c>
      <c r="C393" s="4">
        <v>2734076</v>
      </c>
      <c r="D393" s="19">
        <v>254711766410</v>
      </c>
      <c r="E393" s="21">
        <v>44107.5025231481</v>
      </c>
      <c r="F393" s="4">
        <v>719.18</v>
      </c>
      <c r="G393" s="4">
        <v>0.24</v>
      </c>
      <c r="H393" s="4">
        <v>718.94</v>
      </c>
      <c r="I393" s="4">
        <v>28.04</v>
      </c>
      <c r="J393" s="4">
        <v>0.24</v>
      </c>
      <c r="K393" s="4">
        <v>27.8</v>
      </c>
      <c r="L393" s="4">
        <v>119.99</v>
      </c>
      <c r="M393" s="4">
        <v>15959</v>
      </c>
      <c r="N393" s="4">
        <v>113.99</v>
      </c>
      <c r="O393" s="4">
        <v>15161.05</v>
      </c>
      <c r="P393" s="4" t="s">
        <v>34</v>
      </c>
      <c r="Q393" s="4" t="s">
        <v>30</v>
      </c>
      <c r="R393" s="4" t="s">
        <v>164</v>
      </c>
      <c r="S393" s="4">
        <v>0</v>
      </c>
      <c r="T393" s="4">
        <v>800</v>
      </c>
      <c r="U393" s="4">
        <v>0</v>
      </c>
      <c r="V393" s="4" t="s">
        <v>32</v>
      </c>
      <c r="W393" s="4" t="s">
        <v>32</v>
      </c>
      <c r="X393" s="4" t="s">
        <v>32</v>
      </c>
      <c r="Y393" s="4" t="s">
        <v>32</v>
      </c>
      <c r="Z393" s="4" t="s">
        <v>32</v>
      </c>
      <c r="AA393" s="4" t="s">
        <v>32</v>
      </c>
    </row>
    <row r="394" s="4" customFormat="1" spans="1:27">
      <c r="A394" s="4" t="s">
        <v>106</v>
      </c>
      <c r="B394" s="4" t="s">
        <v>28</v>
      </c>
      <c r="C394" s="4">
        <v>3770646</v>
      </c>
      <c r="D394" s="19">
        <v>254712358769</v>
      </c>
      <c r="E394" s="21">
        <v>44258.2496527778</v>
      </c>
      <c r="F394" s="4">
        <v>608.38</v>
      </c>
      <c r="G394" s="4">
        <v>0</v>
      </c>
      <c r="H394" s="4">
        <v>607.63</v>
      </c>
      <c r="I394" s="4">
        <v>-11.49</v>
      </c>
      <c r="J394" s="4">
        <v>0</v>
      </c>
      <c r="K394" s="4">
        <v>-11.49</v>
      </c>
      <c r="L394" s="4">
        <v>91.47</v>
      </c>
      <c r="M394" s="4">
        <v>12165</v>
      </c>
      <c r="N394" s="4">
        <v>35</v>
      </c>
      <c r="O394" s="4">
        <v>4655</v>
      </c>
      <c r="P394" s="4" t="s">
        <v>34</v>
      </c>
      <c r="Q394" s="4" t="s">
        <v>30</v>
      </c>
      <c r="R394" s="4" t="s">
        <v>164</v>
      </c>
      <c r="S394" s="4">
        <v>0</v>
      </c>
      <c r="T394" s="4">
        <v>610</v>
      </c>
      <c r="U394" s="4">
        <v>0</v>
      </c>
      <c r="V394" s="4" t="s">
        <v>32</v>
      </c>
      <c r="W394" s="4" t="s">
        <v>32</v>
      </c>
      <c r="X394" s="4" t="s">
        <v>32</v>
      </c>
      <c r="Y394" s="4" t="s">
        <v>32</v>
      </c>
      <c r="Z394" s="4" t="s">
        <v>32</v>
      </c>
      <c r="AA394" s="4" t="s">
        <v>32</v>
      </c>
    </row>
    <row r="395" s="4" customFormat="1" spans="1:27">
      <c r="A395" s="4" t="s">
        <v>106</v>
      </c>
      <c r="B395" s="4" t="s">
        <v>28</v>
      </c>
      <c r="C395" s="4">
        <v>13987176</v>
      </c>
      <c r="D395" s="19">
        <v>254713968708</v>
      </c>
      <c r="E395" s="21">
        <v>45568.5198842593</v>
      </c>
      <c r="F395" s="4">
        <v>260.9</v>
      </c>
      <c r="G395" s="4">
        <v>0</v>
      </c>
      <c r="H395" s="4">
        <v>260.9</v>
      </c>
      <c r="I395" s="4">
        <v>21.71</v>
      </c>
      <c r="J395" s="4">
        <v>0</v>
      </c>
      <c r="K395" s="4">
        <v>21.71</v>
      </c>
      <c r="L395" s="4">
        <v>94.74</v>
      </c>
      <c r="M395" s="4">
        <v>12600</v>
      </c>
      <c r="N395" s="4">
        <v>89.29</v>
      </c>
      <c r="O395" s="4">
        <v>11875</v>
      </c>
      <c r="P395" s="4" t="s">
        <v>34</v>
      </c>
      <c r="Q395" s="4" t="s">
        <v>30</v>
      </c>
      <c r="R395" s="4" t="s">
        <v>164</v>
      </c>
      <c r="S395" s="4">
        <v>0</v>
      </c>
      <c r="T395" s="4">
        <v>630</v>
      </c>
      <c r="U395" s="4">
        <v>0</v>
      </c>
      <c r="V395" s="4" t="s">
        <v>32</v>
      </c>
      <c r="W395" s="4" t="s">
        <v>32</v>
      </c>
      <c r="X395" s="4" t="s">
        <v>32</v>
      </c>
      <c r="Y395" s="4" t="s">
        <v>32</v>
      </c>
      <c r="Z395" s="4" t="s">
        <v>32</v>
      </c>
      <c r="AA395" s="4" t="s">
        <v>32</v>
      </c>
    </row>
    <row r="396" s="4" customFormat="1" spans="1:27">
      <c r="A396" s="4" t="s">
        <v>106</v>
      </c>
      <c r="B396" s="4" t="s">
        <v>28</v>
      </c>
      <c r="C396" s="4">
        <v>12403149</v>
      </c>
      <c r="D396" s="19">
        <v>254714497291</v>
      </c>
      <c r="E396" s="21">
        <v>45353.8205439815</v>
      </c>
      <c r="F396" s="4">
        <v>121.22</v>
      </c>
      <c r="G396" s="4">
        <v>0.08</v>
      </c>
      <c r="H396" s="4">
        <v>121.14</v>
      </c>
      <c r="I396" s="4">
        <v>-7.66</v>
      </c>
      <c r="J396" s="4">
        <v>0.08</v>
      </c>
      <c r="K396" s="4">
        <v>-7.74</v>
      </c>
      <c r="L396" s="4">
        <v>56.87</v>
      </c>
      <c r="M396" s="4">
        <v>7564</v>
      </c>
      <c r="N396" s="4">
        <v>8.84</v>
      </c>
      <c r="O396" s="4">
        <v>1176.1</v>
      </c>
      <c r="P396" s="4" t="s">
        <v>34</v>
      </c>
      <c r="Q396" s="4" t="s">
        <v>30</v>
      </c>
      <c r="R396" s="4" t="s">
        <v>164</v>
      </c>
      <c r="S396" s="4">
        <v>0</v>
      </c>
      <c r="T396" s="4">
        <v>380</v>
      </c>
      <c r="U396" s="4">
        <v>0</v>
      </c>
      <c r="V396" s="4" t="s">
        <v>32</v>
      </c>
      <c r="W396" s="4" t="s">
        <v>32</v>
      </c>
      <c r="X396" s="4" t="s">
        <v>32</v>
      </c>
      <c r="Y396" s="4" t="s">
        <v>32</v>
      </c>
      <c r="Z396" s="4" t="s">
        <v>32</v>
      </c>
      <c r="AA396" s="4" t="s">
        <v>32</v>
      </c>
    </row>
    <row r="397" s="4" customFormat="1" spans="1:27">
      <c r="A397" s="4" t="s">
        <v>106</v>
      </c>
      <c r="B397" s="4" t="s">
        <v>28</v>
      </c>
      <c r="C397" s="4">
        <v>10859047</v>
      </c>
      <c r="D397" s="19">
        <v>254715731858</v>
      </c>
      <c r="E397" s="21">
        <v>45202.4843287037</v>
      </c>
      <c r="F397" s="4">
        <v>757.64</v>
      </c>
      <c r="G397" s="4">
        <v>0</v>
      </c>
      <c r="H397" s="4">
        <v>757.64</v>
      </c>
      <c r="I397" s="4">
        <v>37.63</v>
      </c>
      <c r="J397" s="4">
        <v>0</v>
      </c>
      <c r="K397" s="4">
        <v>37.63</v>
      </c>
      <c r="L397" s="4">
        <v>89.47</v>
      </c>
      <c r="M397" s="4">
        <v>11900</v>
      </c>
      <c r="N397" s="4">
        <v>79.29</v>
      </c>
      <c r="O397" s="4">
        <v>10545</v>
      </c>
      <c r="P397" s="4" t="s">
        <v>34</v>
      </c>
      <c r="Q397" s="4" t="s">
        <v>30</v>
      </c>
      <c r="R397" s="4" t="s">
        <v>164</v>
      </c>
      <c r="S397" s="4">
        <v>0</v>
      </c>
      <c r="T397" s="4">
        <v>600</v>
      </c>
      <c r="U397" s="4">
        <v>0</v>
      </c>
      <c r="V397" s="4" t="s">
        <v>32</v>
      </c>
      <c r="W397" s="4" t="s">
        <v>32</v>
      </c>
      <c r="X397" s="4" t="s">
        <v>32</v>
      </c>
      <c r="Y397" s="4" t="s">
        <v>32</v>
      </c>
      <c r="Z397" s="4" t="s">
        <v>32</v>
      </c>
      <c r="AA397" s="4" t="s">
        <v>32</v>
      </c>
    </row>
    <row r="398" s="4" customFormat="1" spans="1:27">
      <c r="A398" s="4" t="s">
        <v>106</v>
      </c>
      <c r="B398" s="4" t="s">
        <v>28</v>
      </c>
      <c r="C398" s="4">
        <v>14488657</v>
      </c>
      <c r="D398" s="19">
        <v>254716326157</v>
      </c>
      <c r="E398" s="21">
        <v>45602.569537037</v>
      </c>
      <c r="F398" s="4">
        <v>685.49</v>
      </c>
      <c r="G398" s="4">
        <v>0</v>
      </c>
      <c r="H398" s="4">
        <v>685.49</v>
      </c>
      <c r="I398" s="4">
        <v>107.14</v>
      </c>
      <c r="J398" s="4">
        <v>0</v>
      </c>
      <c r="K398" s="4">
        <v>107.14</v>
      </c>
      <c r="L398" s="4">
        <v>112.78</v>
      </c>
      <c r="M398" s="4">
        <v>15000</v>
      </c>
      <c r="N398" s="4">
        <v>0</v>
      </c>
      <c r="O398" s="4">
        <v>0</v>
      </c>
      <c r="P398" s="4" t="s">
        <v>29</v>
      </c>
      <c r="Q398" s="4" t="s">
        <v>30</v>
      </c>
      <c r="R398" s="4" t="s">
        <v>164</v>
      </c>
      <c r="S398" s="4">
        <v>0</v>
      </c>
      <c r="T398" s="4">
        <v>750</v>
      </c>
      <c r="U398" s="4">
        <v>0</v>
      </c>
      <c r="V398" s="4" t="s">
        <v>32</v>
      </c>
      <c r="W398" s="4" t="s">
        <v>32</v>
      </c>
      <c r="X398" s="4" t="s">
        <v>32</v>
      </c>
      <c r="Y398" s="4" t="s">
        <v>32</v>
      </c>
      <c r="Z398" s="4" t="s">
        <v>32</v>
      </c>
      <c r="AA398" s="4" t="s">
        <v>32</v>
      </c>
    </row>
    <row r="399" s="4" customFormat="1" spans="1:27">
      <c r="A399" s="4" t="s">
        <v>106</v>
      </c>
      <c r="B399" s="4" t="s">
        <v>28</v>
      </c>
      <c r="C399" s="4">
        <v>97268</v>
      </c>
      <c r="D399" s="19">
        <v>254716540397</v>
      </c>
      <c r="E399" s="21">
        <v>43877.8418287037</v>
      </c>
      <c r="F399" s="4">
        <v>1343.23</v>
      </c>
      <c r="G399" s="4">
        <v>0.49</v>
      </c>
      <c r="H399" s="4">
        <v>1342.74</v>
      </c>
      <c r="I399" s="4">
        <v>127.4</v>
      </c>
      <c r="J399" s="4">
        <v>0.31</v>
      </c>
      <c r="K399" s="4">
        <v>127.09</v>
      </c>
      <c r="L399" s="4">
        <v>241.95</v>
      </c>
      <c r="M399" s="4">
        <v>32180</v>
      </c>
      <c r="N399" s="4">
        <v>0</v>
      </c>
      <c r="O399" s="4">
        <v>0</v>
      </c>
      <c r="P399" s="4" t="s">
        <v>34</v>
      </c>
      <c r="Q399" s="4" t="s">
        <v>30</v>
      </c>
      <c r="R399" s="4" t="s">
        <v>164</v>
      </c>
      <c r="S399" s="4">
        <v>0</v>
      </c>
      <c r="T399" s="4">
        <v>1610</v>
      </c>
      <c r="U399" s="4">
        <v>0</v>
      </c>
      <c r="V399" s="4" t="s">
        <v>32</v>
      </c>
      <c r="W399" s="4" t="s">
        <v>32</v>
      </c>
      <c r="X399" s="4" t="s">
        <v>32</v>
      </c>
      <c r="Y399" s="4" t="s">
        <v>32</v>
      </c>
      <c r="Z399" s="4" t="s">
        <v>32</v>
      </c>
      <c r="AA399" s="4" t="s">
        <v>32</v>
      </c>
    </row>
    <row r="400" s="4" customFormat="1" spans="1:27">
      <c r="A400" s="4" t="s">
        <v>106</v>
      </c>
      <c r="B400" s="4" t="s">
        <v>28</v>
      </c>
      <c r="C400" s="4">
        <v>13366999</v>
      </c>
      <c r="D400" s="19">
        <v>254719233282</v>
      </c>
      <c r="E400" s="21">
        <v>45496.7257175926</v>
      </c>
      <c r="F400" s="4">
        <v>1159.61</v>
      </c>
      <c r="G400" s="4">
        <v>0</v>
      </c>
      <c r="H400" s="4">
        <v>1159.61</v>
      </c>
      <c r="I400" s="4">
        <v>32.3</v>
      </c>
      <c r="J400" s="4">
        <v>0</v>
      </c>
      <c r="K400" s="4">
        <v>32.3</v>
      </c>
      <c r="L400" s="4">
        <v>206.22</v>
      </c>
      <c r="M400" s="4">
        <v>27427</v>
      </c>
      <c r="N400" s="4">
        <v>0</v>
      </c>
      <c r="O400" s="4">
        <v>0</v>
      </c>
      <c r="P400" s="4" t="s">
        <v>34</v>
      </c>
      <c r="Q400" s="4" t="s">
        <v>30</v>
      </c>
      <c r="R400" s="4" t="s">
        <v>164</v>
      </c>
      <c r="S400" s="4">
        <v>0</v>
      </c>
      <c r="T400" s="4">
        <v>1370</v>
      </c>
      <c r="U400" s="4">
        <v>0</v>
      </c>
      <c r="V400" s="4" t="s">
        <v>32</v>
      </c>
      <c r="W400" s="4" t="s">
        <v>32</v>
      </c>
      <c r="X400" s="4" t="s">
        <v>32</v>
      </c>
      <c r="Y400" s="4" t="s">
        <v>32</v>
      </c>
      <c r="Z400" s="4" t="s">
        <v>32</v>
      </c>
      <c r="AA400" s="4" t="s">
        <v>32</v>
      </c>
    </row>
    <row r="401" s="4" customFormat="1" spans="1:27">
      <c r="A401" s="4" t="s">
        <v>106</v>
      </c>
      <c r="B401" s="4" t="s">
        <v>28</v>
      </c>
      <c r="C401" s="4">
        <v>20547639</v>
      </c>
      <c r="D401" s="19">
        <v>254720402664</v>
      </c>
      <c r="E401" s="21">
        <v>46027.0407523148</v>
      </c>
      <c r="F401" s="4">
        <v>497.87</v>
      </c>
      <c r="G401" s="4">
        <v>0</v>
      </c>
      <c r="H401" s="4">
        <v>497.87</v>
      </c>
      <c r="I401" s="4">
        <v>-19.5</v>
      </c>
      <c r="J401" s="4">
        <v>0</v>
      </c>
      <c r="K401" s="4">
        <v>-19.5</v>
      </c>
      <c r="L401" s="4">
        <v>136.09</v>
      </c>
      <c r="M401" s="4">
        <v>18100</v>
      </c>
      <c r="N401" s="4">
        <v>90</v>
      </c>
      <c r="O401" s="4">
        <v>11970</v>
      </c>
      <c r="P401" s="4" t="s">
        <v>29</v>
      </c>
      <c r="Q401" s="4" t="s">
        <v>30</v>
      </c>
      <c r="R401" s="4" t="s">
        <v>164</v>
      </c>
      <c r="S401" s="4">
        <v>0</v>
      </c>
      <c r="T401" s="4">
        <v>900</v>
      </c>
      <c r="U401" s="4">
        <v>0</v>
      </c>
      <c r="V401" s="4" t="s">
        <v>32</v>
      </c>
      <c r="W401" s="4" t="s">
        <v>32</v>
      </c>
      <c r="X401" s="4" t="s">
        <v>32</v>
      </c>
      <c r="Y401" s="4" t="s">
        <v>32</v>
      </c>
      <c r="Z401" s="4" t="s">
        <v>32</v>
      </c>
      <c r="AA401" s="4" t="s">
        <v>32</v>
      </c>
    </row>
    <row r="402" s="4" customFormat="1" spans="1:27">
      <c r="A402" s="4" t="s">
        <v>106</v>
      </c>
      <c r="B402" s="4" t="s">
        <v>28</v>
      </c>
      <c r="C402" s="4">
        <v>835999</v>
      </c>
      <c r="D402" s="19">
        <v>254720626099</v>
      </c>
      <c r="E402" s="21">
        <v>43969.7660185185</v>
      </c>
      <c r="F402" s="4">
        <v>591.42</v>
      </c>
      <c r="G402" s="4">
        <v>0</v>
      </c>
      <c r="H402" s="4">
        <v>591.42</v>
      </c>
      <c r="I402" s="4">
        <v>-12.35</v>
      </c>
      <c r="J402" s="4">
        <v>0</v>
      </c>
      <c r="K402" s="4">
        <v>-12.35</v>
      </c>
      <c r="L402" s="4">
        <v>63.56</v>
      </c>
      <c r="M402" s="4">
        <v>8453</v>
      </c>
      <c r="N402" s="4">
        <v>58.95</v>
      </c>
      <c r="O402" s="4">
        <v>7840.35</v>
      </c>
      <c r="P402" s="4" t="s">
        <v>29</v>
      </c>
      <c r="Q402" s="4" t="s">
        <v>30</v>
      </c>
      <c r="R402" s="4" t="s">
        <v>164</v>
      </c>
      <c r="S402" s="4">
        <v>0</v>
      </c>
      <c r="T402" s="4">
        <v>420</v>
      </c>
      <c r="U402" s="4">
        <v>0</v>
      </c>
      <c r="V402" s="4" t="s">
        <v>32</v>
      </c>
      <c r="W402" s="4" t="s">
        <v>32</v>
      </c>
      <c r="X402" s="4" t="s">
        <v>32</v>
      </c>
      <c r="Y402" s="4" t="s">
        <v>32</v>
      </c>
      <c r="Z402" s="4" t="s">
        <v>32</v>
      </c>
      <c r="AA402" s="4" t="s">
        <v>32</v>
      </c>
    </row>
    <row r="403" s="4" customFormat="1" spans="1:27">
      <c r="A403" s="4" t="s">
        <v>106</v>
      </c>
      <c r="B403" s="4" t="s">
        <v>28</v>
      </c>
      <c r="C403" s="4">
        <v>8687959</v>
      </c>
      <c r="D403" s="19">
        <v>254720796675</v>
      </c>
      <c r="E403" s="21">
        <v>44815.2026157407</v>
      </c>
      <c r="F403" s="4">
        <v>439.56</v>
      </c>
      <c r="G403" s="4">
        <v>0.01</v>
      </c>
      <c r="H403" s="4">
        <v>439.56</v>
      </c>
      <c r="I403" s="4">
        <v>78.61</v>
      </c>
      <c r="J403" s="4">
        <v>0.01</v>
      </c>
      <c r="K403" s="4">
        <v>78.61</v>
      </c>
      <c r="L403" s="4">
        <v>185.68</v>
      </c>
      <c r="M403" s="4">
        <v>24695</v>
      </c>
      <c r="N403" s="4">
        <v>0</v>
      </c>
      <c r="O403" s="4">
        <v>0</v>
      </c>
      <c r="P403" s="4" t="s">
        <v>34</v>
      </c>
      <c r="Q403" s="4" t="s">
        <v>30</v>
      </c>
      <c r="R403" s="4" t="s">
        <v>164</v>
      </c>
      <c r="S403" s="4">
        <v>0</v>
      </c>
      <c r="T403" s="4">
        <v>1230</v>
      </c>
      <c r="U403" s="4">
        <v>0</v>
      </c>
      <c r="V403" s="4" t="s">
        <v>32</v>
      </c>
      <c r="W403" s="4" t="s">
        <v>32</v>
      </c>
      <c r="X403" s="4" t="s">
        <v>32</v>
      </c>
      <c r="Y403" s="4" t="s">
        <v>32</v>
      </c>
      <c r="Z403" s="4" t="s">
        <v>32</v>
      </c>
      <c r="AA403" s="4" t="s">
        <v>32</v>
      </c>
    </row>
    <row r="404" s="4" customFormat="1" spans="1:27">
      <c r="A404" s="4" t="s">
        <v>106</v>
      </c>
      <c r="B404" s="4" t="s">
        <v>28</v>
      </c>
      <c r="C404" s="4">
        <v>16842829</v>
      </c>
      <c r="D404" s="19">
        <v>254721248123</v>
      </c>
      <c r="E404" s="21">
        <v>45808.7725694445</v>
      </c>
      <c r="F404" s="4">
        <v>1709.84</v>
      </c>
      <c r="G404" s="4">
        <v>0</v>
      </c>
      <c r="H404" s="4">
        <v>1709.46</v>
      </c>
      <c r="I404" s="4">
        <v>45.58</v>
      </c>
      <c r="J404" s="4">
        <v>0</v>
      </c>
      <c r="K404" s="4">
        <v>45.58</v>
      </c>
      <c r="L404" s="4">
        <v>287.23</v>
      </c>
      <c r="M404" s="4">
        <v>38202</v>
      </c>
      <c r="N404" s="4">
        <v>34.84</v>
      </c>
      <c r="O404" s="4">
        <v>4634.1</v>
      </c>
      <c r="P404" s="4" t="s">
        <v>34</v>
      </c>
      <c r="Q404" s="4" t="s">
        <v>30</v>
      </c>
      <c r="R404" s="4" t="s">
        <v>164</v>
      </c>
      <c r="S404" s="4">
        <v>0</v>
      </c>
      <c r="T404" s="4">
        <v>1910</v>
      </c>
      <c r="U404" s="4">
        <v>0</v>
      </c>
      <c r="V404" s="4" t="s">
        <v>32</v>
      </c>
      <c r="W404" s="4" t="s">
        <v>32</v>
      </c>
      <c r="X404" s="4" t="s">
        <v>32</v>
      </c>
      <c r="Y404" s="4" t="s">
        <v>32</v>
      </c>
      <c r="Z404" s="4" t="s">
        <v>32</v>
      </c>
      <c r="AA404" s="4" t="s">
        <v>32</v>
      </c>
    </row>
    <row r="405" s="4" customFormat="1" spans="1:27">
      <c r="A405" s="4" t="s">
        <v>106</v>
      </c>
      <c r="B405" s="4" t="s">
        <v>28</v>
      </c>
      <c r="C405" s="4">
        <v>22351927</v>
      </c>
      <c r="D405" s="19">
        <v>254721445299</v>
      </c>
      <c r="E405" s="21">
        <v>46122.1964930556</v>
      </c>
      <c r="F405" s="4">
        <v>344.51</v>
      </c>
      <c r="G405" s="4">
        <v>0</v>
      </c>
      <c r="H405" s="4">
        <v>344.51</v>
      </c>
      <c r="I405" s="4">
        <v>1.88</v>
      </c>
      <c r="J405" s="4">
        <v>0</v>
      </c>
      <c r="K405" s="4">
        <v>1.88</v>
      </c>
      <c r="L405" s="4">
        <v>57.14</v>
      </c>
      <c r="M405" s="4">
        <v>7600</v>
      </c>
      <c r="N405" s="4">
        <v>54.29</v>
      </c>
      <c r="O405" s="4">
        <v>7220</v>
      </c>
      <c r="P405" s="4" t="s">
        <v>34</v>
      </c>
      <c r="Q405" s="4" t="s">
        <v>30</v>
      </c>
      <c r="R405" s="4" t="s">
        <v>164</v>
      </c>
      <c r="S405" s="4">
        <v>0</v>
      </c>
      <c r="T405" s="4">
        <v>380</v>
      </c>
      <c r="U405" s="4">
        <v>0</v>
      </c>
      <c r="V405" s="4" t="s">
        <v>32</v>
      </c>
      <c r="W405" s="4" t="s">
        <v>32</v>
      </c>
      <c r="X405" s="4" t="s">
        <v>32</v>
      </c>
      <c r="Y405" s="4" t="s">
        <v>32</v>
      </c>
      <c r="Z405" s="4" t="s">
        <v>32</v>
      </c>
      <c r="AA405" s="4" t="s">
        <v>32</v>
      </c>
    </row>
    <row r="406" s="4" customFormat="1" spans="1:27">
      <c r="A406" s="4" t="s">
        <v>106</v>
      </c>
      <c r="B406" s="4" t="s">
        <v>28</v>
      </c>
      <c r="C406" s="4">
        <v>1064699</v>
      </c>
      <c r="D406" s="19">
        <v>254722207920</v>
      </c>
      <c r="E406" s="21">
        <v>43995.7589467593</v>
      </c>
      <c r="F406" s="4">
        <v>13564.26</v>
      </c>
      <c r="G406" s="4">
        <v>0</v>
      </c>
      <c r="H406" s="4">
        <v>13564.26</v>
      </c>
      <c r="I406" s="4">
        <v>970.52</v>
      </c>
      <c r="J406" s="4">
        <v>0</v>
      </c>
      <c r="K406" s="4">
        <v>970.52</v>
      </c>
      <c r="L406" s="4">
        <v>3093.61</v>
      </c>
      <c r="M406" s="4">
        <v>411450</v>
      </c>
      <c r="N406" s="4">
        <v>432</v>
      </c>
      <c r="O406" s="4">
        <v>57456</v>
      </c>
      <c r="P406" s="4" t="s">
        <v>29</v>
      </c>
      <c r="Q406" s="4" t="s">
        <v>33</v>
      </c>
      <c r="R406" s="4" t="s">
        <v>164</v>
      </c>
      <c r="S406" s="4">
        <v>0</v>
      </c>
      <c r="T406" s="4">
        <v>20570</v>
      </c>
      <c r="U406" s="4">
        <v>0</v>
      </c>
      <c r="V406" s="4" t="s">
        <v>32</v>
      </c>
      <c r="W406" s="4" t="s">
        <v>32</v>
      </c>
      <c r="X406" s="4" t="s">
        <v>32</v>
      </c>
      <c r="Y406" s="4" t="s">
        <v>32</v>
      </c>
      <c r="Z406" s="4" t="s">
        <v>32</v>
      </c>
      <c r="AA406" s="4" t="s">
        <v>32</v>
      </c>
    </row>
    <row r="407" s="4" customFormat="1" spans="1:27">
      <c r="A407" s="4" t="s">
        <v>106</v>
      </c>
      <c r="B407" s="4" t="s">
        <v>28</v>
      </c>
      <c r="C407" s="4">
        <v>1668818</v>
      </c>
      <c r="D407" s="19">
        <v>254722586989</v>
      </c>
      <c r="E407" s="21">
        <v>44008.4918171296</v>
      </c>
      <c r="F407" s="4">
        <v>295.08</v>
      </c>
      <c r="G407" s="4">
        <v>0</v>
      </c>
      <c r="H407" s="4">
        <v>295.08</v>
      </c>
      <c r="I407" s="4">
        <v>7.12</v>
      </c>
      <c r="J407" s="4">
        <v>0</v>
      </c>
      <c r="K407" s="4">
        <v>7.12</v>
      </c>
      <c r="L407" s="4">
        <v>62.33</v>
      </c>
      <c r="M407" s="4">
        <v>8290</v>
      </c>
      <c r="N407" s="4">
        <v>44.21</v>
      </c>
      <c r="O407" s="4">
        <v>5880.5</v>
      </c>
      <c r="P407" s="4" t="s">
        <v>29</v>
      </c>
      <c r="Q407" s="4" t="s">
        <v>30</v>
      </c>
      <c r="R407" s="4" t="s">
        <v>164</v>
      </c>
      <c r="S407" s="4">
        <v>0</v>
      </c>
      <c r="T407" s="4">
        <v>410</v>
      </c>
      <c r="U407" s="4">
        <v>0</v>
      </c>
      <c r="V407" s="4" t="s">
        <v>32</v>
      </c>
      <c r="W407" s="4" t="s">
        <v>32</v>
      </c>
      <c r="X407" s="4" t="s">
        <v>32</v>
      </c>
      <c r="Y407" s="4" t="s">
        <v>32</v>
      </c>
      <c r="Z407" s="4" t="s">
        <v>32</v>
      </c>
      <c r="AA407" s="4" t="s">
        <v>32</v>
      </c>
    </row>
    <row r="408" s="4" customFormat="1" spans="1:27">
      <c r="A408" s="4" t="s">
        <v>106</v>
      </c>
      <c r="B408" s="4" t="s">
        <v>28</v>
      </c>
      <c r="C408" s="4">
        <v>10532186</v>
      </c>
      <c r="D408" s="19">
        <v>254722607267</v>
      </c>
      <c r="E408" s="21">
        <v>45166.814224537</v>
      </c>
      <c r="F408" s="4">
        <v>841.44</v>
      </c>
      <c r="G408" s="4">
        <v>0.38</v>
      </c>
      <c r="H408" s="4">
        <v>841.06</v>
      </c>
      <c r="I408" s="4">
        <v>62.72</v>
      </c>
      <c r="J408" s="4">
        <v>0.38</v>
      </c>
      <c r="K408" s="4">
        <v>62.34</v>
      </c>
      <c r="L408" s="4">
        <v>167.22</v>
      </c>
      <c r="M408" s="4">
        <v>22240</v>
      </c>
      <c r="N408" s="4">
        <v>103.57</v>
      </c>
      <c r="O408" s="4">
        <v>13775</v>
      </c>
      <c r="P408" s="4" t="s">
        <v>34</v>
      </c>
      <c r="Q408" s="4" t="s">
        <v>30</v>
      </c>
      <c r="R408" s="4" t="s">
        <v>164</v>
      </c>
      <c r="S408" s="4">
        <v>0</v>
      </c>
      <c r="T408" s="4">
        <v>1110</v>
      </c>
      <c r="U408" s="4">
        <v>0</v>
      </c>
      <c r="V408" s="4" t="s">
        <v>32</v>
      </c>
      <c r="W408" s="4" t="s">
        <v>32</v>
      </c>
      <c r="X408" s="4" t="s">
        <v>32</v>
      </c>
      <c r="Y408" s="4" t="s">
        <v>32</v>
      </c>
      <c r="Z408" s="4" t="s">
        <v>32</v>
      </c>
      <c r="AA408" s="4" t="s">
        <v>32</v>
      </c>
    </row>
    <row r="409" s="4" customFormat="1" spans="1:27">
      <c r="A409" s="4" t="s">
        <v>106</v>
      </c>
      <c r="B409" s="4" t="s">
        <v>28</v>
      </c>
      <c r="C409" s="4">
        <v>807789</v>
      </c>
      <c r="D409" s="19">
        <v>254722883566</v>
      </c>
      <c r="E409" s="21">
        <v>43963.7882175926</v>
      </c>
      <c r="F409" s="4">
        <v>379.65</v>
      </c>
      <c r="G409" s="4">
        <v>0</v>
      </c>
      <c r="H409" s="4">
        <v>379.65</v>
      </c>
      <c r="I409" s="4">
        <v>53.27</v>
      </c>
      <c r="J409" s="4">
        <v>0</v>
      </c>
      <c r="K409" s="4">
        <v>53.27</v>
      </c>
      <c r="L409" s="4">
        <v>135.77</v>
      </c>
      <c r="M409" s="4">
        <v>18058</v>
      </c>
      <c r="N409" s="4">
        <v>14.64</v>
      </c>
      <c r="O409" s="4">
        <v>1946.55</v>
      </c>
      <c r="P409" s="4" t="s">
        <v>34</v>
      </c>
      <c r="Q409" s="4" t="s">
        <v>30</v>
      </c>
      <c r="R409" s="4" t="s">
        <v>164</v>
      </c>
      <c r="S409" s="4">
        <v>0</v>
      </c>
      <c r="T409" s="4">
        <v>900</v>
      </c>
      <c r="U409" s="4">
        <v>0</v>
      </c>
      <c r="V409" s="4" t="s">
        <v>32</v>
      </c>
      <c r="W409" s="4" t="s">
        <v>32</v>
      </c>
      <c r="X409" s="4" t="s">
        <v>32</v>
      </c>
      <c r="Y409" s="4" t="s">
        <v>32</v>
      </c>
      <c r="Z409" s="4" t="s">
        <v>32</v>
      </c>
      <c r="AA409" s="4" t="s">
        <v>32</v>
      </c>
    </row>
    <row r="410" s="4" customFormat="1" spans="1:27">
      <c r="A410" s="4" t="s">
        <v>106</v>
      </c>
      <c r="B410" s="4" t="s">
        <v>28</v>
      </c>
      <c r="C410" s="4">
        <v>18984156</v>
      </c>
      <c r="D410" s="19">
        <v>254724243294</v>
      </c>
      <c r="E410" s="21">
        <v>45946.7764467593</v>
      </c>
      <c r="F410" s="4">
        <v>1001.54</v>
      </c>
      <c r="G410" s="4">
        <v>0</v>
      </c>
      <c r="H410" s="4">
        <v>1001.54</v>
      </c>
      <c r="I410" s="4">
        <v>59.05</v>
      </c>
      <c r="J410" s="4">
        <v>0</v>
      </c>
      <c r="K410" s="4">
        <v>59.05</v>
      </c>
      <c r="L410" s="4">
        <v>89.19</v>
      </c>
      <c r="M410" s="4">
        <v>11862</v>
      </c>
      <c r="N410" s="4">
        <v>83.27</v>
      </c>
      <c r="O410" s="4">
        <v>11075.1</v>
      </c>
      <c r="P410" s="4" t="s">
        <v>29</v>
      </c>
      <c r="Q410" s="4" t="s">
        <v>30</v>
      </c>
      <c r="R410" s="4" t="s">
        <v>164</v>
      </c>
      <c r="S410" s="4">
        <v>0</v>
      </c>
      <c r="T410" s="4">
        <v>590</v>
      </c>
      <c r="U410" s="4">
        <v>0</v>
      </c>
      <c r="V410" s="4" t="s">
        <v>32</v>
      </c>
      <c r="W410" s="4" t="s">
        <v>32</v>
      </c>
      <c r="X410" s="4" t="s">
        <v>32</v>
      </c>
      <c r="Y410" s="4" t="s">
        <v>32</v>
      </c>
      <c r="Z410" s="4" t="s">
        <v>32</v>
      </c>
      <c r="AA410" s="4" t="s">
        <v>32</v>
      </c>
    </row>
    <row r="411" s="4" customFormat="1" spans="1:27">
      <c r="A411" s="4" t="s">
        <v>106</v>
      </c>
      <c r="B411" s="4" t="s">
        <v>28</v>
      </c>
      <c r="C411" s="4">
        <v>155346</v>
      </c>
      <c r="D411" s="19">
        <v>254724647993</v>
      </c>
      <c r="E411" s="21">
        <v>43909.2146527778</v>
      </c>
      <c r="F411" s="4">
        <v>1033.3</v>
      </c>
      <c r="G411" s="4">
        <v>16.98</v>
      </c>
      <c r="H411" s="4">
        <v>1016.32</v>
      </c>
      <c r="I411" s="4">
        <v>129.03</v>
      </c>
      <c r="J411" s="4">
        <v>16.91</v>
      </c>
      <c r="K411" s="4">
        <v>112.12</v>
      </c>
      <c r="L411" s="4">
        <v>302.52</v>
      </c>
      <c r="M411" s="4">
        <v>40235</v>
      </c>
      <c r="N411" s="4">
        <v>248.21</v>
      </c>
      <c r="O411" s="4">
        <v>33012.5</v>
      </c>
      <c r="P411" s="4" t="s">
        <v>34</v>
      </c>
      <c r="Q411" s="4" t="s">
        <v>30</v>
      </c>
      <c r="R411" s="4" t="s">
        <v>164</v>
      </c>
      <c r="S411" s="4">
        <v>0</v>
      </c>
      <c r="T411" s="4">
        <v>2010</v>
      </c>
      <c r="U411" s="4">
        <v>0</v>
      </c>
      <c r="V411" s="4" t="s">
        <v>32</v>
      </c>
      <c r="W411" s="4" t="s">
        <v>32</v>
      </c>
      <c r="X411" s="4" t="s">
        <v>32</v>
      </c>
      <c r="Y411" s="4" t="s">
        <v>32</v>
      </c>
      <c r="Z411" s="4" t="s">
        <v>32</v>
      </c>
      <c r="AA411" s="4" t="s">
        <v>32</v>
      </c>
    </row>
    <row r="412" s="4" customFormat="1" spans="1:27">
      <c r="A412" s="4" t="s">
        <v>106</v>
      </c>
      <c r="B412" s="4" t="s">
        <v>28</v>
      </c>
      <c r="C412" s="4">
        <v>2722898</v>
      </c>
      <c r="D412" s="19">
        <v>254724906390</v>
      </c>
      <c r="E412" s="21">
        <v>44106.724837963</v>
      </c>
      <c r="F412" s="4">
        <v>973.91</v>
      </c>
      <c r="G412" s="4">
        <v>112.61</v>
      </c>
      <c r="H412" s="4">
        <v>861.3</v>
      </c>
      <c r="I412" s="4">
        <v>188.48</v>
      </c>
      <c r="J412" s="4">
        <v>103.14</v>
      </c>
      <c r="K412" s="4">
        <v>85.34</v>
      </c>
      <c r="L412" s="4">
        <v>398.95</v>
      </c>
      <c r="M412" s="4">
        <v>53060</v>
      </c>
      <c r="N412" s="4">
        <v>36.75</v>
      </c>
      <c r="O412" s="4">
        <v>4887.75</v>
      </c>
      <c r="P412" s="4" t="s">
        <v>35</v>
      </c>
      <c r="Q412" s="4" t="s">
        <v>30</v>
      </c>
      <c r="R412" s="4" t="s">
        <v>164</v>
      </c>
      <c r="S412" s="4">
        <v>2000</v>
      </c>
      <c r="T412" s="4">
        <v>1325</v>
      </c>
      <c r="U412" s="4">
        <v>0</v>
      </c>
      <c r="V412" s="4" t="s">
        <v>32</v>
      </c>
      <c r="W412" s="4" t="s">
        <v>32</v>
      </c>
      <c r="X412" s="4" t="s">
        <v>32</v>
      </c>
      <c r="Y412" s="4" t="s">
        <v>32</v>
      </c>
      <c r="Z412" s="4" t="s">
        <v>32</v>
      </c>
      <c r="AA412" s="4" t="s">
        <v>32</v>
      </c>
    </row>
    <row r="413" s="4" customFormat="1" spans="1:27">
      <c r="A413" s="4" t="s">
        <v>106</v>
      </c>
      <c r="B413" s="4" t="s">
        <v>28</v>
      </c>
      <c r="C413" s="4">
        <v>12957568</v>
      </c>
      <c r="D413" s="19">
        <v>254725542577</v>
      </c>
      <c r="E413" s="21">
        <v>45422.560625</v>
      </c>
      <c r="F413" s="4">
        <v>270.86</v>
      </c>
      <c r="G413" s="4">
        <v>0</v>
      </c>
      <c r="H413" s="4">
        <v>270.86</v>
      </c>
      <c r="I413" s="4">
        <v>42.57</v>
      </c>
      <c r="J413" s="4">
        <v>0</v>
      </c>
      <c r="K413" s="4">
        <v>42.57</v>
      </c>
      <c r="L413" s="4">
        <v>56.36</v>
      </c>
      <c r="M413" s="4">
        <v>7496</v>
      </c>
      <c r="N413" s="4">
        <v>3.57</v>
      </c>
      <c r="O413" s="4">
        <v>475</v>
      </c>
      <c r="P413" s="4" t="s">
        <v>29</v>
      </c>
      <c r="Q413" s="4" t="s">
        <v>30</v>
      </c>
      <c r="R413" s="4" t="s">
        <v>164</v>
      </c>
      <c r="S413" s="4">
        <v>0</v>
      </c>
      <c r="T413" s="4">
        <v>370</v>
      </c>
      <c r="U413" s="4">
        <v>0</v>
      </c>
      <c r="V413" s="4" t="s">
        <v>32</v>
      </c>
      <c r="W413" s="4" t="s">
        <v>32</v>
      </c>
      <c r="X413" s="4" t="s">
        <v>32</v>
      </c>
      <c r="Y413" s="4" t="s">
        <v>32</v>
      </c>
      <c r="Z413" s="4" t="s">
        <v>32</v>
      </c>
      <c r="AA413" s="4" t="s">
        <v>32</v>
      </c>
    </row>
    <row r="414" s="4" customFormat="1" spans="1:27">
      <c r="A414" s="4" t="s">
        <v>106</v>
      </c>
      <c r="B414" s="4" t="s">
        <v>28</v>
      </c>
      <c r="C414" s="4">
        <v>13206176</v>
      </c>
      <c r="D414" s="19">
        <v>254725768719</v>
      </c>
      <c r="E414" s="21">
        <v>45465.5869791667</v>
      </c>
      <c r="F414" s="4">
        <v>842.33</v>
      </c>
      <c r="G414" s="4">
        <v>0.21</v>
      </c>
      <c r="H414" s="4">
        <v>842.12</v>
      </c>
      <c r="I414" s="4">
        <v>93.31</v>
      </c>
      <c r="J414" s="4">
        <v>0.21</v>
      </c>
      <c r="K414" s="4">
        <v>93.1</v>
      </c>
      <c r="L414" s="4">
        <v>272.72</v>
      </c>
      <c r="M414" s="4">
        <v>36272</v>
      </c>
      <c r="N414" s="4">
        <v>115.14</v>
      </c>
      <c r="O414" s="4">
        <v>15314</v>
      </c>
      <c r="P414" s="4" t="s">
        <v>34</v>
      </c>
      <c r="Q414" s="4" t="s">
        <v>30</v>
      </c>
      <c r="R414" s="4" t="s">
        <v>164</v>
      </c>
      <c r="S414" s="4">
        <v>0</v>
      </c>
      <c r="T414" s="4">
        <v>1810</v>
      </c>
      <c r="U414" s="4">
        <v>0</v>
      </c>
      <c r="V414" s="4" t="s">
        <v>32</v>
      </c>
      <c r="W414" s="4" t="s">
        <v>32</v>
      </c>
      <c r="X414" s="4" t="s">
        <v>32</v>
      </c>
      <c r="Y414" s="4" t="s">
        <v>32</v>
      </c>
      <c r="Z414" s="4" t="s">
        <v>32</v>
      </c>
      <c r="AA414" s="4" t="s">
        <v>32</v>
      </c>
    </row>
    <row r="415" s="4" customFormat="1" spans="1:27">
      <c r="A415" s="4" t="s">
        <v>106</v>
      </c>
      <c r="B415" s="4" t="s">
        <v>28</v>
      </c>
      <c r="C415" s="4">
        <v>16935977</v>
      </c>
      <c r="D415" s="19">
        <v>254726203784</v>
      </c>
      <c r="E415" s="21">
        <v>45816.99875</v>
      </c>
      <c r="F415" s="4">
        <v>533.44</v>
      </c>
      <c r="G415" s="4">
        <v>0.01</v>
      </c>
      <c r="H415" s="4">
        <v>533.43</v>
      </c>
      <c r="I415" s="4">
        <v>51.54</v>
      </c>
      <c r="J415" s="4">
        <v>0.01</v>
      </c>
      <c r="K415" s="4">
        <v>51.53</v>
      </c>
      <c r="L415" s="4">
        <v>63.09</v>
      </c>
      <c r="M415" s="4">
        <v>8391</v>
      </c>
      <c r="N415" s="4">
        <v>4.93</v>
      </c>
      <c r="O415" s="4">
        <v>655.5</v>
      </c>
      <c r="P415" s="4" t="s">
        <v>34</v>
      </c>
      <c r="Q415" s="4" t="s">
        <v>30</v>
      </c>
      <c r="R415" s="4" t="s">
        <v>164</v>
      </c>
      <c r="S415" s="4">
        <v>0</v>
      </c>
      <c r="T415" s="4">
        <v>420</v>
      </c>
      <c r="U415" s="4">
        <v>0</v>
      </c>
      <c r="V415" s="4" t="s">
        <v>32</v>
      </c>
      <c r="W415" s="4" t="s">
        <v>32</v>
      </c>
      <c r="X415" s="4" t="s">
        <v>32</v>
      </c>
      <c r="Y415" s="4" t="s">
        <v>32</v>
      </c>
      <c r="Z415" s="4" t="s">
        <v>32</v>
      </c>
      <c r="AA415" s="4" t="s">
        <v>32</v>
      </c>
    </row>
    <row r="416" s="4" customFormat="1" spans="1:27">
      <c r="A416" s="4" t="s">
        <v>106</v>
      </c>
      <c r="B416" s="4" t="s">
        <v>28</v>
      </c>
      <c r="C416" s="4">
        <v>2862549</v>
      </c>
      <c r="D416" s="19">
        <v>254726590413</v>
      </c>
      <c r="E416" s="21">
        <v>44119.7022685185</v>
      </c>
      <c r="F416" s="4">
        <v>655.9</v>
      </c>
      <c r="G416" s="4">
        <v>0</v>
      </c>
      <c r="H416" s="4">
        <v>655.9</v>
      </c>
      <c r="I416" s="4">
        <v>6.86</v>
      </c>
      <c r="J416" s="4">
        <v>0</v>
      </c>
      <c r="K416" s="4">
        <v>6.86</v>
      </c>
      <c r="L416" s="4">
        <v>98.8</v>
      </c>
      <c r="M416" s="4">
        <v>13140</v>
      </c>
      <c r="N416" s="4">
        <v>93.86</v>
      </c>
      <c r="O416" s="4">
        <v>12483</v>
      </c>
      <c r="P416" s="4" t="s">
        <v>34</v>
      </c>
      <c r="Q416" s="4" t="s">
        <v>30</v>
      </c>
      <c r="R416" s="4" t="s">
        <v>164</v>
      </c>
      <c r="S416" s="4">
        <v>0</v>
      </c>
      <c r="T416" s="4">
        <v>660</v>
      </c>
      <c r="U416" s="4">
        <v>0</v>
      </c>
      <c r="V416" s="4" t="s">
        <v>32</v>
      </c>
      <c r="W416" s="4" t="s">
        <v>32</v>
      </c>
      <c r="X416" s="4" t="s">
        <v>32</v>
      </c>
      <c r="Y416" s="4" t="s">
        <v>32</v>
      </c>
      <c r="Z416" s="4" t="s">
        <v>32</v>
      </c>
      <c r="AA416" s="4" t="s">
        <v>32</v>
      </c>
    </row>
    <row r="417" s="4" customFormat="1" spans="1:27">
      <c r="A417" s="4" t="s">
        <v>106</v>
      </c>
      <c r="B417" s="4" t="s">
        <v>28</v>
      </c>
      <c r="C417" s="4">
        <v>372119</v>
      </c>
      <c r="D417" s="19">
        <v>254726654069</v>
      </c>
      <c r="E417" s="21">
        <v>43919.1760300926</v>
      </c>
      <c r="F417" s="4">
        <v>1426.55</v>
      </c>
      <c r="G417" s="4">
        <v>0.11</v>
      </c>
      <c r="H417" s="4">
        <v>1426.06</v>
      </c>
      <c r="I417" s="4">
        <v>132.7</v>
      </c>
      <c r="J417" s="4">
        <v>0.11</v>
      </c>
      <c r="K417" s="4">
        <v>133.34</v>
      </c>
      <c r="L417" s="4">
        <v>265.43</v>
      </c>
      <c r="M417" s="4">
        <v>35302</v>
      </c>
      <c r="N417" s="4">
        <v>0.37</v>
      </c>
      <c r="O417" s="4">
        <v>49.4</v>
      </c>
      <c r="P417" s="4" t="s">
        <v>34</v>
      </c>
      <c r="Q417" s="4" t="s">
        <v>30</v>
      </c>
      <c r="R417" s="4" t="s">
        <v>164</v>
      </c>
      <c r="S417" s="4">
        <v>0</v>
      </c>
      <c r="T417" s="4">
        <v>1770</v>
      </c>
      <c r="U417" s="4">
        <v>0</v>
      </c>
      <c r="V417" s="4" t="s">
        <v>32</v>
      </c>
      <c r="W417" s="4" t="s">
        <v>32</v>
      </c>
      <c r="X417" s="4" t="s">
        <v>32</v>
      </c>
      <c r="Y417" s="4" t="s">
        <v>32</v>
      </c>
      <c r="Z417" s="4" t="s">
        <v>32</v>
      </c>
      <c r="AA417" s="4" t="s">
        <v>32</v>
      </c>
    </row>
    <row r="418" s="4" customFormat="1" spans="1:27">
      <c r="A418" s="4" t="s">
        <v>106</v>
      </c>
      <c r="B418" s="4" t="s">
        <v>28</v>
      </c>
      <c r="C418" s="4">
        <v>10514266</v>
      </c>
      <c r="D418" s="19">
        <v>254727221477</v>
      </c>
      <c r="E418" s="21">
        <v>45163.8424768519</v>
      </c>
      <c r="F418" s="4">
        <v>3640.03</v>
      </c>
      <c r="G418" s="4">
        <v>15.95</v>
      </c>
      <c r="H418" s="4">
        <v>3624.08</v>
      </c>
      <c r="I418" s="4">
        <v>640.74</v>
      </c>
      <c r="J418" s="4">
        <v>15.95</v>
      </c>
      <c r="K418" s="4">
        <v>625.54</v>
      </c>
      <c r="L418" s="4">
        <v>699.99</v>
      </c>
      <c r="M418" s="4">
        <v>93099</v>
      </c>
      <c r="N418" s="4">
        <v>254.64</v>
      </c>
      <c r="O418" s="4">
        <v>33867.5</v>
      </c>
      <c r="P418" s="4" t="s">
        <v>34</v>
      </c>
      <c r="Q418" s="4" t="s">
        <v>30</v>
      </c>
      <c r="R418" s="4" t="s">
        <v>164</v>
      </c>
      <c r="S418" s="4">
        <v>0</v>
      </c>
      <c r="T418" s="4">
        <v>4650</v>
      </c>
      <c r="U418" s="4">
        <v>0</v>
      </c>
      <c r="V418" s="4" t="s">
        <v>32</v>
      </c>
      <c r="W418" s="4" t="s">
        <v>32</v>
      </c>
      <c r="X418" s="4" t="s">
        <v>32</v>
      </c>
      <c r="Y418" s="4" t="s">
        <v>32</v>
      </c>
      <c r="Z418" s="4" t="s">
        <v>32</v>
      </c>
      <c r="AA418" s="4" t="s">
        <v>32</v>
      </c>
    </row>
    <row r="419" s="4" customFormat="1" spans="1:27">
      <c r="A419" s="4" t="s">
        <v>106</v>
      </c>
      <c r="B419" s="4" t="s">
        <v>28</v>
      </c>
      <c r="C419" s="4">
        <v>7032877</v>
      </c>
      <c r="D419" s="19">
        <v>254727366552</v>
      </c>
      <c r="E419" s="21">
        <v>44628.7754398148</v>
      </c>
      <c r="F419" s="4">
        <v>517.48</v>
      </c>
      <c r="G419" s="4">
        <v>0.99</v>
      </c>
      <c r="H419" s="4">
        <v>516.49</v>
      </c>
      <c r="I419" s="4">
        <v>-38.23</v>
      </c>
      <c r="J419" s="4">
        <v>0.99</v>
      </c>
      <c r="K419" s="4">
        <v>-39.22</v>
      </c>
      <c r="L419" s="4">
        <v>134.1</v>
      </c>
      <c r="M419" s="4">
        <v>17835</v>
      </c>
      <c r="N419" s="4">
        <v>5.52</v>
      </c>
      <c r="O419" s="4">
        <v>734.35</v>
      </c>
      <c r="P419" s="4" t="s">
        <v>29</v>
      </c>
      <c r="Q419" s="4" t="s">
        <v>30</v>
      </c>
      <c r="R419" s="4" t="s">
        <v>164</v>
      </c>
      <c r="S419" s="4">
        <v>0</v>
      </c>
      <c r="T419" s="4">
        <v>890</v>
      </c>
      <c r="U419" s="4">
        <v>0</v>
      </c>
      <c r="V419" s="4" t="s">
        <v>32</v>
      </c>
      <c r="W419" s="4" t="s">
        <v>32</v>
      </c>
      <c r="X419" s="4" t="s">
        <v>32</v>
      </c>
      <c r="Y419" s="4" t="s">
        <v>32</v>
      </c>
      <c r="Z419" s="4" t="s">
        <v>32</v>
      </c>
      <c r="AA419" s="4" t="s">
        <v>32</v>
      </c>
    </row>
    <row r="420" s="4" customFormat="1" spans="1:27">
      <c r="A420" s="4" t="s">
        <v>106</v>
      </c>
      <c r="B420" s="4" t="s">
        <v>28</v>
      </c>
      <c r="C420" s="4">
        <v>18694226</v>
      </c>
      <c r="D420" s="19">
        <v>254727813284</v>
      </c>
      <c r="E420" s="21">
        <v>45927.6869444445</v>
      </c>
      <c r="F420" s="4">
        <v>2523.56</v>
      </c>
      <c r="G420" s="4">
        <v>0</v>
      </c>
      <c r="H420" s="4">
        <v>2523.56</v>
      </c>
      <c r="I420" s="4">
        <v>-5.95</v>
      </c>
      <c r="J420" s="4">
        <v>0</v>
      </c>
      <c r="K420" s="4">
        <v>-5.95</v>
      </c>
      <c r="L420" s="4">
        <v>417.59</v>
      </c>
      <c r="M420" s="4">
        <v>55539</v>
      </c>
      <c r="N420" s="4">
        <v>241</v>
      </c>
      <c r="O420" s="4">
        <v>32053</v>
      </c>
      <c r="P420" s="4" t="s">
        <v>34</v>
      </c>
      <c r="Q420" s="4" t="s">
        <v>30</v>
      </c>
      <c r="R420" s="4" t="s">
        <v>164</v>
      </c>
      <c r="S420" s="4">
        <v>0</v>
      </c>
      <c r="T420" s="4">
        <v>2780</v>
      </c>
      <c r="U420" s="4">
        <v>0</v>
      </c>
      <c r="V420" s="4" t="s">
        <v>32</v>
      </c>
      <c r="W420" s="4" t="s">
        <v>32</v>
      </c>
      <c r="X420" s="4" t="s">
        <v>32</v>
      </c>
      <c r="Y420" s="4" t="s">
        <v>32</v>
      </c>
      <c r="Z420" s="4" t="s">
        <v>32</v>
      </c>
      <c r="AA420" s="4" t="s">
        <v>32</v>
      </c>
    </row>
    <row r="421" s="4" customFormat="1" spans="1:27">
      <c r="A421" s="4" t="s">
        <v>106</v>
      </c>
      <c r="B421" s="4" t="s">
        <v>28</v>
      </c>
      <c r="C421" s="4">
        <v>19955929</v>
      </c>
      <c r="D421" s="19">
        <v>254728234091</v>
      </c>
      <c r="E421" s="21">
        <v>45998.5171875</v>
      </c>
      <c r="F421" s="4">
        <v>361.4</v>
      </c>
      <c r="G421" s="4">
        <v>0.3</v>
      </c>
      <c r="H421" s="4">
        <v>361.1</v>
      </c>
      <c r="I421" s="4">
        <v>-7.28</v>
      </c>
      <c r="J421" s="4">
        <v>0.3</v>
      </c>
      <c r="K421" s="4">
        <v>-7.58</v>
      </c>
      <c r="L421" s="4">
        <v>59.02</v>
      </c>
      <c r="M421" s="4">
        <v>7849</v>
      </c>
      <c r="N421" s="4">
        <v>27.46</v>
      </c>
      <c r="O421" s="4">
        <v>3651.8</v>
      </c>
      <c r="P421" s="4" t="s">
        <v>29</v>
      </c>
      <c r="Q421" s="4" t="s">
        <v>30</v>
      </c>
      <c r="R421" s="4" t="s">
        <v>164</v>
      </c>
      <c r="S421" s="4">
        <v>0</v>
      </c>
      <c r="T421" s="4">
        <v>390</v>
      </c>
      <c r="U421" s="4">
        <v>0</v>
      </c>
      <c r="V421" s="4" t="s">
        <v>32</v>
      </c>
      <c r="W421" s="4" t="s">
        <v>32</v>
      </c>
      <c r="X421" s="4" t="s">
        <v>32</v>
      </c>
      <c r="Y421" s="4" t="s">
        <v>32</v>
      </c>
      <c r="Z421" s="4" t="s">
        <v>32</v>
      </c>
      <c r="AA421" s="4" t="s">
        <v>32</v>
      </c>
    </row>
    <row r="422" s="4" customFormat="1" spans="1:27">
      <c r="A422" s="4" t="s">
        <v>106</v>
      </c>
      <c r="B422" s="4" t="s">
        <v>28</v>
      </c>
      <c r="C422" s="4">
        <v>19530698</v>
      </c>
      <c r="D422" s="19">
        <v>254728583614</v>
      </c>
      <c r="E422" s="21">
        <v>45978.5732523148</v>
      </c>
      <c r="F422" s="4">
        <v>272.21</v>
      </c>
      <c r="G422" s="4">
        <v>0.68</v>
      </c>
      <c r="H422" s="4">
        <v>271.52</v>
      </c>
      <c r="I422" s="4">
        <v>-2.44</v>
      </c>
      <c r="J422" s="4">
        <v>0.21</v>
      </c>
      <c r="K422" s="4">
        <v>-2.65</v>
      </c>
      <c r="L422" s="4">
        <v>55.07</v>
      </c>
      <c r="M422" s="4">
        <v>7324</v>
      </c>
      <c r="N422" s="4">
        <v>3.76</v>
      </c>
      <c r="O422" s="4">
        <v>500.65</v>
      </c>
      <c r="P422" s="4" t="s">
        <v>34</v>
      </c>
      <c r="Q422" s="4" t="s">
        <v>30</v>
      </c>
      <c r="R422" s="4" t="s">
        <v>164</v>
      </c>
      <c r="S422" s="4">
        <v>0</v>
      </c>
      <c r="T422" s="4">
        <v>370</v>
      </c>
      <c r="U422" s="4">
        <v>0</v>
      </c>
      <c r="V422" s="4" t="s">
        <v>32</v>
      </c>
      <c r="W422" s="4" t="s">
        <v>32</v>
      </c>
      <c r="X422" s="4" t="s">
        <v>32</v>
      </c>
      <c r="Y422" s="4" t="s">
        <v>32</v>
      </c>
      <c r="Z422" s="4" t="s">
        <v>32</v>
      </c>
      <c r="AA422" s="4" t="s">
        <v>32</v>
      </c>
    </row>
    <row r="423" s="4" customFormat="1" spans="1:27">
      <c r="A423" s="4" t="s">
        <v>106</v>
      </c>
      <c r="B423" s="4" t="s">
        <v>28</v>
      </c>
      <c r="C423" s="4">
        <v>689056</v>
      </c>
      <c r="D423" s="19">
        <v>254729980427</v>
      </c>
      <c r="E423" s="21">
        <v>43939.1660185185</v>
      </c>
      <c r="F423" s="4">
        <v>654.48</v>
      </c>
      <c r="G423" s="4">
        <v>0.05</v>
      </c>
      <c r="H423" s="4">
        <v>654.43</v>
      </c>
      <c r="I423" s="4">
        <v>-19</v>
      </c>
      <c r="J423" s="4">
        <v>0.05</v>
      </c>
      <c r="K423" s="4">
        <v>-19.04</v>
      </c>
      <c r="L423" s="4">
        <v>116.29</v>
      </c>
      <c r="M423" s="4">
        <v>15467</v>
      </c>
      <c r="N423" s="4">
        <v>2.63</v>
      </c>
      <c r="O423" s="4">
        <v>349.6</v>
      </c>
      <c r="P423" s="4" t="s">
        <v>34</v>
      </c>
      <c r="Q423" s="4" t="s">
        <v>30</v>
      </c>
      <c r="R423" s="4" t="s">
        <v>164</v>
      </c>
      <c r="S423" s="4">
        <v>0</v>
      </c>
      <c r="T423" s="4">
        <v>770</v>
      </c>
      <c r="U423" s="4">
        <v>0</v>
      </c>
      <c r="V423" s="4" t="s">
        <v>32</v>
      </c>
      <c r="W423" s="4" t="s">
        <v>32</v>
      </c>
      <c r="X423" s="4" t="s">
        <v>32</v>
      </c>
      <c r="Y423" s="4" t="s">
        <v>32</v>
      </c>
      <c r="Z423" s="4" t="s">
        <v>32</v>
      </c>
      <c r="AA423" s="4" t="s">
        <v>32</v>
      </c>
    </row>
    <row r="424" s="4" customFormat="1" spans="1:27">
      <c r="A424" s="4" t="s">
        <v>106</v>
      </c>
      <c r="B424" s="4" t="s">
        <v>28</v>
      </c>
      <c r="C424" s="4">
        <v>21683698</v>
      </c>
      <c r="D424" s="19">
        <v>254737036369</v>
      </c>
      <c r="E424" s="21">
        <v>46084.7610763889</v>
      </c>
      <c r="F424" s="4">
        <v>151.01</v>
      </c>
      <c r="G424" s="4">
        <v>0.41</v>
      </c>
      <c r="H424" s="4">
        <v>150.61</v>
      </c>
      <c r="I424" s="4">
        <v>-5.31</v>
      </c>
      <c r="J424" s="4">
        <v>0.07</v>
      </c>
      <c r="K424" s="4">
        <v>-5.38</v>
      </c>
      <c r="L424" s="4">
        <v>58.69</v>
      </c>
      <c r="M424" s="4">
        <v>7806</v>
      </c>
      <c r="N424" s="4">
        <v>33.09</v>
      </c>
      <c r="O424" s="4">
        <v>4401.35</v>
      </c>
      <c r="P424" s="4" t="s">
        <v>34</v>
      </c>
      <c r="Q424" s="4" t="s">
        <v>30</v>
      </c>
      <c r="R424" s="4" t="s">
        <v>164</v>
      </c>
      <c r="S424" s="4">
        <v>0</v>
      </c>
      <c r="T424" s="4">
        <v>390</v>
      </c>
      <c r="U424" s="4">
        <v>0</v>
      </c>
      <c r="V424" s="4" t="s">
        <v>32</v>
      </c>
      <c r="W424" s="4" t="s">
        <v>32</v>
      </c>
      <c r="X424" s="4" t="s">
        <v>32</v>
      </c>
      <c r="Y424" s="4" t="s">
        <v>32</v>
      </c>
      <c r="Z424" s="4" t="s">
        <v>32</v>
      </c>
      <c r="AA424" s="4" t="s">
        <v>32</v>
      </c>
    </row>
    <row r="425" s="4" customFormat="1" spans="1:27">
      <c r="A425" s="4" t="s">
        <v>106</v>
      </c>
      <c r="B425" s="4" t="s">
        <v>28</v>
      </c>
      <c r="C425" s="4">
        <v>16961139</v>
      </c>
      <c r="D425" s="19">
        <v>254741043822</v>
      </c>
      <c r="E425" s="21">
        <v>45819.5284953704</v>
      </c>
      <c r="F425" s="4">
        <v>1388.95</v>
      </c>
      <c r="G425" s="4">
        <v>0</v>
      </c>
      <c r="H425" s="4">
        <v>1388.95</v>
      </c>
      <c r="I425" s="4">
        <v>27.49</v>
      </c>
      <c r="J425" s="4">
        <v>0</v>
      </c>
      <c r="K425" s="4">
        <v>27.49</v>
      </c>
      <c r="L425" s="4">
        <v>105.86</v>
      </c>
      <c r="M425" s="4">
        <v>14080</v>
      </c>
      <c r="N425" s="4">
        <v>64.89</v>
      </c>
      <c r="O425" s="4">
        <v>8630.75</v>
      </c>
      <c r="P425" s="4" t="s">
        <v>34</v>
      </c>
      <c r="Q425" s="4" t="s">
        <v>30</v>
      </c>
      <c r="R425" s="4" t="s">
        <v>164</v>
      </c>
      <c r="S425" s="4">
        <v>0</v>
      </c>
      <c r="T425" s="4">
        <v>700</v>
      </c>
      <c r="U425" s="4">
        <v>0</v>
      </c>
      <c r="V425" s="4" t="s">
        <v>32</v>
      </c>
      <c r="W425" s="4" t="s">
        <v>32</v>
      </c>
      <c r="X425" s="4" t="s">
        <v>32</v>
      </c>
      <c r="Y425" s="4" t="s">
        <v>32</v>
      </c>
      <c r="Z425" s="4" t="s">
        <v>32</v>
      </c>
      <c r="AA425" s="4" t="s">
        <v>32</v>
      </c>
    </row>
    <row r="426" s="4" customFormat="1" spans="1:27">
      <c r="A426" s="4" t="s">
        <v>106</v>
      </c>
      <c r="B426" s="4" t="s">
        <v>28</v>
      </c>
      <c r="C426" s="4">
        <v>16270206</v>
      </c>
      <c r="D426" s="19">
        <v>254741862937</v>
      </c>
      <c r="E426" s="21">
        <v>45763.2828819444</v>
      </c>
      <c r="F426" s="4">
        <v>331.35</v>
      </c>
      <c r="G426" s="4">
        <v>0</v>
      </c>
      <c r="H426" s="4">
        <v>331.35</v>
      </c>
      <c r="I426" s="4">
        <v>17.2</v>
      </c>
      <c r="J426" s="4">
        <v>0</v>
      </c>
      <c r="K426" s="4">
        <v>17.2</v>
      </c>
      <c r="L426" s="4">
        <v>186.03</v>
      </c>
      <c r="M426" s="4">
        <v>24742</v>
      </c>
      <c r="N426" s="4">
        <v>5.71</v>
      </c>
      <c r="O426" s="4">
        <v>760</v>
      </c>
      <c r="P426" s="4" t="s">
        <v>29</v>
      </c>
      <c r="Q426" s="4" t="s">
        <v>30</v>
      </c>
      <c r="R426" s="4" t="s">
        <v>164</v>
      </c>
      <c r="S426" s="4">
        <v>0</v>
      </c>
      <c r="T426" s="4">
        <v>1240</v>
      </c>
      <c r="U426" s="4">
        <v>0</v>
      </c>
      <c r="V426" s="4" t="s">
        <v>32</v>
      </c>
      <c r="W426" s="4" t="s">
        <v>32</v>
      </c>
      <c r="X426" s="4" t="s">
        <v>32</v>
      </c>
      <c r="Y426" s="4" t="s">
        <v>32</v>
      </c>
      <c r="Z426" s="4" t="s">
        <v>32</v>
      </c>
      <c r="AA426" s="4" t="s">
        <v>32</v>
      </c>
    </row>
    <row r="427" s="4" customFormat="1" spans="1:27">
      <c r="A427" s="4" t="s">
        <v>106</v>
      </c>
      <c r="B427" s="4" t="s">
        <v>28</v>
      </c>
      <c r="C427" s="4">
        <v>17580579</v>
      </c>
      <c r="D427" s="19">
        <v>254741921570</v>
      </c>
      <c r="E427" s="21">
        <v>45863.8310416667</v>
      </c>
      <c r="F427" s="4">
        <v>838.31</v>
      </c>
      <c r="G427" s="4">
        <v>0.36</v>
      </c>
      <c r="H427" s="4">
        <v>837.95</v>
      </c>
      <c r="I427" s="4">
        <v>46.54</v>
      </c>
      <c r="J427" s="4">
        <v>0.27</v>
      </c>
      <c r="K427" s="4">
        <v>46.27</v>
      </c>
      <c r="L427" s="4">
        <v>96.05</v>
      </c>
      <c r="M427" s="4">
        <v>12775</v>
      </c>
      <c r="N427" s="4">
        <v>83.99</v>
      </c>
      <c r="O427" s="4">
        <v>11171.05</v>
      </c>
      <c r="P427" s="4" t="s">
        <v>29</v>
      </c>
      <c r="Q427" s="4" t="s">
        <v>30</v>
      </c>
      <c r="R427" s="4" t="s">
        <v>164</v>
      </c>
      <c r="S427" s="4">
        <v>0</v>
      </c>
      <c r="T427" s="4">
        <v>640</v>
      </c>
      <c r="U427" s="4">
        <v>0</v>
      </c>
      <c r="V427" s="4" t="s">
        <v>32</v>
      </c>
      <c r="W427" s="4" t="s">
        <v>32</v>
      </c>
      <c r="X427" s="4" t="s">
        <v>32</v>
      </c>
      <c r="Y427" s="4" t="s">
        <v>32</v>
      </c>
      <c r="Z427" s="4" t="s">
        <v>32</v>
      </c>
      <c r="AA427" s="4" t="s">
        <v>32</v>
      </c>
    </row>
    <row r="428" s="4" customFormat="1" spans="1:27">
      <c r="A428" s="4" t="s">
        <v>106</v>
      </c>
      <c r="B428" s="4" t="s">
        <v>28</v>
      </c>
      <c r="C428" s="4">
        <v>151649</v>
      </c>
      <c r="D428" s="19">
        <v>254741955930</v>
      </c>
      <c r="E428" s="21">
        <v>43907.7986574074</v>
      </c>
      <c r="F428" s="4">
        <v>1218.43</v>
      </c>
      <c r="G428" s="4">
        <v>15.35</v>
      </c>
      <c r="H428" s="4">
        <v>1203.08</v>
      </c>
      <c r="I428" s="4">
        <v>3.47</v>
      </c>
      <c r="J428" s="4">
        <v>8.91</v>
      </c>
      <c r="K428" s="4">
        <v>-5.43</v>
      </c>
      <c r="L428" s="4">
        <v>112.32</v>
      </c>
      <c r="M428" s="4">
        <v>14938</v>
      </c>
      <c r="N428" s="4">
        <v>63.18</v>
      </c>
      <c r="O428" s="4">
        <v>8402.75</v>
      </c>
      <c r="P428" s="4" t="s">
        <v>34</v>
      </c>
      <c r="Q428" s="4" t="s">
        <v>30</v>
      </c>
      <c r="R428" s="4" t="s">
        <v>164</v>
      </c>
      <c r="S428" s="4">
        <v>0</v>
      </c>
      <c r="T428" s="4">
        <v>750</v>
      </c>
      <c r="U428" s="4">
        <v>0</v>
      </c>
      <c r="V428" s="4" t="s">
        <v>32</v>
      </c>
      <c r="W428" s="4" t="s">
        <v>32</v>
      </c>
      <c r="X428" s="4" t="s">
        <v>32</v>
      </c>
      <c r="Y428" s="4" t="s">
        <v>32</v>
      </c>
      <c r="Z428" s="4" t="s">
        <v>32</v>
      </c>
      <c r="AA428" s="4" t="s">
        <v>32</v>
      </c>
    </row>
    <row r="429" s="4" customFormat="1" spans="1:27">
      <c r="A429" s="4" t="s">
        <v>106</v>
      </c>
      <c r="B429" s="4" t="s">
        <v>28</v>
      </c>
      <c r="C429" s="4">
        <v>13405287</v>
      </c>
      <c r="D429" s="19">
        <v>254741989458</v>
      </c>
      <c r="E429" s="21">
        <v>45506.6692013889</v>
      </c>
      <c r="F429" s="4">
        <v>284.27</v>
      </c>
      <c r="G429" s="4">
        <v>0.44</v>
      </c>
      <c r="H429" s="4">
        <v>283.83</v>
      </c>
      <c r="I429" s="4">
        <v>31.82</v>
      </c>
      <c r="J429" s="4">
        <v>0.44</v>
      </c>
      <c r="K429" s="4">
        <v>31.37</v>
      </c>
      <c r="L429" s="4">
        <v>85.98</v>
      </c>
      <c r="M429" s="4">
        <v>11435</v>
      </c>
      <c r="N429" s="4">
        <v>10.5</v>
      </c>
      <c r="O429" s="4">
        <v>1396.5</v>
      </c>
      <c r="P429" s="4" t="s">
        <v>34</v>
      </c>
      <c r="Q429" s="4" t="s">
        <v>30</v>
      </c>
      <c r="R429" s="4" t="s">
        <v>164</v>
      </c>
      <c r="S429" s="4">
        <v>0</v>
      </c>
      <c r="T429" s="4">
        <v>570</v>
      </c>
      <c r="U429" s="4">
        <v>0</v>
      </c>
      <c r="V429" s="4" t="s">
        <v>32</v>
      </c>
      <c r="W429" s="4" t="s">
        <v>32</v>
      </c>
      <c r="X429" s="4" t="s">
        <v>32</v>
      </c>
      <c r="Y429" s="4" t="s">
        <v>32</v>
      </c>
      <c r="Z429" s="4" t="s">
        <v>32</v>
      </c>
      <c r="AA429" s="4" t="s">
        <v>32</v>
      </c>
    </row>
    <row r="430" s="4" customFormat="1" spans="1:27">
      <c r="A430" s="4" t="s">
        <v>106</v>
      </c>
      <c r="B430" s="4" t="s">
        <v>28</v>
      </c>
      <c r="C430" s="4">
        <v>618626</v>
      </c>
      <c r="D430" s="19">
        <v>254742176619</v>
      </c>
      <c r="E430" s="21">
        <v>43934.4495486111</v>
      </c>
      <c r="F430" s="4">
        <v>561.23</v>
      </c>
      <c r="G430" s="4">
        <v>0</v>
      </c>
      <c r="H430" s="4">
        <v>561.23</v>
      </c>
      <c r="I430" s="4">
        <v>10.42</v>
      </c>
      <c r="J430" s="4">
        <v>0</v>
      </c>
      <c r="K430" s="4">
        <v>10.42</v>
      </c>
      <c r="L430" s="4">
        <v>93.02</v>
      </c>
      <c r="M430" s="4">
        <v>12371</v>
      </c>
      <c r="N430" s="4">
        <v>8.03</v>
      </c>
      <c r="O430" s="4">
        <v>1067.8</v>
      </c>
      <c r="P430" s="4" t="s">
        <v>29</v>
      </c>
      <c r="Q430" s="4" t="s">
        <v>30</v>
      </c>
      <c r="R430" s="4" t="s">
        <v>164</v>
      </c>
      <c r="S430" s="4">
        <v>0</v>
      </c>
      <c r="T430" s="4">
        <v>620</v>
      </c>
      <c r="U430" s="4">
        <v>0</v>
      </c>
      <c r="V430" s="4" t="s">
        <v>32</v>
      </c>
      <c r="W430" s="4" t="s">
        <v>32</v>
      </c>
      <c r="X430" s="4" t="s">
        <v>32</v>
      </c>
      <c r="Y430" s="4" t="s">
        <v>32</v>
      </c>
      <c r="Z430" s="4" t="s">
        <v>32</v>
      </c>
      <c r="AA430" s="4" t="s">
        <v>32</v>
      </c>
    </row>
    <row r="431" s="4" customFormat="1" spans="1:27">
      <c r="A431" s="4" t="s">
        <v>106</v>
      </c>
      <c r="B431" s="4" t="s">
        <v>28</v>
      </c>
      <c r="C431" s="4">
        <v>12365466</v>
      </c>
      <c r="D431" s="19">
        <v>254745032967</v>
      </c>
      <c r="E431" s="21">
        <v>45347.4617013889</v>
      </c>
      <c r="F431" s="4">
        <v>1815.95</v>
      </c>
      <c r="G431" s="4">
        <v>0.2</v>
      </c>
      <c r="H431" s="4">
        <v>1815.75</v>
      </c>
      <c r="I431" s="4">
        <v>41.91</v>
      </c>
      <c r="J431" s="4">
        <v>0.2</v>
      </c>
      <c r="K431" s="4">
        <v>41.71</v>
      </c>
      <c r="L431" s="4">
        <v>191.8</v>
      </c>
      <c r="M431" s="4">
        <v>25510</v>
      </c>
      <c r="N431" s="4">
        <v>107.14</v>
      </c>
      <c r="O431" s="4">
        <v>14250</v>
      </c>
      <c r="P431" s="4" t="s">
        <v>29</v>
      </c>
      <c r="Q431" s="4" t="s">
        <v>30</v>
      </c>
      <c r="R431" s="4" t="s">
        <v>164</v>
      </c>
      <c r="S431" s="4">
        <v>0</v>
      </c>
      <c r="T431" s="4">
        <v>1280</v>
      </c>
      <c r="U431" s="4">
        <v>0</v>
      </c>
      <c r="V431" s="4" t="s">
        <v>32</v>
      </c>
      <c r="W431" s="4" t="s">
        <v>32</v>
      </c>
      <c r="X431" s="4" t="s">
        <v>32</v>
      </c>
      <c r="Y431" s="4" t="s">
        <v>32</v>
      </c>
      <c r="Z431" s="4" t="s">
        <v>32</v>
      </c>
      <c r="AA431" s="4" t="s">
        <v>32</v>
      </c>
    </row>
    <row r="432" s="4" customFormat="1" spans="1:27">
      <c r="A432" s="4" t="s">
        <v>106</v>
      </c>
      <c r="B432" s="4" t="s">
        <v>28</v>
      </c>
      <c r="C432" s="4">
        <v>13390656</v>
      </c>
      <c r="D432" s="19">
        <v>254745858225</v>
      </c>
      <c r="E432" s="21">
        <v>45503.215787037</v>
      </c>
      <c r="F432" s="4">
        <v>427.98</v>
      </c>
      <c r="G432" s="4">
        <v>148.38</v>
      </c>
      <c r="H432" s="4">
        <v>279.6</v>
      </c>
      <c r="I432" s="4">
        <v>52.67</v>
      </c>
      <c r="J432" s="4">
        <v>45.18</v>
      </c>
      <c r="K432" s="4">
        <v>7.49</v>
      </c>
      <c r="L432" s="4">
        <v>214.08</v>
      </c>
      <c r="M432" s="4">
        <v>28473</v>
      </c>
      <c r="N432" s="4">
        <v>27.07</v>
      </c>
      <c r="O432" s="4">
        <v>3600.5</v>
      </c>
      <c r="P432" s="4" t="s">
        <v>35</v>
      </c>
      <c r="Q432" s="4" t="s">
        <v>30</v>
      </c>
      <c r="R432" s="4" t="s">
        <v>164</v>
      </c>
      <c r="S432" s="4">
        <v>2000</v>
      </c>
      <c r="T432" s="4">
        <v>710</v>
      </c>
      <c r="U432" s="4">
        <v>0</v>
      </c>
      <c r="V432" s="4" t="s">
        <v>32</v>
      </c>
      <c r="W432" s="4" t="s">
        <v>32</v>
      </c>
      <c r="X432" s="4" t="s">
        <v>32</v>
      </c>
      <c r="Y432" s="4" t="s">
        <v>32</v>
      </c>
      <c r="Z432" s="4" t="s">
        <v>32</v>
      </c>
      <c r="AA432" s="4" t="s">
        <v>32</v>
      </c>
    </row>
    <row r="433" s="4" customFormat="1" spans="1:27">
      <c r="A433" s="4" t="s">
        <v>106</v>
      </c>
      <c r="B433" s="4" t="s">
        <v>28</v>
      </c>
      <c r="C433" s="4">
        <v>9139709</v>
      </c>
      <c r="D433" s="19">
        <v>254746355123</v>
      </c>
      <c r="E433" s="21">
        <v>44896.3794444444</v>
      </c>
      <c r="F433" s="4">
        <v>224.66</v>
      </c>
      <c r="G433" s="4">
        <v>0.32</v>
      </c>
      <c r="H433" s="4">
        <v>224.33</v>
      </c>
      <c r="I433" s="4">
        <v>-7.53</v>
      </c>
      <c r="J433" s="4">
        <v>0.32</v>
      </c>
      <c r="K433" s="4">
        <v>-7.86</v>
      </c>
      <c r="L433" s="4">
        <v>54.11</v>
      </c>
      <c r="M433" s="4">
        <v>7197</v>
      </c>
      <c r="N433" s="4">
        <v>3.43</v>
      </c>
      <c r="O433" s="4">
        <v>456</v>
      </c>
      <c r="P433" s="4" t="s">
        <v>34</v>
      </c>
      <c r="Q433" s="4" t="s">
        <v>30</v>
      </c>
      <c r="R433" s="4" t="s">
        <v>164</v>
      </c>
      <c r="S433" s="4">
        <v>0</v>
      </c>
      <c r="T433" s="4">
        <v>360</v>
      </c>
      <c r="U433" s="4">
        <v>0</v>
      </c>
      <c r="V433" s="4" t="s">
        <v>32</v>
      </c>
      <c r="W433" s="4" t="s">
        <v>32</v>
      </c>
      <c r="X433" s="4" t="s">
        <v>32</v>
      </c>
      <c r="Y433" s="4" t="s">
        <v>32</v>
      </c>
      <c r="Z433" s="4" t="s">
        <v>32</v>
      </c>
      <c r="AA433" s="4" t="s">
        <v>32</v>
      </c>
    </row>
    <row r="434" s="4" customFormat="1" spans="1:27">
      <c r="A434" s="4" t="s">
        <v>106</v>
      </c>
      <c r="B434" s="4" t="s">
        <v>28</v>
      </c>
      <c r="C434" s="4">
        <v>17578427</v>
      </c>
      <c r="D434" s="19">
        <v>254746375146</v>
      </c>
      <c r="E434" s="21">
        <v>45863.7517824074</v>
      </c>
      <c r="F434" s="4">
        <v>712.24</v>
      </c>
      <c r="G434" s="4">
        <v>12.85</v>
      </c>
      <c r="H434" s="4">
        <v>699.39</v>
      </c>
      <c r="I434" s="4">
        <v>27.99</v>
      </c>
      <c r="J434" s="4">
        <v>12.68</v>
      </c>
      <c r="K434" s="4">
        <v>15.3</v>
      </c>
      <c r="L434" s="4">
        <v>148.53</v>
      </c>
      <c r="M434" s="4">
        <v>19754</v>
      </c>
      <c r="N434" s="4">
        <v>20.39</v>
      </c>
      <c r="O434" s="4">
        <v>2711.3</v>
      </c>
      <c r="P434" s="4" t="s">
        <v>29</v>
      </c>
      <c r="Q434" s="4" t="s">
        <v>30</v>
      </c>
      <c r="R434" s="4" t="s">
        <v>164</v>
      </c>
      <c r="S434" s="4">
        <v>0</v>
      </c>
      <c r="T434" s="4">
        <v>990</v>
      </c>
      <c r="U434" s="4">
        <v>0</v>
      </c>
      <c r="V434" s="4" t="s">
        <v>32</v>
      </c>
      <c r="W434" s="4" t="s">
        <v>32</v>
      </c>
      <c r="X434" s="4" t="s">
        <v>32</v>
      </c>
      <c r="Y434" s="4" t="s">
        <v>32</v>
      </c>
      <c r="Z434" s="4" t="s">
        <v>32</v>
      </c>
      <c r="AA434" s="4" t="s">
        <v>32</v>
      </c>
    </row>
    <row r="435" s="4" customFormat="1" spans="1:27">
      <c r="A435" s="4" t="s">
        <v>106</v>
      </c>
      <c r="B435" s="4" t="s">
        <v>28</v>
      </c>
      <c r="C435" s="4">
        <v>21384719</v>
      </c>
      <c r="D435" s="19">
        <v>254746397511</v>
      </c>
      <c r="E435" s="21">
        <v>46070.6009953704</v>
      </c>
      <c r="F435" s="4">
        <v>61156.39</v>
      </c>
      <c r="G435" s="4">
        <v>0</v>
      </c>
      <c r="H435" s="4">
        <v>61156.39</v>
      </c>
      <c r="I435" s="4">
        <v>1487.96</v>
      </c>
      <c r="J435" s="4">
        <v>0</v>
      </c>
      <c r="K435" s="4">
        <v>1487.96</v>
      </c>
      <c r="L435" s="4">
        <v>6261.83</v>
      </c>
      <c r="M435" s="4">
        <v>832824</v>
      </c>
      <c r="N435" s="4">
        <v>5946.94</v>
      </c>
      <c r="O435" s="4">
        <v>790943.2</v>
      </c>
      <c r="P435" s="4" t="s">
        <v>29</v>
      </c>
      <c r="Q435" s="4" t="s">
        <v>33</v>
      </c>
      <c r="R435" s="4" t="s">
        <v>164</v>
      </c>
      <c r="S435" s="4">
        <v>0</v>
      </c>
      <c r="T435" s="4">
        <v>30000</v>
      </c>
      <c r="U435" s="4">
        <v>1</v>
      </c>
      <c r="V435" s="4">
        <v>1</v>
      </c>
      <c r="W435" s="4" t="s">
        <v>32</v>
      </c>
      <c r="X435" s="4" t="s">
        <v>32</v>
      </c>
      <c r="Y435" s="4" t="s">
        <v>32</v>
      </c>
      <c r="Z435" s="4" t="s">
        <v>32</v>
      </c>
      <c r="AA435" s="4" t="s">
        <v>32</v>
      </c>
    </row>
    <row r="436" s="4" customFormat="1" spans="1:27">
      <c r="A436" s="4" t="s">
        <v>106</v>
      </c>
      <c r="B436" s="4" t="s">
        <v>28</v>
      </c>
      <c r="C436" s="4">
        <v>17495437</v>
      </c>
      <c r="D436" s="19">
        <v>254746961975</v>
      </c>
      <c r="E436" s="21">
        <v>45858.7362152778</v>
      </c>
      <c r="F436" s="4">
        <v>462.33</v>
      </c>
      <c r="G436" s="4">
        <v>0.08</v>
      </c>
      <c r="H436" s="4">
        <v>462.26</v>
      </c>
      <c r="I436" s="4">
        <v>21.48</v>
      </c>
      <c r="J436" s="4">
        <v>0.08</v>
      </c>
      <c r="K436" s="4">
        <v>21.41</v>
      </c>
      <c r="L436" s="4">
        <v>107.61</v>
      </c>
      <c r="M436" s="4">
        <v>14312</v>
      </c>
      <c r="N436" s="4">
        <v>15.41</v>
      </c>
      <c r="O436" s="4">
        <v>2049.15</v>
      </c>
      <c r="P436" s="4" t="s">
        <v>34</v>
      </c>
      <c r="Q436" s="4" t="s">
        <v>30</v>
      </c>
      <c r="R436" s="4" t="s">
        <v>164</v>
      </c>
      <c r="S436" s="4">
        <v>0</v>
      </c>
      <c r="T436" s="4">
        <v>720</v>
      </c>
      <c r="U436" s="4">
        <v>0</v>
      </c>
      <c r="V436" s="4" t="s">
        <v>32</v>
      </c>
      <c r="W436" s="4" t="s">
        <v>32</v>
      </c>
      <c r="X436" s="4" t="s">
        <v>32</v>
      </c>
      <c r="Y436" s="4" t="s">
        <v>32</v>
      </c>
      <c r="Z436" s="4" t="s">
        <v>32</v>
      </c>
      <c r="AA436" s="4" t="s">
        <v>32</v>
      </c>
    </row>
    <row r="437" s="4" customFormat="1" spans="1:27">
      <c r="A437" s="4" t="s">
        <v>106</v>
      </c>
      <c r="B437" s="4" t="s">
        <v>28</v>
      </c>
      <c r="C437" s="4">
        <v>1843557</v>
      </c>
      <c r="D437" s="19">
        <v>254748004865</v>
      </c>
      <c r="E437" s="21">
        <v>44024.6812037037</v>
      </c>
      <c r="F437" s="4">
        <v>1178.23</v>
      </c>
      <c r="G437" s="4">
        <v>23.02</v>
      </c>
      <c r="H437" s="4">
        <v>1153.33</v>
      </c>
      <c r="I437" s="4">
        <v>2.47</v>
      </c>
      <c r="J437" s="4">
        <v>18.77</v>
      </c>
      <c r="K437" s="4">
        <v>-16.29</v>
      </c>
      <c r="L437" s="4">
        <v>138.51</v>
      </c>
      <c r="M437" s="4">
        <v>18422</v>
      </c>
      <c r="N437" s="4">
        <v>0</v>
      </c>
      <c r="O437" s="4">
        <v>0</v>
      </c>
      <c r="P437" s="4" t="s">
        <v>34</v>
      </c>
      <c r="Q437" s="4" t="s">
        <v>30</v>
      </c>
      <c r="R437" s="4" t="s">
        <v>164</v>
      </c>
      <c r="S437" s="4">
        <v>0</v>
      </c>
      <c r="T437" s="4">
        <v>920</v>
      </c>
      <c r="U437" s="4">
        <v>0</v>
      </c>
      <c r="V437" s="4" t="s">
        <v>32</v>
      </c>
      <c r="W437" s="4" t="s">
        <v>32</v>
      </c>
      <c r="X437" s="4" t="s">
        <v>32</v>
      </c>
      <c r="Y437" s="4" t="s">
        <v>32</v>
      </c>
      <c r="Z437" s="4" t="s">
        <v>32</v>
      </c>
      <c r="AA437" s="4" t="s">
        <v>32</v>
      </c>
    </row>
    <row r="438" s="4" customFormat="1" spans="1:27">
      <c r="A438" s="4" t="s">
        <v>106</v>
      </c>
      <c r="B438" s="4" t="s">
        <v>28</v>
      </c>
      <c r="C438" s="4">
        <v>14145086</v>
      </c>
      <c r="D438" s="19">
        <v>254748246675</v>
      </c>
      <c r="E438" s="21">
        <v>45580.6366087963</v>
      </c>
      <c r="F438" s="4">
        <v>394.25</v>
      </c>
      <c r="G438" s="4">
        <v>0</v>
      </c>
      <c r="H438" s="4">
        <v>394.25</v>
      </c>
      <c r="I438" s="4">
        <v>148.03</v>
      </c>
      <c r="J438" s="4">
        <v>0</v>
      </c>
      <c r="K438" s="4">
        <v>148.03</v>
      </c>
      <c r="L438" s="4">
        <v>157.77</v>
      </c>
      <c r="M438" s="4">
        <v>20983</v>
      </c>
      <c r="N438" s="4">
        <v>49.47</v>
      </c>
      <c r="O438" s="4">
        <v>6579.7</v>
      </c>
      <c r="P438" s="4" t="s">
        <v>29</v>
      </c>
      <c r="Q438" s="4" t="s">
        <v>30</v>
      </c>
      <c r="R438" s="4" t="s">
        <v>164</v>
      </c>
      <c r="S438" s="4">
        <v>0</v>
      </c>
      <c r="T438" s="4">
        <v>1050</v>
      </c>
      <c r="U438" s="4">
        <v>0</v>
      </c>
      <c r="V438" s="4" t="s">
        <v>32</v>
      </c>
      <c r="W438" s="4" t="s">
        <v>32</v>
      </c>
      <c r="X438" s="4" t="s">
        <v>32</v>
      </c>
      <c r="Y438" s="4" t="s">
        <v>32</v>
      </c>
      <c r="Z438" s="4" t="s">
        <v>32</v>
      </c>
      <c r="AA438" s="4" t="s">
        <v>32</v>
      </c>
    </row>
    <row r="439" s="4" customFormat="1" spans="1:27">
      <c r="A439" s="4" t="s">
        <v>106</v>
      </c>
      <c r="B439" s="4" t="s">
        <v>28</v>
      </c>
      <c r="C439" s="4">
        <v>22146606</v>
      </c>
      <c r="D439" s="19">
        <v>254748500093</v>
      </c>
      <c r="E439" s="21">
        <v>46110.5126851852</v>
      </c>
      <c r="F439" s="4">
        <v>310.02</v>
      </c>
      <c r="G439" s="4">
        <v>0.75</v>
      </c>
      <c r="H439" s="4">
        <v>309.26</v>
      </c>
      <c r="I439" s="4">
        <v>16.82</v>
      </c>
      <c r="J439" s="4">
        <v>0.46</v>
      </c>
      <c r="K439" s="4">
        <v>16.35</v>
      </c>
      <c r="L439" s="4">
        <v>64.46</v>
      </c>
      <c r="M439" s="4">
        <v>8573</v>
      </c>
      <c r="N439" s="4">
        <v>61.24</v>
      </c>
      <c r="O439" s="4">
        <v>8144.35</v>
      </c>
      <c r="P439" s="4" t="s">
        <v>29</v>
      </c>
      <c r="Q439" s="4" t="s">
        <v>30</v>
      </c>
      <c r="R439" s="4" t="s">
        <v>164</v>
      </c>
      <c r="S439" s="4">
        <v>0</v>
      </c>
      <c r="T439" s="4">
        <v>430</v>
      </c>
      <c r="U439" s="4">
        <v>0</v>
      </c>
      <c r="V439" s="4" t="s">
        <v>32</v>
      </c>
      <c r="W439" s="4" t="s">
        <v>32</v>
      </c>
      <c r="X439" s="4" t="s">
        <v>32</v>
      </c>
      <c r="Y439" s="4" t="s">
        <v>32</v>
      </c>
      <c r="Z439" s="4" t="s">
        <v>32</v>
      </c>
      <c r="AA439" s="4" t="s">
        <v>32</v>
      </c>
    </row>
    <row r="440" s="4" customFormat="1" spans="1:27">
      <c r="A440" s="4" t="s">
        <v>106</v>
      </c>
      <c r="B440" s="4" t="s">
        <v>28</v>
      </c>
      <c r="C440" s="4">
        <v>9765127</v>
      </c>
      <c r="D440" s="19">
        <v>254748859054</v>
      </c>
      <c r="E440" s="21">
        <v>45029.7348611111</v>
      </c>
      <c r="F440" s="4">
        <v>1100.67</v>
      </c>
      <c r="G440" s="4">
        <v>0</v>
      </c>
      <c r="H440" s="4">
        <v>1100.67</v>
      </c>
      <c r="I440" s="4">
        <v>25.44</v>
      </c>
      <c r="J440" s="4">
        <v>0</v>
      </c>
      <c r="K440" s="4">
        <v>25.44</v>
      </c>
      <c r="L440" s="4">
        <v>114.03</v>
      </c>
      <c r="M440" s="4">
        <v>15166</v>
      </c>
      <c r="N440" s="4">
        <v>18.24</v>
      </c>
      <c r="O440" s="4">
        <v>2426.3</v>
      </c>
      <c r="P440" s="4" t="s">
        <v>29</v>
      </c>
      <c r="Q440" s="4" t="s">
        <v>30</v>
      </c>
      <c r="R440" s="4" t="s">
        <v>164</v>
      </c>
      <c r="S440" s="4">
        <v>0</v>
      </c>
      <c r="T440" s="4">
        <v>760</v>
      </c>
      <c r="U440" s="4">
        <v>0</v>
      </c>
      <c r="V440" s="4" t="s">
        <v>32</v>
      </c>
      <c r="W440" s="4" t="s">
        <v>32</v>
      </c>
      <c r="X440" s="4" t="s">
        <v>32</v>
      </c>
      <c r="Y440" s="4" t="s">
        <v>32</v>
      </c>
      <c r="Z440" s="4" t="s">
        <v>32</v>
      </c>
      <c r="AA440" s="4" t="s">
        <v>32</v>
      </c>
    </row>
    <row r="441" s="4" customFormat="1" spans="1:27">
      <c r="A441" s="4" t="s">
        <v>106</v>
      </c>
      <c r="B441" s="4" t="s">
        <v>28</v>
      </c>
      <c r="C441" s="4">
        <v>20555026</v>
      </c>
      <c r="D441" s="19">
        <v>254748931810</v>
      </c>
      <c r="E441" s="21">
        <v>46027.4828819444</v>
      </c>
      <c r="F441" s="4">
        <v>439.92</v>
      </c>
      <c r="G441" s="4">
        <v>0</v>
      </c>
      <c r="H441" s="4">
        <v>439.92</v>
      </c>
      <c r="I441" s="4">
        <v>18.34</v>
      </c>
      <c r="J441" s="4">
        <v>0</v>
      </c>
      <c r="K441" s="4">
        <v>18.34</v>
      </c>
      <c r="L441" s="4">
        <v>113.35</v>
      </c>
      <c r="M441" s="4">
        <v>15075</v>
      </c>
      <c r="N441" s="4">
        <v>3.21</v>
      </c>
      <c r="O441" s="4">
        <v>427.5</v>
      </c>
      <c r="P441" s="4" t="s">
        <v>34</v>
      </c>
      <c r="Q441" s="4" t="s">
        <v>30</v>
      </c>
      <c r="R441" s="4" t="s">
        <v>164</v>
      </c>
      <c r="S441" s="4">
        <v>0</v>
      </c>
      <c r="T441" s="4">
        <v>750</v>
      </c>
      <c r="U441" s="4">
        <v>0</v>
      </c>
      <c r="V441" s="4" t="s">
        <v>32</v>
      </c>
      <c r="W441" s="4" t="s">
        <v>32</v>
      </c>
      <c r="X441" s="4" t="s">
        <v>32</v>
      </c>
      <c r="Y441" s="4" t="s">
        <v>32</v>
      </c>
      <c r="Z441" s="4" t="s">
        <v>32</v>
      </c>
      <c r="AA441" s="4" t="s">
        <v>32</v>
      </c>
    </row>
    <row r="442" s="4" customFormat="1" spans="1:27">
      <c r="A442" s="4" t="s">
        <v>106</v>
      </c>
      <c r="B442" s="4" t="s">
        <v>28</v>
      </c>
      <c r="C442" s="4">
        <v>22590546</v>
      </c>
      <c r="D442" s="19">
        <v>254754125780</v>
      </c>
      <c r="E442" s="21">
        <v>46136.702025463</v>
      </c>
      <c r="F442" s="4">
        <v>329.33</v>
      </c>
      <c r="G442" s="4">
        <v>0.71</v>
      </c>
      <c r="H442" s="4">
        <v>328.62</v>
      </c>
      <c r="I442" s="4">
        <v>-26.8</v>
      </c>
      <c r="J442" s="4">
        <v>0.43</v>
      </c>
      <c r="K442" s="4">
        <v>-27.23</v>
      </c>
      <c r="L442" s="4">
        <v>125.41</v>
      </c>
      <c r="M442" s="4">
        <v>16680</v>
      </c>
      <c r="N442" s="4">
        <v>119.14</v>
      </c>
      <c r="O442" s="4">
        <v>15846</v>
      </c>
      <c r="P442" s="4" t="s">
        <v>29</v>
      </c>
      <c r="Q442" s="4" t="s">
        <v>30</v>
      </c>
      <c r="R442" s="4" t="s">
        <v>164</v>
      </c>
      <c r="S442" s="4">
        <v>0</v>
      </c>
      <c r="T442" s="4">
        <v>830</v>
      </c>
      <c r="U442" s="4">
        <v>0</v>
      </c>
      <c r="V442" s="4" t="s">
        <v>32</v>
      </c>
      <c r="W442" s="4" t="s">
        <v>32</v>
      </c>
      <c r="X442" s="4" t="s">
        <v>32</v>
      </c>
      <c r="Y442" s="4" t="s">
        <v>32</v>
      </c>
      <c r="Z442" s="4" t="s">
        <v>32</v>
      </c>
      <c r="AA442" s="4" t="s">
        <v>32</v>
      </c>
    </row>
    <row r="443" s="4" customFormat="1" spans="1:27">
      <c r="A443" s="4" t="s">
        <v>106</v>
      </c>
      <c r="B443" s="4" t="s">
        <v>28</v>
      </c>
      <c r="C443" s="4">
        <v>13298408</v>
      </c>
      <c r="D443" s="19">
        <v>254768553963</v>
      </c>
      <c r="E443" s="21">
        <v>45484.7842939815</v>
      </c>
      <c r="F443" s="4">
        <v>585.14</v>
      </c>
      <c r="G443" s="4">
        <v>0</v>
      </c>
      <c r="H443" s="4">
        <v>585.14</v>
      </c>
      <c r="I443" s="4">
        <v>34.97</v>
      </c>
      <c r="J443" s="4">
        <v>0</v>
      </c>
      <c r="K443" s="4">
        <v>34.97</v>
      </c>
      <c r="L443" s="4">
        <v>63.42</v>
      </c>
      <c r="M443" s="4">
        <v>8435</v>
      </c>
      <c r="N443" s="4">
        <v>18.1</v>
      </c>
      <c r="O443" s="4">
        <v>2407.3</v>
      </c>
      <c r="P443" s="4" t="s">
        <v>29</v>
      </c>
      <c r="Q443" s="4" t="s">
        <v>30</v>
      </c>
      <c r="R443" s="4" t="s">
        <v>164</v>
      </c>
      <c r="S443" s="4">
        <v>0</v>
      </c>
      <c r="T443" s="4">
        <v>420</v>
      </c>
      <c r="U443" s="4">
        <v>0</v>
      </c>
      <c r="V443" s="4" t="s">
        <v>32</v>
      </c>
      <c r="W443" s="4" t="s">
        <v>32</v>
      </c>
      <c r="X443" s="4" t="s">
        <v>32</v>
      </c>
      <c r="Y443" s="4" t="s">
        <v>32</v>
      </c>
      <c r="Z443" s="4" t="s">
        <v>32</v>
      </c>
      <c r="AA443" s="4" t="s">
        <v>32</v>
      </c>
    </row>
    <row r="444" s="4" customFormat="1" spans="1:27">
      <c r="A444" s="4" t="s">
        <v>106</v>
      </c>
      <c r="B444" s="4" t="s">
        <v>28</v>
      </c>
      <c r="C444" s="4">
        <v>15005707</v>
      </c>
      <c r="D444" s="19">
        <v>254768814065</v>
      </c>
      <c r="E444" s="21">
        <v>45636.7097685185</v>
      </c>
      <c r="F444" s="4">
        <v>4231.28</v>
      </c>
      <c r="G444" s="4">
        <v>0</v>
      </c>
      <c r="H444" s="4">
        <v>4231.28</v>
      </c>
      <c r="I444" s="4">
        <v>-269.66</v>
      </c>
      <c r="J444" s="4">
        <v>0</v>
      </c>
      <c r="K444" s="4">
        <v>-269.66</v>
      </c>
      <c r="L444" s="4">
        <v>174.44</v>
      </c>
      <c r="M444" s="4">
        <v>23200</v>
      </c>
      <c r="N444" s="4">
        <v>165.71</v>
      </c>
      <c r="O444" s="4">
        <v>22040</v>
      </c>
      <c r="P444" s="4" t="s">
        <v>29</v>
      </c>
      <c r="Q444" s="4" t="s">
        <v>30</v>
      </c>
      <c r="R444" s="4" t="s">
        <v>164</v>
      </c>
      <c r="S444" s="4">
        <v>0</v>
      </c>
      <c r="T444" s="4">
        <v>1160</v>
      </c>
      <c r="U444" s="4">
        <v>0</v>
      </c>
      <c r="V444" s="4" t="s">
        <v>32</v>
      </c>
      <c r="W444" s="4" t="s">
        <v>32</v>
      </c>
      <c r="X444" s="4" t="s">
        <v>32</v>
      </c>
      <c r="Y444" s="4" t="s">
        <v>32</v>
      </c>
      <c r="Z444" s="4" t="s">
        <v>32</v>
      </c>
      <c r="AA444" s="4" t="s">
        <v>32</v>
      </c>
    </row>
    <row r="445" s="4" customFormat="1" spans="1:27">
      <c r="A445" s="4" t="s">
        <v>106</v>
      </c>
      <c r="B445" s="4" t="s">
        <v>28</v>
      </c>
      <c r="C445" s="4">
        <v>20851077</v>
      </c>
      <c r="D445" s="19">
        <v>254769684724</v>
      </c>
      <c r="E445" s="21">
        <v>46041.5804976852</v>
      </c>
      <c r="F445" s="4">
        <v>2099.78</v>
      </c>
      <c r="G445" s="4">
        <v>0</v>
      </c>
      <c r="H445" s="4">
        <v>2099.78</v>
      </c>
      <c r="I445" s="4">
        <v>31.42</v>
      </c>
      <c r="J445" s="4">
        <v>0</v>
      </c>
      <c r="K445" s="4">
        <v>31.42</v>
      </c>
      <c r="L445" s="4">
        <v>201.73</v>
      </c>
      <c r="M445" s="4">
        <v>26830</v>
      </c>
      <c r="N445" s="4">
        <v>172.86</v>
      </c>
      <c r="O445" s="4">
        <v>22990</v>
      </c>
      <c r="P445" s="4" t="s">
        <v>29</v>
      </c>
      <c r="Q445" s="4" t="s">
        <v>30</v>
      </c>
      <c r="R445" s="4" t="s">
        <v>164</v>
      </c>
      <c r="S445" s="4">
        <v>0</v>
      </c>
      <c r="T445" s="4">
        <v>1340</v>
      </c>
      <c r="U445" s="4">
        <v>0</v>
      </c>
      <c r="V445" s="4" t="s">
        <v>32</v>
      </c>
      <c r="W445" s="4" t="s">
        <v>32</v>
      </c>
      <c r="X445" s="4" t="s">
        <v>32</v>
      </c>
      <c r="Y445" s="4" t="s">
        <v>32</v>
      </c>
      <c r="Z445" s="4" t="s">
        <v>32</v>
      </c>
      <c r="AA445" s="4" t="s">
        <v>32</v>
      </c>
    </row>
    <row r="446" s="4" customFormat="1" spans="1:27">
      <c r="A446" s="4" t="s">
        <v>106</v>
      </c>
      <c r="B446" s="4" t="s">
        <v>28</v>
      </c>
      <c r="C446" s="4">
        <v>20481999</v>
      </c>
      <c r="D446" s="19">
        <v>254790000697</v>
      </c>
      <c r="E446" s="21">
        <v>46023.7040277778</v>
      </c>
      <c r="F446" s="4">
        <v>177.2</v>
      </c>
      <c r="G446" s="4">
        <v>43.53</v>
      </c>
      <c r="H446" s="4">
        <v>133.66</v>
      </c>
      <c r="I446" s="4">
        <v>33.08</v>
      </c>
      <c r="J446" s="4">
        <v>19.67</v>
      </c>
      <c r="K446" s="4">
        <v>13.41</v>
      </c>
      <c r="L446" s="4">
        <v>63.65</v>
      </c>
      <c r="M446" s="4">
        <v>8465</v>
      </c>
      <c r="N446" s="4">
        <v>34.49</v>
      </c>
      <c r="O446" s="4">
        <v>4586.6</v>
      </c>
      <c r="P446" s="4" t="s">
        <v>35</v>
      </c>
      <c r="Q446" s="4" t="s">
        <v>30</v>
      </c>
      <c r="R446" s="4" t="s">
        <v>164</v>
      </c>
      <c r="S446" s="4">
        <v>2000</v>
      </c>
      <c r="T446" s="4">
        <v>210</v>
      </c>
      <c r="U446" s="4">
        <v>0</v>
      </c>
      <c r="V446" s="4" t="s">
        <v>32</v>
      </c>
      <c r="W446" s="4" t="s">
        <v>32</v>
      </c>
      <c r="X446" s="4" t="s">
        <v>32</v>
      </c>
      <c r="Y446" s="4" t="s">
        <v>32</v>
      </c>
      <c r="Z446" s="4" t="s">
        <v>32</v>
      </c>
      <c r="AA446" s="4" t="s">
        <v>32</v>
      </c>
    </row>
    <row r="447" s="4" customFormat="1" spans="1:27">
      <c r="A447" s="4" t="s">
        <v>106</v>
      </c>
      <c r="B447" s="4" t="s">
        <v>28</v>
      </c>
      <c r="C447" s="4">
        <v>18605226</v>
      </c>
      <c r="D447" s="19">
        <v>254790767800</v>
      </c>
      <c r="E447" s="21">
        <v>45922.6309259259</v>
      </c>
      <c r="F447" s="4">
        <v>1947.47</v>
      </c>
      <c r="G447" s="4">
        <v>0.02</v>
      </c>
      <c r="H447" s="4">
        <v>1947.46</v>
      </c>
      <c r="I447" s="4">
        <v>-98.33</v>
      </c>
      <c r="J447" s="4">
        <v>0.02</v>
      </c>
      <c r="K447" s="4">
        <v>-98.34</v>
      </c>
      <c r="L447" s="4">
        <v>418.9</v>
      </c>
      <c r="M447" s="4">
        <v>55714</v>
      </c>
      <c r="N447" s="4">
        <v>112.81</v>
      </c>
      <c r="O447" s="4">
        <v>15004.3</v>
      </c>
      <c r="P447" s="4" t="s">
        <v>29</v>
      </c>
      <c r="Q447" s="4" t="s">
        <v>30</v>
      </c>
      <c r="R447" s="4" t="s">
        <v>164</v>
      </c>
      <c r="S447" s="4">
        <v>0</v>
      </c>
      <c r="T447" s="4">
        <v>2790</v>
      </c>
      <c r="U447" s="4">
        <v>0</v>
      </c>
      <c r="V447" s="4" t="s">
        <v>32</v>
      </c>
      <c r="W447" s="4" t="s">
        <v>32</v>
      </c>
      <c r="X447" s="4" t="s">
        <v>32</v>
      </c>
      <c r="Y447" s="4" t="s">
        <v>32</v>
      </c>
      <c r="Z447" s="4" t="s">
        <v>32</v>
      </c>
      <c r="AA447" s="4" t="s">
        <v>32</v>
      </c>
    </row>
    <row r="448" s="4" customFormat="1" spans="1:27">
      <c r="A448" s="4" t="s">
        <v>106</v>
      </c>
      <c r="B448" s="4" t="s">
        <v>28</v>
      </c>
      <c r="C448" s="4">
        <v>1619659</v>
      </c>
      <c r="D448" s="19">
        <v>254790821661</v>
      </c>
      <c r="E448" s="21">
        <v>44005.5422685185</v>
      </c>
      <c r="F448" s="4">
        <v>6447</v>
      </c>
      <c r="G448" s="4">
        <v>16.64</v>
      </c>
      <c r="H448" s="4">
        <v>6430.36</v>
      </c>
      <c r="I448" s="4">
        <v>251.49</v>
      </c>
      <c r="J448" s="4">
        <v>12.77</v>
      </c>
      <c r="K448" s="4">
        <v>239.47</v>
      </c>
      <c r="L448" s="4">
        <v>1271.25</v>
      </c>
      <c r="M448" s="4">
        <v>169076</v>
      </c>
      <c r="N448" s="4">
        <v>382.99</v>
      </c>
      <c r="O448" s="4">
        <v>50937.1</v>
      </c>
      <c r="P448" s="4" t="s">
        <v>34</v>
      </c>
      <c r="Q448" s="4" t="s">
        <v>33</v>
      </c>
      <c r="R448" s="4" t="s">
        <v>164</v>
      </c>
      <c r="S448" s="4">
        <v>0</v>
      </c>
      <c r="T448" s="4">
        <v>8450</v>
      </c>
      <c r="U448" s="4">
        <v>0</v>
      </c>
      <c r="V448" s="4" t="s">
        <v>32</v>
      </c>
      <c r="W448" s="4" t="s">
        <v>32</v>
      </c>
      <c r="X448" s="4" t="s">
        <v>32</v>
      </c>
      <c r="Y448" s="4" t="s">
        <v>32</v>
      </c>
      <c r="Z448" s="4" t="s">
        <v>32</v>
      </c>
      <c r="AA448" s="4" t="s">
        <v>32</v>
      </c>
    </row>
    <row r="449" s="4" customFormat="1" spans="1:27">
      <c r="A449" s="4" t="s">
        <v>106</v>
      </c>
      <c r="B449" s="4" t="s">
        <v>28</v>
      </c>
      <c r="C449" s="4">
        <v>16861279</v>
      </c>
      <c r="D449" s="19">
        <v>254792306816</v>
      </c>
      <c r="E449" s="21">
        <v>45810.4183217593</v>
      </c>
      <c r="F449" s="4">
        <v>2224.66</v>
      </c>
      <c r="G449" s="4">
        <v>0</v>
      </c>
      <c r="H449" s="4">
        <v>2224.66</v>
      </c>
      <c r="I449" s="4">
        <v>117.55</v>
      </c>
      <c r="J449" s="4">
        <v>0</v>
      </c>
      <c r="K449" s="4">
        <v>117.55</v>
      </c>
      <c r="L449" s="4">
        <v>505.43</v>
      </c>
      <c r="M449" s="4">
        <v>67222</v>
      </c>
      <c r="N449" s="4">
        <v>106.99</v>
      </c>
      <c r="O449" s="4">
        <v>14230.05</v>
      </c>
      <c r="P449" s="4" t="s">
        <v>29</v>
      </c>
      <c r="Q449" s="4" t="s">
        <v>30</v>
      </c>
      <c r="R449" s="4" t="s">
        <v>164</v>
      </c>
      <c r="S449" s="4">
        <v>0</v>
      </c>
      <c r="T449" s="4">
        <v>3360</v>
      </c>
      <c r="U449" s="4">
        <v>0</v>
      </c>
      <c r="V449" s="4" t="s">
        <v>32</v>
      </c>
      <c r="W449" s="4" t="s">
        <v>32</v>
      </c>
      <c r="X449" s="4" t="s">
        <v>32</v>
      </c>
      <c r="Y449" s="4" t="s">
        <v>32</v>
      </c>
      <c r="Z449" s="4" t="s">
        <v>32</v>
      </c>
      <c r="AA449" s="4" t="s">
        <v>32</v>
      </c>
    </row>
    <row r="450" s="4" customFormat="1" spans="1:27">
      <c r="A450" s="4" t="s">
        <v>106</v>
      </c>
      <c r="B450" s="4" t="s">
        <v>28</v>
      </c>
      <c r="C450" s="4">
        <v>22050656</v>
      </c>
      <c r="D450" s="19">
        <v>254794050662</v>
      </c>
      <c r="E450" s="21">
        <v>46104.7907523148</v>
      </c>
      <c r="F450" s="4">
        <v>6234.63</v>
      </c>
      <c r="G450" s="4">
        <v>0</v>
      </c>
      <c r="H450" s="4">
        <v>6234.63</v>
      </c>
      <c r="I450" s="4">
        <v>417.67</v>
      </c>
      <c r="J450" s="4">
        <v>0</v>
      </c>
      <c r="K450" s="4">
        <v>417.67</v>
      </c>
      <c r="L450" s="4">
        <v>929.66</v>
      </c>
      <c r="M450" s="4">
        <v>123645</v>
      </c>
      <c r="N450" s="4">
        <v>883.18</v>
      </c>
      <c r="O450" s="4">
        <v>117462.75</v>
      </c>
      <c r="P450" s="4" t="s">
        <v>29</v>
      </c>
      <c r="Q450" s="4" t="s">
        <v>30</v>
      </c>
      <c r="R450" s="4" t="s">
        <v>164</v>
      </c>
      <c r="S450" s="4">
        <v>0</v>
      </c>
      <c r="T450" s="4">
        <v>6180</v>
      </c>
      <c r="U450" s="4">
        <v>0</v>
      </c>
      <c r="V450" s="4" t="s">
        <v>32</v>
      </c>
      <c r="W450" s="4" t="s">
        <v>32</v>
      </c>
      <c r="X450" s="4" t="s">
        <v>32</v>
      </c>
      <c r="Y450" s="4" t="s">
        <v>32</v>
      </c>
      <c r="Z450" s="4" t="s">
        <v>32</v>
      </c>
      <c r="AA450" s="4" t="s">
        <v>32</v>
      </c>
    </row>
    <row r="451" s="4" customFormat="1" spans="1:27">
      <c r="A451" s="4" t="s">
        <v>106</v>
      </c>
      <c r="B451" s="4" t="s">
        <v>28</v>
      </c>
      <c r="C451" s="4">
        <v>20997317</v>
      </c>
      <c r="D451" s="19">
        <v>254794281959</v>
      </c>
      <c r="E451" s="21">
        <v>46049.6548148148</v>
      </c>
      <c r="F451" s="4">
        <v>237.36</v>
      </c>
      <c r="G451" s="4">
        <v>0</v>
      </c>
      <c r="H451" s="4">
        <v>237.36</v>
      </c>
      <c r="I451" s="4">
        <v>1</v>
      </c>
      <c r="J451" s="4">
        <v>0</v>
      </c>
      <c r="K451" s="4">
        <v>1</v>
      </c>
      <c r="L451" s="4">
        <v>96.76</v>
      </c>
      <c r="M451" s="4">
        <v>12869</v>
      </c>
      <c r="N451" s="4">
        <v>60</v>
      </c>
      <c r="O451" s="4">
        <v>7980</v>
      </c>
      <c r="P451" s="4" t="s">
        <v>29</v>
      </c>
      <c r="Q451" s="4" t="s">
        <v>30</v>
      </c>
      <c r="R451" s="4" t="s">
        <v>164</v>
      </c>
      <c r="S451" s="4">
        <v>0</v>
      </c>
      <c r="T451" s="4">
        <v>640</v>
      </c>
      <c r="U451" s="4">
        <v>0</v>
      </c>
      <c r="V451" s="4" t="s">
        <v>32</v>
      </c>
      <c r="W451" s="4" t="s">
        <v>32</v>
      </c>
      <c r="X451" s="4" t="s">
        <v>32</v>
      </c>
      <c r="Y451" s="4" t="s">
        <v>32</v>
      </c>
      <c r="Z451" s="4" t="s">
        <v>32</v>
      </c>
      <c r="AA451" s="4" t="s">
        <v>32</v>
      </c>
    </row>
    <row r="452" s="4" customFormat="1" spans="1:27">
      <c r="A452" s="4" t="s">
        <v>106</v>
      </c>
      <c r="B452" s="4" t="s">
        <v>28</v>
      </c>
      <c r="C452" s="4">
        <v>13976737</v>
      </c>
      <c r="D452" s="19">
        <v>254794720751</v>
      </c>
      <c r="E452" s="21">
        <v>45567.5370949074</v>
      </c>
      <c r="F452" s="4">
        <v>1911.95</v>
      </c>
      <c r="G452" s="4">
        <v>0</v>
      </c>
      <c r="H452" s="4">
        <v>1911.95</v>
      </c>
      <c r="I452" s="4">
        <v>97.55</v>
      </c>
      <c r="J452" s="4">
        <v>0</v>
      </c>
      <c r="K452" s="4">
        <v>97.55</v>
      </c>
      <c r="L452" s="4">
        <v>147.54</v>
      </c>
      <c r="M452" s="4">
        <v>19623</v>
      </c>
      <c r="N452" s="4">
        <v>43.27</v>
      </c>
      <c r="O452" s="4">
        <v>5755.1</v>
      </c>
      <c r="P452" s="4" t="s">
        <v>29</v>
      </c>
      <c r="Q452" s="4" t="s">
        <v>30</v>
      </c>
      <c r="R452" s="4" t="s">
        <v>164</v>
      </c>
      <c r="S452" s="4">
        <v>0</v>
      </c>
      <c r="T452" s="4">
        <v>980</v>
      </c>
      <c r="U452" s="4">
        <v>0</v>
      </c>
      <c r="V452" s="4" t="s">
        <v>32</v>
      </c>
      <c r="W452" s="4" t="s">
        <v>32</v>
      </c>
      <c r="X452" s="4" t="s">
        <v>32</v>
      </c>
      <c r="Y452" s="4" t="s">
        <v>32</v>
      </c>
      <c r="Z452" s="4" t="s">
        <v>32</v>
      </c>
      <c r="AA452" s="4" t="s">
        <v>32</v>
      </c>
    </row>
    <row r="453" s="4" customFormat="1" spans="1:27">
      <c r="A453" s="4" t="s">
        <v>106</v>
      </c>
      <c r="B453" s="4" t="s">
        <v>28</v>
      </c>
      <c r="C453" s="4">
        <v>19785698</v>
      </c>
      <c r="D453" s="19">
        <v>254795634907</v>
      </c>
      <c r="E453" s="21">
        <v>45990.4131018519</v>
      </c>
      <c r="F453" s="4">
        <v>114.95</v>
      </c>
      <c r="G453" s="4">
        <v>12.89</v>
      </c>
      <c r="H453" s="4">
        <v>102.06</v>
      </c>
      <c r="I453" s="4">
        <v>-1.41</v>
      </c>
      <c r="J453" s="4">
        <v>9.57</v>
      </c>
      <c r="K453" s="4">
        <v>-10.97</v>
      </c>
      <c r="L453" s="4">
        <v>51.91</v>
      </c>
      <c r="M453" s="4">
        <v>6904</v>
      </c>
      <c r="N453" s="4">
        <v>33.56</v>
      </c>
      <c r="O453" s="4">
        <v>4464.05</v>
      </c>
      <c r="P453" s="4" t="s">
        <v>35</v>
      </c>
      <c r="Q453" s="4" t="s">
        <v>30</v>
      </c>
      <c r="R453" s="4" t="s">
        <v>164</v>
      </c>
      <c r="S453" s="4">
        <v>2000</v>
      </c>
      <c r="T453" s="4">
        <v>175</v>
      </c>
      <c r="U453" s="4">
        <v>0</v>
      </c>
      <c r="V453" s="4" t="s">
        <v>32</v>
      </c>
      <c r="W453" s="4" t="s">
        <v>32</v>
      </c>
      <c r="X453" s="4" t="s">
        <v>32</v>
      </c>
      <c r="Y453" s="4" t="s">
        <v>32</v>
      </c>
      <c r="Z453" s="4" t="s">
        <v>32</v>
      </c>
      <c r="AA453" s="4" t="s">
        <v>32</v>
      </c>
    </row>
    <row r="454" s="4" customFormat="1" spans="1:27">
      <c r="A454" s="4" t="s">
        <v>106</v>
      </c>
      <c r="B454" s="4" t="s">
        <v>28</v>
      </c>
      <c r="C454" s="4">
        <v>9020047</v>
      </c>
      <c r="D454" s="19">
        <v>254796736840</v>
      </c>
      <c r="E454" s="21">
        <v>44877.3797453704</v>
      </c>
      <c r="F454" s="4">
        <v>1310.77</v>
      </c>
      <c r="G454" s="4">
        <v>22.24</v>
      </c>
      <c r="H454" s="4">
        <v>1288.53</v>
      </c>
      <c r="I454" s="4">
        <v>246.83</v>
      </c>
      <c r="J454" s="4">
        <v>22.24</v>
      </c>
      <c r="K454" s="4">
        <v>224.59</v>
      </c>
      <c r="L454" s="4">
        <v>368.72</v>
      </c>
      <c r="M454" s="4">
        <v>49040</v>
      </c>
      <c r="N454" s="4">
        <v>40.71</v>
      </c>
      <c r="O454" s="4">
        <v>5415</v>
      </c>
      <c r="P454" s="4" t="s">
        <v>34</v>
      </c>
      <c r="Q454" s="4" t="s">
        <v>30</v>
      </c>
      <c r="R454" s="4" t="s">
        <v>164</v>
      </c>
      <c r="S454" s="4">
        <v>0</v>
      </c>
      <c r="T454" s="4">
        <v>2450</v>
      </c>
      <c r="U454" s="4">
        <v>0</v>
      </c>
      <c r="V454" s="4" t="s">
        <v>32</v>
      </c>
      <c r="W454" s="4" t="s">
        <v>32</v>
      </c>
      <c r="X454" s="4" t="s">
        <v>32</v>
      </c>
      <c r="Y454" s="4" t="s">
        <v>32</v>
      </c>
      <c r="Z454" s="4" t="s">
        <v>32</v>
      </c>
      <c r="AA454" s="4" t="s">
        <v>32</v>
      </c>
    </row>
    <row r="455" s="4" customFormat="1" spans="1:27">
      <c r="A455" s="4" t="s">
        <v>106</v>
      </c>
      <c r="B455" s="4" t="s">
        <v>28</v>
      </c>
      <c r="C455" s="4">
        <v>16512276</v>
      </c>
      <c r="D455" s="19">
        <v>254797184647</v>
      </c>
      <c r="E455" s="21">
        <v>45778.8029976852</v>
      </c>
      <c r="F455" s="4">
        <v>1529.34</v>
      </c>
      <c r="G455" s="4">
        <v>0</v>
      </c>
      <c r="H455" s="4">
        <v>1529.34</v>
      </c>
      <c r="I455" s="4">
        <v>78.2</v>
      </c>
      <c r="J455" s="4">
        <v>0</v>
      </c>
      <c r="K455" s="4">
        <v>78.2</v>
      </c>
      <c r="L455" s="4">
        <v>281.62</v>
      </c>
      <c r="M455" s="4">
        <v>37455</v>
      </c>
      <c r="N455" s="4">
        <v>57.28</v>
      </c>
      <c r="O455" s="4">
        <v>7618.05</v>
      </c>
      <c r="P455" s="4" t="s">
        <v>34</v>
      </c>
      <c r="Q455" s="4" t="s">
        <v>30</v>
      </c>
      <c r="R455" s="4" t="s">
        <v>164</v>
      </c>
      <c r="S455" s="4">
        <v>0</v>
      </c>
      <c r="T455" s="4">
        <v>1870</v>
      </c>
      <c r="U455" s="4">
        <v>0</v>
      </c>
      <c r="V455" s="4" t="s">
        <v>32</v>
      </c>
      <c r="W455" s="4" t="s">
        <v>32</v>
      </c>
      <c r="X455" s="4" t="s">
        <v>32</v>
      </c>
      <c r="Y455" s="4" t="s">
        <v>32</v>
      </c>
      <c r="Z455" s="4" t="s">
        <v>32</v>
      </c>
      <c r="AA455" s="4" t="s">
        <v>32</v>
      </c>
    </row>
    <row r="456" s="4" customFormat="1" spans="1:27">
      <c r="A456" s="4" t="s">
        <v>106</v>
      </c>
      <c r="B456" s="4" t="s">
        <v>28</v>
      </c>
      <c r="C456" s="4">
        <v>16951287</v>
      </c>
      <c r="D456" s="19">
        <v>254797423692</v>
      </c>
      <c r="E456" s="21">
        <v>45818.681724537</v>
      </c>
      <c r="F456" s="4">
        <v>9047.87</v>
      </c>
      <c r="G456" s="4">
        <v>0</v>
      </c>
      <c r="H456" s="4">
        <v>9047.87</v>
      </c>
      <c r="I456" s="4">
        <v>129.49</v>
      </c>
      <c r="J456" s="4">
        <v>0</v>
      </c>
      <c r="K456" s="4">
        <v>129.49</v>
      </c>
      <c r="L456" s="4">
        <v>1480.78</v>
      </c>
      <c r="M456" s="4">
        <v>196944</v>
      </c>
      <c r="N456" s="4">
        <v>567.61</v>
      </c>
      <c r="O456" s="4">
        <v>75491.75</v>
      </c>
      <c r="P456" s="4" t="s">
        <v>29</v>
      </c>
      <c r="Q456" s="4" t="s">
        <v>33</v>
      </c>
      <c r="R456" s="4" t="s">
        <v>164</v>
      </c>
      <c r="S456" s="4">
        <v>0</v>
      </c>
      <c r="T456" s="4">
        <v>9850</v>
      </c>
      <c r="U456" s="4">
        <v>0</v>
      </c>
      <c r="V456" s="4" t="s">
        <v>32</v>
      </c>
      <c r="W456" s="4" t="s">
        <v>32</v>
      </c>
      <c r="X456" s="4" t="s">
        <v>32</v>
      </c>
      <c r="Y456" s="4" t="s">
        <v>32</v>
      </c>
      <c r="Z456" s="4" t="s">
        <v>32</v>
      </c>
      <c r="AA456" s="4" t="s">
        <v>32</v>
      </c>
    </row>
    <row r="457" s="4" customFormat="1" spans="1:27">
      <c r="A457" s="4" t="s">
        <v>106</v>
      </c>
      <c r="B457" s="4" t="s">
        <v>28</v>
      </c>
      <c r="C457" s="4">
        <v>13610419</v>
      </c>
      <c r="D457" s="19">
        <v>254797641344</v>
      </c>
      <c r="E457" s="21">
        <v>45541.7896412037</v>
      </c>
      <c r="F457" s="4">
        <v>1712.9</v>
      </c>
      <c r="G457" s="4">
        <v>0.39</v>
      </c>
      <c r="H457" s="4">
        <v>1712.51</v>
      </c>
      <c r="I457" s="4">
        <v>97.05</v>
      </c>
      <c r="J457" s="4">
        <v>0.39</v>
      </c>
      <c r="K457" s="4">
        <v>96.66</v>
      </c>
      <c r="L457" s="4">
        <v>734.77</v>
      </c>
      <c r="M457" s="4">
        <v>97724</v>
      </c>
      <c r="N457" s="4">
        <v>140.5</v>
      </c>
      <c r="O457" s="4">
        <v>18686.5</v>
      </c>
      <c r="P457" s="4" t="s">
        <v>29</v>
      </c>
      <c r="Q457" s="4" t="s">
        <v>30</v>
      </c>
      <c r="R457" s="4" t="s">
        <v>164</v>
      </c>
      <c r="S457" s="4">
        <v>0</v>
      </c>
      <c r="T457" s="4">
        <v>4890</v>
      </c>
      <c r="U457" s="4">
        <v>0</v>
      </c>
      <c r="V457" s="4" t="s">
        <v>32</v>
      </c>
      <c r="W457" s="4" t="s">
        <v>32</v>
      </c>
      <c r="X457" s="4" t="s">
        <v>32</v>
      </c>
      <c r="Y457" s="4" t="s">
        <v>32</v>
      </c>
      <c r="Z457" s="4" t="s">
        <v>32</v>
      </c>
      <c r="AA457" s="4" t="s">
        <v>32</v>
      </c>
    </row>
    <row r="458" s="4" customFormat="1" spans="1:27">
      <c r="A458" s="4" t="s">
        <v>106</v>
      </c>
      <c r="B458" s="4" t="s">
        <v>28</v>
      </c>
      <c r="C458" s="4">
        <v>3569559</v>
      </c>
      <c r="D458" s="19">
        <v>254798537177</v>
      </c>
      <c r="E458" s="21">
        <v>44249.8646643519</v>
      </c>
      <c r="F458" s="4">
        <v>808.52</v>
      </c>
      <c r="G458" s="4">
        <v>0</v>
      </c>
      <c r="H458" s="4">
        <v>808.52</v>
      </c>
      <c r="I458" s="4">
        <v>42.98</v>
      </c>
      <c r="J458" s="4">
        <v>0</v>
      </c>
      <c r="K458" s="4">
        <v>42.98</v>
      </c>
      <c r="L458" s="4">
        <v>112.56</v>
      </c>
      <c r="M458" s="4">
        <v>14971</v>
      </c>
      <c r="N458" s="4">
        <v>66.53</v>
      </c>
      <c r="O458" s="4">
        <v>8848.3</v>
      </c>
      <c r="P458" s="4" t="s">
        <v>29</v>
      </c>
      <c r="Q458" s="4" t="s">
        <v>30</v>
      </c>
      <c r="R458" s="4" t="s">
        <v>164</v>
      </c>
      <c r="S458" s="4">
        <v>0</v>
      </c>
      <c r="T458" s="4">
        <v>750</v>
      </c>
      <c r="U458" s="4">
        <v>0</v>
      </c>
      <c r="V458" s="4" t="s">
        <v>32</v>
      </c>
      <c r="W458" s="4" t="s">
        <v>32</v>
      </c>
      <c r="X458" s="4" t="s">
        <v>32</v>
      </c>
      <c r="Y458" s="4" t="s">
        <v>32</v>
      </c>
      <c r="Z458" s="4" t="s">
        <v>32</v>
      </c>
      <c r="AA458" s="4" t="s">
        <v>32</v>
      </c>
    </row>
    <row r="459" s="4" customFormat="1" spans="1:27">
      <c r="A459" s="4" t="s">
        <v>106</v>
      </c>
      <c r="B459" s="4" t="s">
        <v>28</v>
      </c>
      <c r="C459" s="4">
        <v>10089858</v>
      </c>
      <c r="D459" s="19">
        <v>254799286851</v>
      </c>
      <c r="E459" s="21">
        <v>45087.2788310185</v>
      </c>
      <c r="F459" s="4">
        <v>876.04</v>
      </c>
      <c r="G459" s="4">
        <v>0</v>
      </c>
      <c r="H459" s="4">
        <v>876.04</v>
      </c>
      <c r="I459" s="4">
        <v>-16.1</v>
      </c>
      <c r="J459" s="4">
        <v>0</v>
      </c>
      <c r="K459" s="4">
        <v>-16.1</v>
      </c>
      <c r="L459" s="4">
        <v>125.12</v>
      </c>
      <c r="M459" s="4">
        <v>16641</v>
      </c>
      <c r="N459" s="4">
        <v>0</v>
      </c>
      <c r="O459" s="4">
        <v>0</v>
      </c>
      <c r="P459" s="4" t="s">
        <v>34</v>
      </c>
      <c r="Q459" s="4" t="s">
        <v>30</v>
      </c>
      <c r="R459" s="4" t="s">
        <v>164</v>
      </c>
      <c r="S459" s="4">
        <v>0</v>
      </c>
      <c r="T459" s="4">
        <v>830</v>
      </c>
      <c r="U459" s="4">
        <v>0</v>
      </c>
      <c r="V459" s="4" t="s">
        <v>32</v>
      </c>
      <c r="W459" s="4" t="s">
        <v>32</v>
      </c>
      <c r="X459" s="4" t="s">
        <v>32</v>
      </c>
      <c r="Y459" s="4" t="s">
        <v>32</v>
      </c>
      <c r="Z459" s="4" t="s">
        <v>32</v>
      </c>
      <c r="AA459" s="4" t="s">
        <v>32</v>
      </c>
    </row>
  </sheetData>
  <autoFilter xmlns:etc="http://www.wps.cn/officeDocument/2017/etCustomData" ref="A1:AA459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89"/>
  <sheetViews>
    <sheetView workbookViewId="0">
      <selection activeCell="D33" sqref="D33"/>
    </sheetView>
  </sheetViews>
  <sheetFormatPr defaultColWidth="9.02654867256637" defaultRowHeight="13.5" outlineLevelCol="1"/>
  <cols>
    <col min="1" max="1" width="18.3893805309735" style="16"/>
    <col min="2" max="2" width="9"/>
  </cols>
  <sheetData>
    <row r="1" spans="1:2">
      <c r="A1" s="17" t="s">
        <v>3</v>
      </c>
      <c r="B1" s="18" t="s">
        <v>17</v>
      </c>
    </row>
    <row r="2" spans="1:2">
      <c r="A2" s="17">
        <v>254115464651</v>
      </c>
      <c r="B2" s="4" t="s">
        <v>38</v>
      </c>
    </row>
    <row r="3" spans="1:2">
      <c r="A3" s="17">
        <v>254116255629</v>
      </c>
      <c r="B3" s="4" t="s">
        <v>38</v>
      </c>
    </row>
    <row r="4" spans="1:2">
      <c r="A4" s="17">
        <v>254116611542</v>
      </c>
      <c r="B4" s="4" t="s">
        <v>38</v>
      </c>
    </row>
    <row r="5" spans="1:2">
      <c r="A5" s="17">
        <v>254140047631</v>
      </c>
      <c r="B5" s="4" t="s">
        <v>38</v>
      </c>
    </row>
    <row r="6" spans="1:2">
      <c r="A6" s="17">
        <v>254140414468</v>
      </c>
      <c r="B6" s="4" t="s">
        <v>38</v>
      </c>
    </row>
    <row r="7" spans="1:2">
      <c r="A7" s="17">
        <v>254141464090</v>
      </c>
      <c r="B7" s="4" t="s">
        <v>38</v>
      </c>
    </row>
    <row r="8" spans="1:2">
      <c r="A8" s="17">
        <v>254700785323</v>
      </c>
      <c r="B8" s="4" t="s">
        <v>38</v>
      </c>
    </row>
    <row r="9" spans="1:2">
      <c r="A9" s="17">
        <v>254703325859</v>
      </c>
      <c r="B9" s="4" t="s">
        <v>38</v>
      </c>
    </row>
    <row r="10" spans="1:2">
      <c r="A10" s="17">
        <v>254703581163</v>
      </c>
      <c r="B10" s="4" t="s">
        <v>38</v>
      </c>
    </row>
    <row r="11" spans="1:2">
      <c r="A11" s="17">
        <v>254707025433</v>
      </c>
      <c r="B11" s="4" t="s">
        <v>38</v>
      </c>
    </row>
    <row r="12" spans="1:2">
      <c r="A12" s="17">
        <v>254707829195</v>
      </c>
      <c r="B12" s="4" t="s">
        <v>38</v>
      </c>
    </row>
    <row r="13" spans="1:2">
      <c r="A13" s="17">
        <v>254710659278</v>
      </c>
      <c r="B13" s="4" t="s">
        <v>38</v>
      </c>
    </row>
    <row r="14" spans="1:2">
      <c r="A14" s="17">
        <v>254712366285</v>
      </c>
      <c r="B14" s="4" t="s">
        <v>38</v>
      </c>
    </row>
    <row r="15" spans="1:2">
      <c r="A15" s="17">
        <v>254712666371</v>
      </c>
      <c r="B15" s="4" t="s">
        <v>38</v>
      </c>
    </row>
    <row r="16" spans="1:2">
      <c r="A16" s="17">
        <v>254712671248</v>
      </c>
      <c r="B16" s="4" t="s">
        <v>38</v>
      </c>
    </row>
    <row r="17" spans="1:2">
      <c r="A17" s="17">
        <v>254712905066</v>
      </c>
      <c r="B17" s="4" t="s">
        <v>38</v>
      </c>
    </row>
    <row r="18" spans="1:2">
      <c r="A18" s="17">
        <v>254713120430</v>
      </c>
      <c r="B18" s="4" t="s">
        <v>38</v>
      </c>
    </row>
    <row r="19" spans="1:2">
      <c r="A19" s="17">
        <v>254713873683</v>
      </c>
      <c r="B19" s="4" t="s">
        <v>38</v>
      </c>
    </row>
    <row r="20" spans="1:2">
      <c r="A20" s="17">
        <v>254714511213</v>
      </c>
      <c r="B20" s="4" t="s">
        <v>38</v>
      </c>
    </row>
    <row r="21" spans="1:2">
      <c r="A21" s="17">
        <v>254715397260</v>
      </c>
      <c r="B21" s="4" t="s">
        <v>38</v>
      </c>
    </row>
    <row r="22" spans="1:2">
      <c r="A22" s="17">
        <v>254715925936</v>
      </c>
      <c r="B22" s="4" t="s">
        <v>38</v>
      </c>
    </row>
    <row r="23" spans="1:2">
      <c r="A23" s="17">
        <v>254717058847</v>
      </c>
      <c r="B23" s="4" t="s">
        <v>38</v>
      </c>
    </row>
    <row r="24" spans="1:2">
      <c r="A24" s="17">
        <v>254717489723</v>
      </c>
      <c r="B24" s="4" t="s">
        <v>38</v>
      </c>
    </row>
    <row r="25" spans="1:2">
      <c r="A25" s="17">
        <v>254718571705</v>
      </c>
      <c r="B25" s="4" t="s">
        <v>38</v>
      </c>
    </row>
    <row r="26" spans="1:2">
      <c r="A26" s="17">
        <v>254718873432</v>
      </c>
      <c r="B26" s="4" t="s">
        <v>38</v>
      </c>
    </row>
    <row r="27" spans="1:2">
      <c r="A27" s="17">
        <v>254719211217</v>
      </c>
      <c r="B27" s="4" t="s">
        <v>38</v>
      </c>
    </row>
    <row r="28" spans="1:2">
      <c r="A28" s="17">
        <v>254722484393</v>
      </c>
      <c r="B28" s="4" t="s">
        <v>38</v>
      </c>
    </row>
    <row r="29" spans="1:2">
      <c r="A29" s="17">
        <v>254722520329</v>
      </c>
      <c r="B29" s="4" t="s">
        <v>38</v>
      </c>
    </row>
    <row r="30" spans="1:2">
      <c r="A30" s="17">
        <v>254722896574</v>
      </c>
      <c r="B30" s="4" t="s">
        <v>38</v>
      </c>
    </row>
    <row r="31" spans="1:2">
      <c r="A31" s="17">
        <v>254723936569</v>
      </c>
      <c r="B31" s="4" t="s">
        <v>38</v>
      </c>
    </row>
    <row r="32" spans="1:2">
      <c r="A32" s="17">
        <v>254725227759</v>
      </c>
      <c r="B32" s="4" t="s">
        <v>38</v>
      </c>
    </row>
    <row r="33" spans="1:2">
      <c r="A33" s="17">
        <v>254725327057</v>
      </c>
      <c r="B33" s="4" t="s">
        <v>38</v>
      </c>
    </row>
    <row r="34" spans="1:2">
      <c r="A34" s="17">
        <v>254726479727</v>
      </c>
      <c r="B34" s="4" t="s">
        <v>38</v>
      </c>
    </row>
    <row r="35" spans="1:2">
      <c r="A35" s="17">
        <v>254726552750</v>
      </c>
      <c r="B35" s="4" t="s">
        <v>38</v>
      </c>
    </row>
    <row r="36" spans="1:2">
      <c r="A36" s="17">
        <v>254726713819</v>
      </c>
      <c r="B36" s="4" t="s">
        <v>38</v>
      </c>
    </row>
    <row r="37" spans="1:2">
      <c r="A37" s="17">
        <v>254729060989</v>
      </c>
      <c r="B37" s="4" t="s">
        <v>38</v>
      </c>
    </row>
    <row r="38" spans="1:2">
      <c r="A38" s="17">
        <v>254740659395</v>
      </c>
      <c r="B38" s="4" t="s">
        <v>38</v>
      </c>
    </row>
    <row r="39" spans="1:2">
      <c r="A39" s="17">
        <v>254746569776</v>
      </c>
      <c r="B39" s="4" t="s">
        <v>38</v>
      </c>
    </row>
    <row r="40" spans="1:2">
      <c r="A40" s="17">
        <v>254757917406</v>
      </c>
      <c r="B40" s="4" t="s">
        <v>38</v>
      </c>
    </row>
    <row r="41" spans="1:2">
      <c r="A41" s="17">
        <v>254758323547</v>
      </c>
      <c r="B41" s="4" t="s">
        <v>38</v>
      </c>
    </row>
    <row r="42" spans="1:2">
      <c r="A42" s="17">
        <v>254758678467</v>
      </c>
      <c r="B42" s="4" t="s">
        <v>38</v>
      </c>
    </row>
    <row r="43" spans="1:2">
      <c r="A43" s="17">
        <v>254768264749</v>
      </c>
      <c r="B43" s="4" t="s">
        <v>38</v>
      </c>
    </row>
    <row r="44" spans="1:2">
      <c r="A44" s="17">
        <v>254768286644</v>
      </c>
      <c r="B44" s="4" t="s">
        <v>38</v>
      </c>
    </row>
    <row r="45" spans="1:2">
      <c r="A45" s="17">
        <v>254769164317</v>
      </c>
      <c r="B45" s="4" t="s">
        <v>38</v>
      </c>
    </row>
    <row r="46" spans="1:2">
      <c r="A46" s="17">
        <v>254791350676</v>
      </c>
      <c r="B46" s="4" t="s">
        <v>38</v>
      </c>
    </row>
    <row r="47" spans="1:2">
      <c r="A47" s="17">
        <v>254791804303</v>
      </c>
      <c r="B47" s="4" t="s">
        <v>38</v>
      </c>
    </row>
    <row r="48" spans="1:2">
      <c r="A48" s="17">
        <v>254792037353</v>
      </c>
      <c r="B48" s="4" t="s">
        <v>38</v>
      </c>
    </row>
    <row r="49" spans="1:2">
      <c r="A49" s="17">
        <v>254792410078</v>
      </c>
      <c r="B49" s="4" t="s">
        <v>38</v>
      </c>
    </row>
    <row r="50" spans="1:2">
      <c r="A50" s="17">
        <v>254792495599</v>
      </c>
      <c r="B50" s="4" t="s">
        <v>38</v>
      </c>
    </row>
    <row r="51" spans="1:2">
      <c r="A51" s="17">
        <v>254793621557</v>
      </c>
      <c r="B51" s="4" t="s">
        <v>38</v>
      </c>
    </row>
    <row r="52" spans="1:2">
      <c r="A52" s="17">
        <v>254794251162</v>
      </c>
      <c r="B52" s="4" t="s">
        <v>38</v>
      </c>
    </row>
    <row r="53" spans="1:2">
      <c r="A53" s="17">
        <v>254794966115</v>
      </c>
      <c r="B53" s="4" t="s">
        <v>38</v>
      </c>
    </row>
    <row r="54" spans="1:2">
      <c r="A54" s="17">
        <v>254795085758</v>
      </c>
      <c r="B54" s="4" t="s">
        <v>38</v>
      </c>
    </row>
    <row r="55" spans="1:2">
      <c r="A55" s="17">
        <v>254795123062</v>
      </c>
      <c r="B55" s="4" t="s">
        <v>38</v>
      </c>
    </row>
    <row r="56" spans="1:2">
      <c r="A56" s="17">
        <v>254795375790</v>
      </c>
      <c r="B56" s="4" t="s">
        <v>38</v>
      </c>
    </row>
    <row r="57" spans="1:2">
      <c r="A57" s="17">
        <v>254795874620</v>
      </c>
      <c r="B57" s="4" t="s">
        <v>38</v>
      </c>
    </row>
    <row r="58" spans="1:2">
      <c r="A58" s="17">
        <v>254796811544</v>
      </c>
      <c r="B58" s="4" t="s">
        <v>38</v>
      </c>
    </row>
    <row r="59" spans="1:2">
      <c r="A59" s="19">
        <v>254115340046</v>
      </c>
      <c r="B59" s="4" t="s">
        <v>38</v>
      </c>
    </row>
    <row r="60" spans="1:2">
      <c r="A60" s="19">
        <v>254116176707</v>
      </c>
      <c r="B60" s="4" t="s">
        <v>38</v>
      </c>
    </row>
    <row r="61" spans="1:2">
      <c r="A61" s="19">
        <v>254117536106</v>
      </c>
      <c r="B61" s="4" t="s">
        <v>38</v>
      </c>
    </row>
    <row r="62" spans="1:2">
      <c r="A62" s="19">
        <v>254118389347</v>
      </c>
      <c r="B62" s="4" t="s">
        <v>38</v>
      </c>
    </row>
    <row r="63" spans="1:2">
      <c r="A63" s="19">
        <v>254119659526</v>
      </c>
      <c r="B63" s="4" t="s">
        <v>38</v>
      </c>
    </row>
    <row r="64" spans="1:2">
      <c r="A64" s="19">
        <v>254700688912</v>
      </c>
      <c r="B64" s="4" t="s">
        <v>38</v>
      </c>
    </row>
    <row r="65" spans="1:2">
      <c r="A65" s="19">
        <v>254702569649</v>
      </c>
      <c r="B65" s="4" t="s">
        <v>38</v>
      </c>
    </row>
    <row r="66" spans="1:2">
      <c r="A66" s="19">
        <v>254704021138</v>
      </c>
      <c r="B66" s="4" t="s">
        <v>38</v>
      </c>
    </row>
    <row r="67" spans="1:2">
      <c r="A67" s="19">
        <v>254704177773</v>
      </c>
      <c r="B67" s="4" t="s">
        <v>38</v>
      </c>
    </row>
    <row r="68" spans="1:2">
      <c r="A68" s="19">
        <v>254704778099</v>
      </c>
      <c r="B68" s="4" t="s">
        <v>38</v>
      </c>
    </row>
    <row r="69" spans="1:2">
      <c r="A69" s="19">
        <v>254704947195</v>
      </c>
      <c r="B69" s="4" t="s">
        <v>38</v>
      </c>
    </row>
    <row r="70" spans="1:2">
      <c r="A70" s="19">
        <v>254705094468</v>
      </c>
      <c r="B70" s="4" t="s">
        <v>38</v>
      </c>
    </row>
    <row r="71" spans="1:2">
      <c r="A71" s="19">
        <v>254705320182</v>
      </c>
      <c r="B71" s="4" t="s">
        <v>38</v>
      </c>
    </row>
    <row r="72" spans="1:2">
      <c r="A72" s="19">
        <v>254705503520</v>
      </c>
      <c r="B72" s="4" t="s">
        <v>38</v>
      </c>
    </row>
    <row r="73" spans="1:2">
      <c r="A73" s="19">
        <v>254708135880</v>
      </c>
      <c r="B73" s="4" t="s">
        <v>38</v>
      </c>
    </row>
    <row r="74" spans="1:2">
      <c r="A74" s="19">
        <v>254710345176</v>
      </c>
      <c r="B74" s="4" t="s">
        <v>38</v>
      </c>
    </row>
    <row r="75" spans="1:2">
      <c r="A75" s="19">
        <v>254710702119</v>
      </c>
      <c r="B75" s="4" t="s">
        <v>38</v>
      </c>
    </row>
    <row r="76" spans="1:2">
      <c r="A76" s="19">
        <v>254710861165</v>
      </c>
      <c r="B76" s="4" t="s">
        <v>38</v>
      </c>
    </row>
    <row r="77" spans="1:2">
      <c r="A77" s="19">
        <v>254712301798</v>
      </c>
      <c r="B77" s="4" t="s">
        <v>38</v>
      </c>
    </row>
    <row r="78" spans="1:2">
      <c r="A78" s="19">
        <v>254713110224</v>
      </c>
      <c r="B78" s="4" t="s">
        <v>38</v>
      </c>
    </row>
    <row r="79" spans="1:2">
      <c r="A79" s="19">
        <v>254713668931</v>
      </c>
      <c r="B79" s="4" t="s">
        <v>38</v>
      </c>
    </row>
    <row r="80" spans="1:2">
      <c r="A80" s="19">
        <v>254715722490</v>
      </c>
      <c r="B80" s="4" t="s">
        <v>38</v>
      </c>
    </row>
    <row r="81" spans="1:2">
      <c r="A81" s="19">
        <v>254717525801</v>
      </c>
      <c r="B81" s="4" t="s">
        <v>38</v>
      </c>
    </row>
    <row r="82" spans="1:2">
      <c r="A82" s="19">
        <v>254717713292</v>
      </c>
      <c r="B82" s="4" t="s">
        <v>38</v>
      </c>
    </row>
    <row r="83" spans="1:2">
      <c r="A83" s="19">
        <v>254717811622</v>
      </c>
      <c r="B83" s="4" t="s">
        <v>38</v>
      </c>
    </row>
    <row r="84" spans="1:2">
      <c r="A84" s="19">
        <v>254717954367</v>
      </c>
      <c r="B84" s="4" t="s">
        <v>38</v>
      </c>
    </row>
    <row r="85" spans="1:2">
      <c r="A85" s="19">
        <v>254718543425</v>
      </c>
      <c r="B85" s="4" t="s">
        <v>38</v>
      </c>
    </row>
    <row r="86" spans="1:2">
      <c r="A86" s="19">
        <v>254719770787</v>
      </c>
      <c r="B86" s="4" t="s">
        <v>38</v>
      </c>
    </row>
    <row r="87" spans="1:2">
      <c r="A87" s="19">
        <v>254720220843</v>
      </c>
      <c r="B87" s="4" t="s">
        <v>38</v>
      </c>
    </row>
    <row r="88" spans="1:2">
      <c r="A88" s="19">
        <v>254720299668</v>
      </c>
      <c r="B88" s="4" t="s">
        <v>38</v>
      </c>
    </row>
    <row r="89" spans="1:2">
      <c r="A89" s="19">
        <v>254721217410</v>
      </c>
      <c r="B89" s="4" t="s">
        <v>38</v>
      </c>
    </row>
    <row r="90" spans="1:2">
      <c r="A90" s="19">
        <v>254721278181</v>
      </c>
      <c r="B90" s="4" t="s">
        <v>38</v>
      </c>
    </row>
    <row r="91" spans="1:2">
      <c r="A91" s="19">
        <v>254721620737</v>
      </c>
      <c r="B91" s="4" t="s">
        <v>38</v>
      </c>
    </row>
    <row r="92" spans="1:2">
      <c r="A92" s="19">
        <v>254721832091</v>
      </c>
      <c r="B92" s="4" t="s">
        <v>38</v>
      </c>
    </row>
    <row r="93" spans="1:2">
      <c r="A93" s="19">
        <v>254722685409</v>
      </c>
      <c r="B93" s="4" t="s">
        <v>38</v>
      </c>
    </row>
    <row r="94" spans="1:2">
      <c r="A94" s="19">
        <v>254722872210</v>
      </c>
      <c r="B94" s="4" t="s">
        <v>38</v>
      </c>
    </row>
    <row r="95" spans="1:2">
      <c r="A95" s="19">
        <v>254724303827</v>
      </c>
      <c r="B95" s="4" t="s">
        <v>38</v>
      </c>
    </row>
    <row r="96" spans="1:2">
      <c r="A96" s="19">
        <v>254725400755</v>
      </c>
      <c r="B96" s="4" t="s">
        <v>38</v>
      </c>
    </row>
    <row r="97" spans="1:2">
      <c r="A97" s="19">
        <v>254725597316</v>
      </c>
      <c r="B97" s="4" t="s">
        <v>38</v>
      </c>
    </row>
    <row r="98" spans="1:2">
      <c r="A98" s="19">
        <v>254726178163</v>
      </c>
      <c r="B98" s="4" t="s">
        <v>38</v>
      </c>
    </row>
    <row r="99" spans="1:2">
      <c r="A99" s="19">
        <v>254726798896</v>
      </c>
      <c r="B99" s="4" t="s">
        <v>38</v>
      </c>
    </row>
    <row r="100" spans="1:2">
      <c r="A100" s="19">
        <v>254727454468</v>
      </c>
      <c r="B100" s="4" t="s">
        <v>38</v>
      </c>
    </row>
    <row r="101" spans="1:2">
      <c r="A101" s="19">
        <v>254728421694</v>
      </c>
      <c r="B101" s="4" t="s">
        <v>38</v>
      </c>
    </row>
    <row r="102" spans="1:2">
      <c r="A102" s="19">
        <v>254728699987</v>
      </c>
      <c r="B102" s="4" t="s">
        <v>38</v>
      </c>
    </row>
    <row r="103" spans="1:2">
      <c r="A103" s="19">
        <v>254741049497</v>
      </c>
      <c r="B103" s="4" t="s">
        <v>38</v>
      </c>
    </row>
    <row r="104" spans="1:2">
      <c r="A104" s="19">
        <v>254741423183</v>
      </c>
      <c r="B104" s="4" t="s">
        <v>38</v>
      </c>
    </row>
    <row r="105" spans="1:2">
      <c r="A105" s="19">
        <v>254743558162</v>
      </c>
      <c r="B105" s="4" t="s">
        <v>38</v>
      </c>
    </row>
    <row r="106" spans="1:2">
      <c r="A106" s="19">
        <v>254745486690</v>
      </c>
      <c r="B106" s="4" t="s">
        <v>38</v>
      </c>
    </row>
    <row r="107" spans="1:2">
      <c r="A107" s="19">
        <v>254745618260</v>
      </c>
      <c r="B107" s="4" t="s">
        <v>38</v>
      </c>
    </row>
    <row r="108" spans="1:2">
      <c r="A108" s="19">
        <v>254746941428</v>
      </c>
      <c r="B108" s="4" t="s">
        <v>38</v>
      </c>
    </row>
    <row r="109" spans="1:2">
      <c r="A109" s="19">
        <v>254748206448</v>
      </c>
      <c r="B109" s="4" t="s">
        <v>38</v>
      </c>
    </row>
    <row r="110" spans="1:2">
      <c r="A110" s="19">
        <v>254748657306</v>
      </c>
      <c r="B110" s="4" t="s">
        <v>38</v>
      </c>
    </row>
    <row r="111" spans="1:2">
      <c r="A111" s="19">
        <v>254757340006</v>
      </c>
      <c r="B111" s="4" t="s">
        <v>38</v>
      </c>
    </row>
    <row r="112" spans="1:2">
      <c r="A112" s="19">
        <v>254757846804</v>
      </c>
      <c r="B112" s="4" t="s">
        <v>38</v>
      </c>
    </row>
    <row r="113" spans="1:2">
      <c r="A113" s="19">
        <v>254758816540</v>
      </c>
      <c r="B113" s="4" t="s">
        <v>38</v>
      </c>
    </row>
    <row r="114" spans="1:2">
      <c r="A114" s="19">
        <v>254759100009</v>
      </c>
      <c r="B114" s="4" t="s">
        <v>38</v>
      </c>
    </row>
    <row r="115" spans="1:2">
      <c r="A115" s="19">
        <v>254790886261</v>
      </c>
      <c r="B115" s="4" t="s">
        <v>38</v>
      </c>
    </row>
    <row r="116" spans="1:2">
      <c r="A116" s="19">
        <v>254790925761</v>
      </c>
      <c r="B116" s="4" t="s">
        <v>38</v>
      </c>
    </row>
    <row r="117" spans="1:2">
      <c r="A117" s="19">
        <v>254794424367</v>
      </c>
      <c r="B117" s="4" t="s">
        <v>38</v>
      </c>
    </row>
    <row r="118" spans="1:2">
      <c r="A118" s="19">
        <v>254795114307</v>
      </c>
      <c r="B118" s="4" t="s">
        <v>38</v>
      </c>
    </row>
    <row r="119" spans="1:2">
      <c r="A119" s="19">
        <v>254795705873</v>
      </c>
      <c r="B119" s="4" t="s">
        <v>38</v>
      </c>
    </row>
    <row r="120" spans="1:2">
      <c r="A120" s="19">
        <v>254795774274</v>
      </c>
      <c r="B120" s="4" t="s">
        <v>38</v>
      </c>
    </row>
    <row r="121" spans="1:2">
      <c r="A121" s="19">
        <v>254796048427</v>
      </c>
      <c r="B121" s="4" t="s">
        <v>38</v>
      </c>
    </row>
    <row r="122" spans="1:2">
      <c r="A122" s="19">
        <v>254796589435</v>
      </c>
      <c r="B122" s="4" t="s">
        <v>38</v>
      </c>
    </row>
    <row r="123" spans="1:2">
      <c r="A123" s="19">
        <v>254799057384</v>
      </c>
      <c r="B123" s="4" t="s">
        <v>38</v>
      </c>
    </row>
    <row r="124" spans="1:2">
      <c r="A124" s="19">
        <v>254799264269</v>
      </c>
      <c r="B124" s="4" t="s">
        <v>38</v>
      </c>
    </row>
    <row r="125" spans="1:2">
      <c r="A125" s="19">
        <v>254110836813</v>
      </c>
      <c r="B125" s="4" t="s">
        <v>38</v>
      </c>
    </row>
    <row r="126" spans="1:2">
      <c r="A126" s="19">
        <v>254110861850</v>
      </c>
      <c r="B126" s="4" t="s">
        <v>38</v>
      </c>
    </row>
    <row r="127" spans="1:2">
      <c r="A127" s="19">
        <v>254116513295</v>
      </c>
      <c r="B127" s="4" t="s">
        <v>38</v>
      </c>
    </row>
    <row r="128" spans="1:2">
      <c r="A128" s="19">
        <v>254117580706</v>
      </c>
      <c r="B128" s="4" t="s">
        <v>38</v>
      </c>
    </row>
    <row r="129" spans="1:2">
      <c r="A129" s="19">
        <v>254119283097</v>
      </c>
      <c r="B129" s="4" t="s">
        <v>38</v>
      </c>
    </row>
    <row r="130" spans="1:2">
      <c r="A130" s="19">
        <v>254140621618</v>
      </c>
      <c r="B130" s="4" t="s">
        <v>38</v>
      </c>
    </row>
    <row r="131" spans="1:2">
      <c r="A131" s="19">
        <v>254701304143</v>
      </c>
      <c r="B131" s="4" t="s">
        <v>38</v>
      </c>
    </row>
    <row r="132" spans="1:2">
      <c r="A132" s="19">
        <v>254701669754</v>
      </c>
      <c r="B132" s="4" t="s">
        <v>38</v>
      </c>
    </row>
    <row r="133" spans="1:2">
      <c r="A133" s="19">
        <v>254701945725</v>
      </c>
      <c r="B133" s="4" t="s">
        <v>38</v>
      </c>
    </row>
    <row r="134" spans="1:2">
      <c r="A134" s="19">
        <v>254702172156</v>
      </c>
      <c r="B134" s="4" t="s">
        <v>38</v>
      </c>
    </row>
    <row r="135" spans="1:2">
      <c r="A135" s="19">
        <v>254702759164</v>
      </c>
      <c r="B135" s="4" t="s">
        <v>38</v>
      </c>
    </row>
    <row r="136" spans="1:2">
      <c r="A136" s="19">
        <v>254702896654</v>
      </c>
      <c r="B136" s="4" t="s">
        <v>38</v>
      </c>
    </row>
    <row r="137" spans="1:2">
      <c r="A137" s="19">
        <v>254703938238</v>
      </c>
      <c r="B137" s="4" t="s">
        <v>38</v>
      </c>
    </row>
    <row r="138" spans="1:2">
      <c r="A138" s="19">
        <v>254705375701</v>
      </c>
      <c r="B138" s="4" t="s">
        <v>38</v>
      </c>
    </row>
    <row r="139" spans="1:2">
      <c r="A139" s="19">
        <v>254706336147</v>
      </c>
      <c r="B139" s="4" t="s">
        <v>38</v>
      </c>
    </row>
    <row r="140" spans="1:2">
      <c r="A140" s="19">
        <v>254706383103</v>
      </c>
      <c r="B140" s="4" t="s">
        <v>38</v>
      </c>
    </row>
    <row r="141" spans="1:2">
      <c r="A141" s="19">
        <v>254706643554</v>
      </c>
      <c r="B141" s="4" t="s">
        <v>38</v>
      </c>
    </row>
    <row r="142" spans="1:2">
      <c r="A142" s="19">
        <v>254706989984</v>
      </c>
      <c r="B142" s="4" t="s">
        <v>38</v>
      </c>
    </row>
    <row r="143" spans="1:2">
      <c r="A143" s="19">
        <v>254711357330</v>
      </c>
      <c r="B143" s="4" t="s">
        <v>38</v>
      </c>
    </row>
    <row r="144" spans="1:2">
      <c r="A144" s="19">
        <v>254712530713</v>
      </c>
      <c r="B144" s="4" t="s">
        <v>38</v>
      </c>
    </row>
    <row r="145" spans="1:2">
      <c r="A145" s="19">
        <v>254712786429</v>
      </c>
      <c r="B145" s="4" t="s">
        <v>38</v>
      </c>
    </row>
    <row r="146" spans="1:2">
      <c r="A146" s="19">
        <v>254713655622</v>
      </c>
      <c r="B146" s="4" t="s">
        <v>38</v>
      </c>
    </row>
    <row r="147" spans="1:2">
      <c r="A147" s="19">
        <v>254715416505</v>
      </c>
      <c r="B147" s="4" t="s">
        <v>38</v>
      </c>
    </row>
    <row r="148" spans="1:2">
      <c r="A148" s="19">
        <v>254716089114</v>
      </c>
      <c r="B148" s="4" t="s">
        <v>38</v>
      </c>
    </row>
    <row r="149" spans="1:2">
      <c r="A149" s="19">
        <v>254717222699</v>
      </c>
      <c r="B149" s="4" t="s">
        <v>38</v>
      </c>
    </row>
    <row r="150" spans="1:2">
      <c r="A150" s="19">
        <v>254717758954</v>
      </c>
      <c r="B150" s="4" t="s">
        <v>38</v>
      </c>
    </row>
    <row r="151" spans="1:2">
      <c r="A151" s="19">
        <v>254718718653</v>
      </c>
      <c r="B151" s="4" t="s">
        <v>38</v>
      </c>
    </row>
    <row r="152" spans="1:2">
      <c r="A152" s="19">
        <v>254719318577</v>
      </c>
      <c r="B152" s="4" t="s">
        <v>38</v>
      </c>
    </row>
    <row r="153" spans="1:2">
      <c r="A153" s="19">
        <v>254719566865</v>
      </c>
      <c r="B153" s="4" t="s">
        <v>38</v>
      </c>
    </row>
    <row r="154" spans="1:2">
      <c r="A154" s="19">
        <v>254719767266</v>
      </c>
      <c r="B154" s="4" t="s">
        <v>38</v>
      </c>
    </row>
    <row r="155" spans="1:2">
      <c r="A155" s="19">
        <v>254722824576</v>
      </c>
      <c r="B155" s="4" t="s">
        <v>38</v>
      </c>
    </row>
    <row r="156" spans="1:2">
      <c r="A156" s="19">
        <v>254723112675</v>
      </c>
      <c r="B156" s="4" t="s">
        <v>38</v>
      </c>
    </row>
    <row r="157" spans="1:2">
      <c r="A157" s="19">
        <v>254723275890</v>
      </c>
      <c r="B157" s="4" t="s">
        <v>38</v>
      </c>
    </row>
    <row r="158" spans="1:2">
      <c r="A158" s="19">
        <v>254723675585</v>
      </c>
      <c r="B158" s="4" t="s">
        <v>38</v>
      </c>
    </row>
    <row r="159" spans="1:2">
      <c r="A159" s="19">
        <v>254724676563</v>
      </c>
      <c r="B159" s="4" t="s">
        <v>38</v>
      </c>
    </row>
    <row r="160" spans="1:2">
      <c r="A160" s="19">
        <v>254725223000</v>
      </c>
      <c r="B160" s="4" t="s">
        <v>38</v>
      </c>
    </row>
    <row r="161" spans="1:2">
      <c r="A161" s="19">
        <v>254725271182</v>
      </c>
      <c r="B161" s="4" t="s">
        <v>38</v>
      </c>
    </row>
    <row r="162" spans="1:2">
      <c r="A162" s="19">
        <v>254725793059</v>
      </c>
      <c r="B162" s="4" t="s">
        <v>38</v>
      </c>
    </row>
    <row r="163" spans="1:2">
      <c r="A163" s="19">
        <v>254726336734</v>
      </c>
      <c r="B163" s="4" t="s">
        <v>38</v>
      </c>
    </row>
    <row r="164" spans="1:2">
      <c r="A164" s="19">
        <v>254726660315</v>
      </c>
      <c r="B164" s="4" t="s">
        <v>38</v>
      </c>
    </row>
    <row r="165" spans="1:2">
      <c r="A165" s="19">
        <v>254727012847</v>
      </c>
      <c r="B165" s="4" t="s">
        <v>38</v>
      </c>
    </row>
    <row r="166" spans="1:2">
      <c r="A166" s="19">
        <v>254735365608</v>
      </c>
      <c r="B166" s="4" t="s">
        <v>38</v>
      </c>
    </row>
    <row r="167" spans="1:2">
      <c r="A167" s="19">
        <v>254743247634</v>
      </c>
      <c r="B167" s="4" t="s">
        <v>38</v>
      </c>
    </row>
    <row r="168" spans="1:2">
      <c r="A168" s="19">
        <v>254743456689</v>
      </c>
      <c r="B168" s="4" t="s">
        <v>38</v>
      </c>
    </row>
    <row r="169" spans="1:2">
      <c r="A169" s="19">
        <v>254743677971</v>
      </c>
      <c r="B169" s="4" t="s">
        <v>38</v>
      </c>
    </row>
    <row r="170" spans="1:2">
      <c r="A170" s="19">
        <v>254745486082</v>
      </c>
      <c r="B170" s="4" t="s">
        <v>38</v>
      </c>
    </row>
    <row r="171" spans="1:2">
      <c r="A171" s="19">
        <v>254748133967</v>
      </c>
      <c r="B171" s="4" t="s">
        <v>38</v>
      </c>
    </row>
    <row r="172" spans="1:2">
      <c r="A172" s="19">
        <v>254758884819</v>
      </c>
      <c r="B172" s="4" t="s">
        <v>38</v>
      </c>
    </row>
    <row r="173" spans="1:2">
      <c r="A173" s="19">
        <v>254769578182</v>
      </c>
      <c r="B173" s="4" t="s">
        <v>38</v>
      </c>
    </row>
    <row r="174" spans="1:2">
      <c r="A174" s="19">
        <v>254769651564</v>
      </c>
      <c r="B174" s="4" t="s">
        <v>38</v>
      </c>
    </row>
    <row r="175" spans="1:2">
      <c r="A175" s="19">
        <v>254769663351</v>
      </c>
      <c r="B175" s="4" t="s">
        <v>38</v>
      </c>
    </row>
    <row r="176" spans="1:2">
      <c r="A176" s="19">
        <v>254769948533</v>
      </c>
      <c r="B176" s="4" t="s">
        <v>38</v>
      </c>
    </row>
    <row r="177" spans="1:2">
      <c r="A177" s="19">
        <v>254791226446</v>
      </c>
      <c r="B177" s="4" t="s">
        <v>38</v>
      </c>
    </row>
    <row r="178" spans="1:2">
      <c r="A178" s="19">
        <v>254791677041</v>
      </c>
      <c r="B178" s="4" t="s">
        <v>38</v>
      </c>
    </row>
    <row r="179" spans="1:2">
      <c r="A179" s="19">
        <v>254793055517</v>
      </c>
      <c r="B179" s="4" t="s">
        <v>38</v>
      </c>
    </row>
    <row r="180" spans="1:2">
      <c r="A180" s="19">
        <v>254797909034</v>
      </c>
      <c r="B180" s="4" t="s">
        <v>38</v>
      </c>
    </row>
    <row r="181" spans="1:2">
      <c r="A181" s="19">
        <v>254798188421</v>
      </c>
      <c r="B181" s="4" t="s">
        <v>38</v>
      </c>
    </row>
    <row r="182" spans="1:2">
      <c r="A182" s="19">
        <v>254105141513</v>
      </c>
      <c r="B182" s="4" t="s">
        <v>38</v>
      </c>
    </row>
    <row r="183" spans="1:2">
      <c r="A183" s="19">
        <v>254111402205</v>
      </c>
      <c r="B183" s="4" t="s">
        <v>38</v>
      </c>
    </row>
    <row r="184" spans="1:2">
      <c r="A184" s="19">
        <v>254111933428</v>
      </c>
      <c r="B184" s="4" t="s">
        <v>38</v>
      </c>
    </row>
    <row r="185" spans="1:2">
      <c r="A185" s="19">
        <v>254113474117</v>
      </c>
      <c r="B185" s="4" t="s">
        <v>38</v>
      </c>
    </row>
    <row r="186" spans="1:2">
      <c r="A186" s="19">
        <v>254113500353</v>
      </c>
      <c r="B186" s="4" t="s">
        <v>38</v>
      </c>
    </row>
    <row r="187" spans="1:2">
      <c r="A187" s="19">
        <v>254113576740</v>
      </c>
      <c r="B187" s="4" t="s">
        <v>38</v>
      </c>
    </row>
    <row r="188" spans="1:2">
      <c r="A188" s="19">
        <v>254114652944</v>
      </c>
      <c r="B188" s="4" t="s">
        <v>38</v>
      </c>
    </row>
    <row r="189" spans="1:2">
      <c r="A189" s="19">
        <v>254117626833</v>
      </c>
      <c r="B189" s="4" t="s">
        <v>38</v>
      </c>
    </row>
    <row r="190" spans="1:2">
      <c r="A190" s="19">
        <v>254118815668</v>
      </c>
      <c r="B190" s="4" t="s">
        <v>38</v>
      </c>
    </row>
    <row r="191" spans="1:2">
      <c r="A191" s="19">
        <v>254140142988</v>
      </c>
      <c r="B191" s="4" t="s">
        <v>38</v>
      </c>
    </row>
    <row r="192" spans="1:2">
      <c r="A192" s="19">
        <v>254140632144</v>
      </c>
      <c r="B192" s="4" t="s">
        <v>38</v>
      </c>
    </row>
    <row r="193" spans="1:2">
      <c r="A193" s="19">
        <v>254142167435</v>
      </c>
      <c r="B193" s="4" t="s">
        <v>38</v>
      </c>
    </row>
    <row r="194" spans="1:2">
      <c r="A194" s="19">
        <v>254700724502</v>
      </c>
      <c r="B194" s="4" t="s">
        <v>38</v>
      </c>
    </row>
    <row r="195" spans="1:2">
      <c r="A195" s="19">
        <v>254702233849</v>
      </c>
      <c r="B195" s="4" t="s">
        <v>38</v>
      </c>
    </row>
    <row r="196" spans="1:2">
      <c r="A196" s="19">
        <v>254702319862</v>
      </c>
      <c r="B196" s="4" t="s">
        <v>38</v>
      </c>
    </row>
    <row r="197" spans="1:2">
      <c r="A197" s="19">
        <v>254702735284</v>
      </c>
      <c r="B197" s="4" t="s">
        <v>38</v>
      </c>
    </row>
    <row r="198" spans="1:2">
      <c r="A198" s="19">
        <v>254702940023</v>
      </c>
      <c r="B198" s="4" t="s">
        <v>38</v>
      </c>
    </row>
    <row r="199" spans="1:2">
      <c r="A199" s="19">
        <v>254703148756</v>
      </c>
      <c r="B199" s="4" t="s">
        <v>38</v>
      </c>
    </row>
    <row r="200" spans="1:2">
      <c r="A200" s="19">
        <v>254704005555</v>
      </c>
      <c r="B200" s="4" t="s">
        <v>38</v>
      </c>
    </row>
    <row r="201" spans="1:2">
      <c r="A201" s="19">
        <v>254706171860</v>
      </c>
      <c r="B201" s="4" t="s">
        <v>38</v>
      </c>
    </row>
    <row r="202" spans="1:2">
      <c r="A202" s="19">
        <v>254706572795</v>
      </c>
      <c r="B202" s="4" t="s">
        <v>38</v>
      </c>
    </row>
    <row r="203" spans="1:2">
      <c r="A203" s="19">
        <v>254707092265</v>
      </c>
      <c r="B203" s="4" t="s">
        <v>38</v>
      </c>
    </row>
    <row r="204" spans="1:2">
      <c r="A204" s="19">
        <v>254707212219</v>
      </c>
      <c r="B204" s="4" t="s">
        <v>38</v>
      </c>
    </row>
    <row r="205" spans="1:2">
      <c r="A205" s="19">
        <v>254707216705</v>
      </c>
      <c r="B205" s="4" t="s">
        <v>38</v>
      </c>
    </row>
    <row r="206" spans="1:2">
      <c r="A206" s="19">
        <v>254708615417</v>
      </c>
      <c r="B206" s="4" t="s">
        <v>38</v>
      </c>
    </row>
    <row r="207" spans="1:2">
      <c r="A207" s="19">
        <v>254710101775</v>
      </c>
      <c r="B207" s="4" t="s">
        <v>38</v>
      </c>
    </row>
    <row r="208" spans="1:2">
      <c r="A208" s="19">
        <v>254711300997</v>
      </c>
      <c r="B208" s="4" t="s">
        <v>38</v>
      </c>
    </row>
    <row r="209" spans="1:2">
      <c r="A209" s="19">
        <v>254711310638</v>
      </c>
      <c r="B209" s="4" t="s">
        <v>38</v>
      </c>
    </row>
    <row r="210" spans="1:2">
      <c r="A210" s="19">
        <v>254712616998</v>
      </c>
      <c r="B210" s="4" t="s">
        <v>38</v>
      </c>
    </row>
    <row r="211" spans="1:2">
      <c r="A211" s="19">
        <v>254712757922</v>
      </c>
      <c r="B211" s="4" t="s">
        <v>38</v>
      </c>
    </row>
    <row r="212" spans="1:2">
      <c r="A212" s="19">
        <v>254713891297</v>
      </c>
      <c r="B212" s="4" t="s">
        <v>38</v>
      </c>
    </row>
    <row r="213" spans="1:2">
      <c r="A213" s="19">
        <v>254714018823</v>
      </c>
      <c r="B213" s="4" t="s">
        <v>38</v>
      </c>
    </row>
    <row r="214" spans="1:2">
      <c r="A214" s="19">
        <v>254715675230</v>
      </c>
      <c r="B214" s="4" t="s">
        <v>38</v>
      </c>
    </row>
    <row r="215" spans="1:2">
      <c r="A215" s="19">
        <v>254716752899</v>
      </c>
      <c r="B215" s="4" t="s">
        <v>38</v>
      </c>
    </row>
    <row r="216" spans="1:2">
      <c r="A216" s="19">
        <v>254717058936</v>
      </c>
      <c r="B216" s="4" t="s">
        <v>38</v>
      </c>
    </row>
    <row r="217" spans="1:2">
      <c r="A217" s="19">
        <v>254718202188</v>
      </c>
      <c r="B217" s="4" t="s">
        <v>38</v>
      </c>
    </row>
    <row r="218" spans="1:2">
      <c r="A218" s="19">
        <v>254718985030</v>
      </c>
      <c r="B218" s="4" t="s">
        <v>38</v>
      </c>
    </row>
    <row r="219" spans="1:2">
      <c r="A219" s="19">
        <v>254720276518</v>
      </c>
      <c r="B219" s="4" t="s">
        <v>38</v>
      </c>
    </row>
    <row r="220" spans="1:2">
      <c r="A220" s="19">
        <v>254720396271</v>
      </c>
      <c r="B220" s="4" t="s">
        <v>38</v>
      </c>
    </row>
    <row r="221" spans="1:2">
      <c r="A221" s="19">
        <v>254720570390</v>
      </c>
      <c r="B221" s="4" t="s">
        <v>38</v>
      </c>
    </row>
    <row r="222" spans="1:2">
      <c r="A222" s="19">
        <v>254720804258</v>
      </c>
      <c r="B222" s="4" t="s">
        <v>38</v>
      </c>
    </row>
    <row r="223" spans="1:2">
      <c r="A223" s="19">
        <v>254721105988</v>
      </c>
      <c r="B223" s="4" t="s">
        <v>38</v>
      </c>
    </row>
    <row r="224" spans="1:2">
      <c r="A224" s="19">
        <v>254721882488</v>
      </c>
      <c r="B224" s="4" t="s">
        <v>38</v>
      </c>
    </row>
    <row r="225" spans="1:2">
      <c r="A225" s="19">
        <v>254722926377</v>
      </c>
      <c r="B225" s="4" t="s">
        <v>38</v>
      </c>
    </row>
    <row r="226" spans="1:2">
      <c r="A226" s="19">
        <v>254725075313</v>
      </c>
      <c r="B226" s="4" t="s">
        <v>38</v>
      </c>
    </row>
    <row r="227" spans="1:2">
      <c r="A227" s="19">
        <v>254725275696</v>
      </c>
      <c r="B227" s="4" t="s">
        <v>38</v>
      </c>
    </row>
    <row r="228" spans="1:2">
      <c r="A228" s="19">
        <v>254725906100</v>
      </c>
      <c r="B228" s="4" t="s">
        <v>38</v>
      </c>
    </row>
    <row r="229" spans="1:2">
      <c r="A229" s="19">
        <v>254726706750</v>
      </c>
      <c r="B229" s="4" t="s">
        <v>38</v>
      </c>
    </row>
    <row r="230" spans="1:2">
      <c r="A230" s="19">
        <v>254727569262</v>
      </c>
      <c r="B230" s="4" t="s">
        <v>38</v>
      </c>
    </row>
    <row r="231" spans="1:2">
      <c r="A231" s="19">
        <v>254727994988</v>
      </c>
      <c r="B231" s="4" t="s">
        <v>38</v>
      </c>
    </row>
    <row r="232" spans="1:2">
      <c r="A232" s="19">
        <v>254728820482</v>
      </c>
      <c r="B232" s="4" t="s">
        <v>38</v>
      </c>
    </row>
    <row r="233" spans="1:2">
      <c r="A233" s="19">
        <v>254729893155</v>
      </c>
      <c r="B233" s="4" t="s">
        <v>38</v>
      </c>
    </row>
    <row r="234" spans="1:2">
      <c r="A234" s="19">
        <v>254729930399</v>
      </c>
      <c r="B234" s="4" t="s">
        <v>38</v>
      </c>
    </row>
    <row r="235" spans="1:2">
      <c r="A235" s="19">
        <v>254740156781</v>
      </c>
      <c r="B235" s="4" t="s">
        <v>38</v>
      </c>
    </row>
    <row r="236" spans="1:2">
      <c r="A236" s="19">
        <v>254741672328</v>
      </c>
      <c r="B236" s="4" t="s">
        <v>38</v>
      </c>
    </row>
    <row r="237" spans="1:2">
      <c r="A237" s="19">
        <v>254741902476</v>
      </c>
      <c r="B237" s="4" t="s">
        <v>38</v>
      </c>
    </row>
    <row r="238" spans="1:2">
      <c r="A238" s="19">
        <v>254743262728</v>
      </c>
      <c r="B238" s="4" t="s">
        <v>38</v>
      </c>
    </row>
    <row r="239" spans="1:2">
      <c r="A239" s="19">
        <v>254743664199</v>
      </c>
      <c r="B239" s="4" t="s">
        <v>38</v>
      </c>
    </row>
    <row r="240" spans="1:2">
      <c r="A240" s="19">
        <v>254748159116</v>
      </c>
      <c r="B240" s="4" t="s">
        <v>38</v>
      </c>
    </row>
    <row r="241" spans="1:2">
      <c r="A241" s="19">
        <v>254757695841</v>
      </c>
      <c r="B241" s="4" t="s">
        <v>38</v>
      </c>
    </row>
    <row r="242" spans="1:2">
      <c r="A242" s="19">
        <v>254768001060</v>
      </c>
      <c r="B242" s="4" t="s">
        <v>38</v>
      </c>
    </row>
    <row r="243" spans="1:2">
      <c r="A243" s="19">
        <v>254768766227</v>
      </c>
      <c r="B243" s="4" t="s">
        <v>38</v>
      </c>
    </row>
    <row r="244" spans="1:2">
      <c r="A244" s="19">
        <v>254768968416</v>
      </c>
      <c r="B244" s="4" t="s">
        <v>38</v>
      </c>
    </row>
    <row r="245" spans="1:2">
      <c r="A245" s="19">
        <v>254769198597</v>
      </c>
      <c r="B245" s="4" t="s">
        <v>38</v>
      </c>
    </row>
    <row r="246" spans="1:2">
      <c r="A246" s="19">
        <v>254769338060</v>
      </c>
      <c r="B246" s="4" t="s">
        <v>38</v>
      </c>
    </row>
    <row r="247" spans="1:2">
      <c r="A247" s="19">
        <v>254769908165</v>
      </c>
      <c r="B247" s="4" t="s">
        <v>38</v>
      </c>
    </row>
    <row r="248" spans="1:2">
      <c r="A248" s="19">
        <v>254790029270</v>
      </c>
      <c r="B248" s="4" t="s">
        <v>38</v>
      </c>
    </row>
    <row r="249" spans="1:2">
      <c r="A249" s="19">
        <v>254790760108</v>
      </c>
      <c r="B249" s="4" t="s">
        <v>38</v>
      </c>
    </row>
    <row r="250" spans="1:2">
      <c r="A250" s="19">
        <v>254792141332</v>
      </c>
      <c r="B250" s="4" t="s">
        <v>38</v>
      </c>
    </row>
    <row r="251" spans="1:2">
      <c r="A251" s="19">
        <v>254792285100</v>
      </c>
      <c r="B251" s="4" t="s">
        <v>38</v>
      </c>
    </row>
    <row r="252" spans="1:2">
      <c r="A252" s="19">
        <v>254792549544</v>
      </c>
      <c r="B252" s="4" t="s">
        <v>38</v>
      </c>
    </row>
    <row r="253" spans="1:2">
      <c r="A253" s="19">
        <v>254793581863</v>
      </c>
      <c r="B253" s="4" t="s">
        <v>38</v>
      </c>
    </row>
    <row r="254" spans="1:2">
      <c r="A254" s="19">
        <v>254794084435</v>
      </c>
      <c r="B254" s="4" t="s">
        <v>38</v>
      </c>
    </row>
    <row r="255" spans="1:2">
      <c r="A255" s="19">
        <v>254794915318</v>
      </c>
      <c r="B255" s="4" t="s">
        <v>38</v>
      </c>
    </row>
    <row r="256" spans="1:2">
      <c r="A256" s="19">
        <v>254795624281</v>
      </c>
      <c r="B256" s="4" t="s">
        <v>38</v>
      </c>
    </row>
    <row r="257" spans="1:2">
      <c r="A257" s="19">
        <v>254797267736</v>
      </c>
      <c r="B257" s="4" t="s">
        <v>38</v>
      </c>
    </row>
    <row r="258" spans="1:2">
      <c r="A258" s="19">
        <v>254797534461</v>
      </c>
      <c r="B258" s="4" t="s">
        <v>38</v>
      </c>
    </row>
    <row r="259" spans="1:2">
      <c r="A259" s="19">
        <v>254797672798</v>
      </c>
      <c r="B259" s="4" t="s">
        <v>38</v>
      </c>
    </row>
    <row r="260" spans="1:2">
      <c r="A260" s="19">
        <v>254798471798</v>
      </c>
      <c r="B260" s="4" t="s">
        <v>38</v>
      </c>
    </row>
    <row r="261" spans="1:2">
      <c r="A261" s="19">
        <v>254799247838</v>
      </c>
      <c r="B261" s="4" t="s">
        <v>38</v>
      </c>
    </row>
    <row r="262" spans="1:2">
      <c r="A262" s="19">
        <v>254110174274</v>
      </c>
      <c r="B262" s="4" t="s">
        <v>38</v>
      </c>
    </row>
    <row r="263" spans="1:2">
      <c r="A263" s="19">
        <v>254112165622</v>
      </c>
      <c r="B263" s="4" t="s">
        <v>38</v>
      </c>
    </row>
    <row r="264" spans="1:2">
      <c r="A264" s="19">
        <v>254112929998</v>
      </c>
      <c r="B264" s="4" t="s">
        <v>38</v>
      </c>
    </row>
    <row r="265" spans="1:2">
      <c r="A265" s="19">
        <v>254117718477</v>
      </c>
      <c r="B265" s="4" t="s">
        <v>38</v>
      </c>
    </row>
    <row r="266" spans="1:2">
      <c r="A266" s="19">
        <v>254119423828</v>
      </c>
      <c r="B266" s="4" t="s">
        <v>38</v>
      </c>
    </row>
    <row r="267" spans="1:2">
      <c r="A267" s="19">
        <v>254140655227</v>
      </c>
      <c r="B267" s="4" t="s">
        <v>38</v>
      </c>
    </row>
    <row r="268" spans="1:2">
      <c r="A268" s="19">
        <v>254700091090</v>
      </c>
      <c r="B268" s="4" t="s">
        <v>38</v>
      </c>
    </row>
    <row r="269" spans="1:2">
      <c r="A269" s="19">
        <v>254701837822</v>
      </c>
      <c r="B269" s="4" t="s">
        <v>38</v>
      </c>
    </row>
    <row r="270" spans="1:2">
      <c r="A270" s="19">
        <v>254705175527</v>
      </c>
      <c r="B270" s="4" t="s">
        <v>38</v>
      </c>
    </row>
    <row r="271" spans="1:2">
      <c r="A271" s="19">
        <v>254706096874</v>
      </c>
      <c r="B271" s="4" t="s">
        <v>38</v>
      </c>
    </row>
    <row r="272" spans="1:2">
      <c r="A272" s="19">
        <v>254707502701</v>
      </c>
      <c r="B272" s="4" t="s">
        <v>38</v>
      </c>
    </row>
    <row r="273" spans="1:2">
      <c r="A273" s="19">
        <v>254707871268</v>
      </c>
      <c r="B273" s="4" t="s">
        <v>38</v>
      </c>
    </row>
    <row r="274" spans="1:2">
      <c r="A274" s="19">
        <v>254708031767</v>
      </c>
      <c r="B274" s="4" t="s">
        <v>38</v>
      </c>
    </row>
    <row r="275" spans="1:2">
      <c r="A275" s="19">
        <v>254708493971</v>
      </c>
      <c r="B275" s="4" t="s">
        <v>38</v>
      </c>
    </row>
    <row r="276" spans="1:2">
      <c r="A276" s="19">
        <v>254710180740</v>
      </c>
      <c r="B276" s="4" t="s">
        <v>38</v>
      </c>
    </row>
    <row r="277" spans="1:2">
      <c r="A277" s="19">
        <v>254710211285</v>
      </c>
      <c r="B277" s="4" t="s">
        <v>38</v>
      </c>
    </row>
    <row r="278" spans="1:2">
      <c r="A278" s="19">
        <v>254710269121</v>
      </c>
      <c r="B278" s="4" t="s">
        <v>38</v>
      </c>
    </row>
    <row r="279" spans="1:2">
      <c r="A279" s="19">
        <v>254711376243</v>
      </c>
      <c r="B279" s="4" t="s">
        <v>38</v>
      </c>
    </row>
    <row r="280" spans="1:2">
      <c r="A280" s="19">
        <v>254711541119</v>
      </c>
      <c r="B280" s="4" t="s">
        <v>38</v>
      </c>
    </row>
    <row r="281" spans="1:2">
      <c r="A281" s="19">
        <v>254711614223</v>
      </c>
      <c r="B281" s="4" t="s">
        <v>38</v>
      </c>
    </row>
    <row r="282" spans="1:2">
      <c r="A282" s="19">
        <v>254711646762</v>
      </c>
      <c r="B282" s="4" t="s">
        <v>38</v>
      </c>
    </row>
    <row r="283" spans="1:2">
      <c r="A283" s="19">
        <v>254712453033</v>
      </c>
      <c r="B283" s="4" t="s">
        <v>38</v>
      </c>
    </row>
    <row r="284" spans="1:2">
      <c r="A284" s="19">
        <v>254713125981</v>
      </c>
      <c r="B284" s="4" t="s">
        <v>38</v>
      </c>
    </row>
    <row r="285" spans="1:2">
      <c r="A285" s="19">
        <v>254713555219</v>
      </c>
      <c r="B285" s="4" t="s">
        <v>38</v>
      </c>
    </row>
    <row r="286" spans="1:2">
      <c r="A286" s="19">
        <v>254716282794</v>
      </c>
      <c r="B286" s="4" t="s">
        <v>38</v>
      </c>
    </row>
    <row r="287" spans="1:2">
      <c r="A287" s="19">
        <v>254717327791</v>
      </c>
      <c r="B287" s="4" t="s">
        <v>38</v>
      </c>
    </row>
    <row r="288" spans="1:2">
      <c r="A288" s="19">
        <v>254718180196</v>
      </c>
      <c r="B288" s="4" t="s">
        <v>38</v>
      </c>
    </row>
    <row r="289" spans="1:2">
      <c r="A289" s="19">
        <v>254718317195</v>
      </c>
      <c r="B289" s="4" t="s">
        <v>38</v>
      </c>
    </row>
    <row r="290" spans="1:2">
      <c r="A290" s="19">
        <v>254720046513</v>
      </c>
      <c r="B290" s="4" t="s">
        <v>38</v>
      </c>
    </row>
    <row r="291" spans="1:2">
      <c r="A291" s="19">
        <v>254722884184</v>
      </c>
      <c r="B291" s="4" t="s">
        <v>38</v>
      </c>
    </row>
    <row r="292" spans="1:2">
      <c r="A292" s="19">
        <v>254722925809</v>
      </c>
      <c r="B292" s="4" t="s">
        <v>38</v>
      </c>
    </row>
    <row r="293" spans="1:2">
      <c r="A293" s="19">
        <v>254724373010</v>
      </c>
      <c r="B293" s="4" t="s">
        <v>38</v>
      </c>
    </row>
    <row r="294" spans="1:2">
      <c r="A294" s="19">
        <v>254725095277</v>
      </c>
      <c r="B294" s="4" t="s">
        <v>38</v>
      </c>
    </row>
    <row r="295" spans="1:2">
      <c r="A295" s="19">
        <v>254725575748</v>
      </c>
      <c r="B295" s="4" t="s">
        <v>38</v>
      </c>
    </row>
    <row r="296" spans="1:2">
      <c r="A296" s="19">
        <v>254725806597</v>
      </c>
      <c r="B296" s="4" t="s">
        <v>38</v>
      </c>
    </row>
    <row r="297" spans="1:2">
      <c r="A297" s="19">
        <v>254727560469</v>
      </c>
      <c r="B297" s="4" t="s">
        <v>38</v>
      </c>
    </row>
    <row r="298" spans="1:2">
      <c r="A298" s="19">
        <v>254727638673</v>
      </c>
      <c r="B298" s="4" t="s">
        <v>38</v>
      </c>
    </row>
    <row r="299" spans="1:2">
      <c r="A299" s="19">
        <v>254727696129</v>
      </c>
      <c r="B299" s="4" t="s">
        <v>38</v>
      </c>
    </row>
    <row r="300" spans="1:2">
      <c r="A300" s="19">
        <v>254727855867</v>
      </c>
      <c r="B300" s="4" t="s">
        <v>38</v>
      </c>
    </row>
    <row r="301" spans="1:2">
      <c r="A301" s="19">
        <v>254728525727</v>
      </c>
      <c r="B301" s="4" t="s">
        <v>38</v>
      </c>
    </row>
    <row r="302" spans="1:2">
      <c r="A302" s="19">
        <v>254729897749</v>
      </c>
      <c r="B302" s="4" t="s">
        <v>38</v>
      </c>
    </row>
    <row r="303" spans="1:2">
      <c r="A303" s="19">
        <v>254732287547</v>
      </c>
      <c r="B303" s="4" t="s">
        <v>38</v>
      </c>
    </row>
    <row r="304" spans="1:2">
      <c r="A304" s="19">
        <v>254736374345</v>
      </c>
      <c r="B304" s="4" t="s">
        <v>38</v>
      </c>
    </row>
    <row r="305" spans="1:2">
      <c r="A305" s="19">
        <v>254740238181</v>
      </c>
      <c r="B305" s="4" t="s">
        <v>38</v>
      </c>
    </row>
    <row r="306" spans="1:2">
      <c r="A306" s="19">
        <v>254740709013</v>
      </c>
      <c r="B306" s="4" t="s">
        <v>38</v>
      </c>
    </row>
    <row r="307" spans="1:2">
      <c r="A307" s="19">
        <v>254741183990</v>
      </c>
      <c r="B307" s="4" t="s">
        <v>38</v>
      </c>
    </row>
    <row r="308" spans="1:2">
      <c r="A308" s="19">
        <v>254743861151</v>
      </c>
      <c r="B308" s="4" t="s">
        <v>38</v>
      </c>
    </row>
    <row r="309" spans="1:2">
      <c r="A309" s="19">
        <v>254745065176</v>
      </c>
      <c r="B309" s="4" t="s">
        <v>38</v>
      </c>
    </row>
    <row r="310" spans="1:2">
      <c r="A310" s="19">
        <v>254745165908</v>
      </c>
      <c r="B310" s="4" t="s">
        <v>38</v>
      </c>
    </row>
    <row r="311" spans="1:2">
      <c r="A311" s="19">
        <v>254745550973</v>
      </c>
      <c r="B311" s="4" t="s">
        <v>38</v>
      </c>
    </row>
    <row r="312" spans="1:2">
      <c r="A312" s="19">
        <v>254746913337</v>
      </c>
      <c r="B312" s="4" t="s">
        <v>38</v>
      </c>
    </row>
    <row r="313" spans="1:2">
      <c r="A313" s="19">
        <v>254748869140</v>
      </c>
      <c r="B313" s="4" t="s">
        <v>38</v>
      </c>
    </row>
    <row r="314" spans="1:2">
      <c r="A314" s="19">
        <v>254757466575</v>
      </c>
      <c r="B314" s="4" t="s">
        <v>38</v>
      </c>
    </row>
    <row r="315" spans="1:2">
      <c r="A315" s="19">
        <v>254757947298</v>
      </c>
      <c r="B315" s="4" t="s">
        <v>38</v>
      </c>
    </row>
    <row r="316" spans="1:2">
      <c r="A316" s="19">
        <v>254768673292</v>
      </c>
      <c r="B316" s="4" t="s">
        <v>38</v>
      </c>
    </row>
    <row r="317" spans="1:2">
      <c r="A317" s="19">
        <v>254768942786</v>
      </c>
      <c r="B317" s="4" t="s">
        <v>38</v>
      </c>
    </row>
    <row r="318" spans="1:2">
      <c r="A318" s="19">
        <v>254769214191</v>
      </c>
      <c r="B318" s="4" t="s">
        <v>38</v>
      </c>
    </row>
    <row r="319" spans="1:2">
      <c r="A319" s="19">
        <v>254790971241</v>
      </c>
      <c r="B319" s="4" t="s">
        <v>38</v>
      </c>
    </row>
    <row r="320" spans="1:2">
      <c r="A320" s="19">
        <v>254791592530</v>
      </c>
      <c r="B320" s="4" t="s">
        <v>38</v>
      </c>
    </row>
    <row r="321" spans="1:2">
      <c r="A321" s="19">
        <v>254794006614</v>
      </c>
      <c r="B321" s="4" t="s">
        <v>38</v>
      </c>
    </row>
    <row r="322" spans="1:2">
      <c r="A322" s="19">
        <v>254794662112</v>
      </c>
      <c r="B322" s="4" t="s">
        <v>38</v>
      </c>
    </row>
    <row r="323" spans="1:2">
      <c r="A323" s="19">
        <v>254794809214</v>
      </c>
      <c r="B323" s="4" t="s">
        <v>38</v>
      </c>
    </row>
    <row r="324" spans="1:2">
      <c r="A324" s="19">
        <v>254799864187</v>
      </c>
      <c r="B324" s="4" t="s">
        <v>38</v>
      </c>
    </row>
    <row r="325" spans="1:2">
      <c r="A325" s="19">
        <v>254799976195</v>
      </c>
      <c r="B325" s="4" t="s">
        <v>38</v>
      </c>
    </row>
    <row r="326" spans="1:2">
      <c r="A326" s="17">
        <v>254112794842</v>
      </c>
      <c r="B326" s="4" t="s">
        <v>109</v>
      </c>
    </row>
    <row r="327" spans="1:2">
      <c r="A327" s="17">
        <v>254112879367</v>
      </c>
      <c r="B327" s="4" t="s">
        <v>109</v>
      </c>
    </row>
    <row r="328" spans="1:2">
      <c r="A328" s="17">
        <v>254116873056</v>
      </c>
      <c r="B328" s="4" t="s">
        <v>109</v>
      </c>
    </row>
    <row r="329" spans="1:2">
      <c r="A329" s="17">
        <v>254117218951</v>
      </c>
      <c r="B329" s="4" t="s">
        <v>109</v>
      </c>
    </row>
    <row r="330" spans="1:2">
      <c r="A330" s="17">
        <v>254119811061</v>
      </c>
      <c r="B330" s="4" t="s">
        <v>109</v>
      </c>
    </row>
    <row r="331" spans="1:2">
      <c r="A331" s="17">
        <v>254140232432</v>
      </c>
      <c r="B331" s="4" t="s">
        <v>109</v>
      </c>
    </row>
    <row r="332" spans="1:2">
      <c r="A332" s="17">
        <v>254140928434</v>
      </c>
      <c r="B332" s="4" t="s">
        <v>109</v>
      </c>
    </row>
    <row r="333" spans="1:2">
      <c r="A333" s="17">
        <v>254700099870</v>
      </c>
      <c r="B333" s="4" t="s">
        <v>109</v>
      </c>
    </row>
    <row r="334" spans="1:2">
      <c r="A334" s="17">
        <v>254701925448</v>
      </c>
      <c r="B334" s="4" t="s">
        <v>109</v>
      </c>
    </row>
    <row r="335" spans="1:2">
      <c r="A335" s="17">
        <v>254702551241</v>
      </c>
      <c r="B335" s="4" t="s">
        <v>109</v>
      </c>
    </row>
    <row r="336" spans="1:2">
      <c r="A336" s="17">
        <v>254705881860</v>
      </c>
      <c r="B336" s="4" t="s">
        <v>109</v>
      </c>
    </row>
    <row r="337" spans="1:2">
      <c r="A337" s="17">
        <v>254706721015</v>
      </c>
      <c r="B337" s="4" t="s">
        <v>109</v>
      </c>
    </row>
    <row r="338" spans="1:2">
      <c r="A338" s="17">
        <v>254707756975</v>
      </c>
      <c r="B338" s="4" t="s">
        <v>109</v>
      </c>
    </row>
    <row r="339" spans="1:2">
      <c r="A339" s="17">
        <v>254707788557</v>
      </c>
      <c r="B339" s="4" t="s">
        <v>109</v>
      </c>
    </row>
    <row r="340" spans="1:2">
      <c r="A340" s="17">
        <v>254708431311</v>
      </c>
      <c r="B340" s="4" t="s">
        <v>109</v>
      </c>
    </row>
    <row r="341" spans="1:2">
      <c r="A341" s="17">
        <v>254713767179</v>
      </c>
      <c r="B341" s="4" t="s">
        <v>109</v>
      </c>
    </row>
    <row r="342" spans="1:2">
      <c r="A342" s="17">
        <v>254713962447</v>
      </c>
      <c r="B342" s="4" t="s">
        <v>109</v>
      </c>
    </row>
    <row r="343" spans="1:2">
      <c r="A343" s="17">
        <v>254715956093</v>
      </c>
      <c r="B343" s="4" t="s">
        <v>109</v>
      </c>
    </row>
    <row r="344" spans="1:2">
      <c r="A344" s="17">
        <v>254716545706</v>
      </c>
      <c r="B344" s="4" t="s">
        <v>109</v>
      </c>
    </row>
    <row r="345" spans="1:2">
      <c r="A345" s="17">
        <v>254716949656</v>
      </c>
      <c r="B345" s="4" t="s">
        <v>109</v>
      </c>
    </row>
    <row r="346" spans="1:2">
      <c r="A346" s="17">
        <v>254717643024</v>
      </c>
      <c r="B346" s="4" t="s">
        <v>109</v>
      </c>
    </row>
    <row r="347" spans="1:2">
      <c r="A347" s="17">
        <v>254718961931</v>
      </c>
      <c r="B347" s="4" t="s">
        <v>109</v>
      </c>
    </row>
    <row r="348" spans="1:2">
      <c r="A348" s="17">
        <v>254719120123</v>
      </c>
      <c r="B348" s="4" t="s">
        <v>109</v>
      </c>
    </row>
    <row r="349" spans="1:2">
      <c r="A349" s="17">
        <v>254719510946</v>
      </c>
      <c r="B349" s="4" t="s">
        <v>109</v>
      </c>
    </row>
    <row r="350" spans="1:2">
      <c r="A350" s="17">
        <v>254719871117</v>
      </c>
      <c r="B350" s="4" t="s">
        <v>109</v>
      </c>
    </row>
    <row r="351" spans="1:2">
      <c r="A351" s="17">
        <v>254720986570</v>
      </c>
      <c r="B351" s="4" t="s">
        <v>109</v>
      </c>
    </row>
    <row r="352" spans="1:2">
      <c r="A352" s="17">
        <v>254721973796</v>
      </c>
      <c r="B352" s="4" t="s">
        <v>109</v>
      </c>
    </row>
    <row r="353" spans="1:2">
      <c r="A353" s="17">
        <v>254722570452</v>
      </c>
      <c r="B353" s="4" t="s">
        <v>109</v>
      </c>
    </row>
    <row r="354" spans="1:2">
      <c r="A354" s="17">
        <v>254722811615</v>
      </c>
      <c r="B354" s="4" t="s">
        <v>109</v>
      </c>
    </row>
    <row r="355" spans="1:2">
      <c r="A355" s="17">
        <v>254723768567</v>
      </c>
      <c r="B355" s="4" t="s">
        <v>109</v>
      </c>
    </row>
    <row r="356" spans="1:2">
      <c r="A356" s="17">
        <v>254723978682</v>
      </c>
      <c r="B356" s="4" t="s">
        <v>109</v>
      </c>
    </row>
    <row r="357" spans="1:2">
      <c r="A357" s="17">
        <v>254724121209</v>
      </c>
      <c r="B357" s="4" t="s">
        <v>109</v>
      </c>
    </row>
    <row r="358" spans="1:2">
      <c r="A358" s="17">
        <v>254724864149</v>
      </c>
      <c r="B358" s="4" t="s">
        <v>109</v>
      </c>
    </row>
    <row r="359" spans="1:2">
      <c r="A359" s="17">
        <v>254728784586</v>
      </c>
      <c r="B359" s="4" t="s">
        <v>109</v>
      </c>
    </row>
    <row r="360" spans="1:2">
      <c r="A360" s="17">
        <v>254729703345</v>
      </c>
      <c r="B360" s="4" t="s">
        <v>109</v>
      </c>
    </row>
    <row r="361" spans="1:2">
      <c r="A361" s="17">
        <v>254729879984</v>
      </c>
      <c r="B361" s="4" t="s">
        <v>109</v>
      </c>
    </row>
    <row r="362" spans="1:2">
      <c r="A362" s="17">
        <v>254740655805</v>
      </c>
      <c r="B362" s="4" t="s">
        <v>109</v>
      </c>
    </row>
    <row r="363" spans="1:2">
      <c r="A363" s="17">
        <v>254740725859</v>
      </c>
      <c r="B363" s="4" t="s">
        <v>109</v>
      </c>
    </row>
    <row r="364" spans="1:2">
      <c r="A364" s="17">
        <v>254741082494</v>
      </c>
      <c r="B364" s="4" t="s">
        <v>109</v>
      </c>
    </row>
    <row r="365" spans="1:2">
      <c r="A365" s="17">
        <v>254745099697</v>
      </c>
      <c r="B365" s="4" t="s">
        <v>109</v>
      </c>
    </row>
    <row r="366" spans="1:2">
      <c r="A366" s="17">
        <v>254748713590</v>
      </c>
      <c r="B366" s="4" t="s">
        <v>109</v>
      </c>
    </row>
    <row r="367" spans="1:2">
      <c r="A367" s="17">
        <v>254748713803</v>
      </c>
      <c r="B367" s="4" t="s">
        <v>109</v>
      </c>
    </row>
    <row r="368" spans="1:2">
      <c r="A368" s="17">
        <v>254748781832</v>
      </c>
      <c r="B368" s="4" t="s">
        <v>109</v>
      </c>
    </row>
    <row r="369" spans="1:2">
      <c r="A369" s="17">
        <v>254768556223</v>
      </c>
      <c r="B369" s="4" t="s">
        <v>109</v>
      </c>
    </row>
    <row r="370" spans="1:2">
      <c r="A370" s="17">
        <v>254769733116</v>
      </c>
      <c r="B370" s="4" t="s">
        <v>109</v>
      </c>
    </row>
    <row r="371" spans="1:2">
      <c r="A371" s="17">
        <v>254790955065</v>
      </c>
      <c r="B371" s="4" t="s">
        <v>109</v>
      </c>
    </row>
    <row r="372" spans="1:2">
      <c r="A372" s="17">
        <v>254791831059</v>
      </c>
      <c r="B372" s="4" t="s">
        <v>109</v>
      </c>
    </row>
    <row r="373" spans="1:2">
      <c r="A373" s="17">
        <v>254792971523</v>
      </c>
      <c r="B373" s="4" t="s">
        <v>109</v>
      </c>
    </row>
    <row r="374" spans="1:2">
      <c r="A374" s="17">
        <v>254794321132</v>
      </c>
      <c r="B374" s="4" t="s">
        <v>109</v>
      </c>
    </row>
    <row r="375" spans="1:2">
      <c r="A375" s="17">
        <v>254795631438</v>
      </c>
      <c r="B375" s="4" t="s">
        <v>109</v>
      </c>
    </row>
    <row r="376" spans="1:2">
      <c r="A376" s="17">
        <v>254795993707</v>
      </c>
      <c r="B376" s="4" t="s">
        <v>109</v>
      </c>
    </row>
    <row r="377" spans="1:2">
      <c r="A377" s="17">
        <v>254797812671</v>
      </c>
      <c r="B377" s="4" t="s">
        <v>109</v>
      </c>
    </row>
    <row r="378" spans="1:2">
      <c r="A378" s="17">
        <v>254798956567</v>
      </c>
      <c r="B378" s="4" t="s">
        <v>109</v>
      </c>
    </row>
    <row r="379" spans="1:2">
      <c r="A379" s="19">
        <v>254112104238</v>
      </c>
      <c r="B379" s="4" t="s">
        <v>109</v>
      </c>
    </row>
    <row r="380" spans="1:2">
      <c r="A380" s="19">
        <v>254115128990</v>
      </c>
      <c r="B380" s="4" t="s">
        <v>109</v>
      </c>
    </row>
    <row r="381" spans="1:2">
      <c r="A381" s="19">
        <v>254115604060</v>
      </c>
      <c r="B381" s="4" t="s">
        <v>109</v>
      </c>
    </row>
    <row r="382" spans="1:2">
      <c r="A382" s="19">
        <v>254116754229</v>
      </c>
      <c r="B382" s="4" t="s">
        <v>109</v>
      </c>
    </row>
    <row r="383" spans="1:2">
      <c r="A383" s="19">
        <v>254700102883</v>
      </c>
      <c r="B383" s="4" t="s">
        <v>109</v>
      </c>
    </row>
    <row r="384" spans="1:2">
      <c r="A384" s="19">
        <v>254701121160</v>
      </c>
      <c r="B384" s="4" t="s">
        <v>109</v>
      </c>
    </row>
    <row r="385" spans="1:2">
      <c r="A385" s="19">
        <v>254701740788</v>
      </c>
      <c r="B385" s="4" t="s">
        <v>109</v>
      </c>
    </row>
    <row r="386" spans="1:2">
      <c r="A386" s="19">
        <v>254702516739</v>
      </c>
      <c r="B386" s="4" t="s">
        <v>109</v>
      </c>
    </row>
    <row r="387" spans="1:2">
      <c r="A387" s="19">
        <v>254702807077</v>
      </c>
      <c r="B387" s="4" t="s">
        <v>109</v>
      </c>
    </row>
    <row r="388" spans="1:2">
      <c r="A388" s="19">
        <v>254703334314</v>
      </c>
      <c r="B388" s="4" t="s">
        <v>109</v>
      </c>
    </row>
    <row r="389" spans="1:2">
      <c r="A389" s="19">
        <v>254703671166</v>
      </c>
      <c r="B389" s="4" t="s">
        <v>109</v>
      </c>
    </row>
    <row r="390" spans="1:2">
      <c r="A390" s="19">
        <v>254704374937</v>
      </c>
      <c r="B390" s="4" t="s">
        <v>109</v>
      </c>
    </row>
    <row r="391" spans="1:2">
      <c r="A391" s="19">
        <v>254704826713</v>
      </c>
      <c r="B391" s="4" t="s">
        <v>109</v>
      </c>
    </row>
    <row r="392" spans="1:2">
      <c r="A392" s="19">
        <v>254704850574</v>
      </c>
      <c r="B392" s="4" t="s">
        <v>109</v>
      </c>
    </row>
    <row r="393" spans="1:2">
      <c r="A393" s="19">
        <v>254705527559</v>
      </c>
      <c r="B393" s="4" t="s">
        <v>109</v>
      </c>
    </row>
    <row r="394" spans="1:2">
      <c r="A394" s="19">
        <v>254708235746</v>
      </c>
      <c r="B394" s="4" t="s">
        <v>109</v>
      </c>
    </row>
    <row r="395" spans="1:2">
      <c r="A395" s="19">
        <v>254710732367</v>
      </c>
      <c r="B395" s="4" t="s">
        <v>109</v>
      </c>
    </row>
    <row r="396" spans="1:2">
      <c r="A396" s="19">
        <v>254711464717</v>
      </c>
      <c r="B396" s="4" t="s">
        <v>109</v>
      </c>
    </row>
    <row r="397" spans="1:2">
      <c r="A397" s="19">
        <v>254712037335</v>
      </c>
      <c r="B397" s="4" t="s">
        <v>109</v>
      </c>
    </row>
    <row r="398" spans="1:2">
      <c r="A398" s="19">
        <v>254714772960</v>
      </c>
      <c r="B398" s="4" t="s">
        <v>109</v>
      </c>
    </row>
    <row r="399" spans="1:2">
      <c r="A399" s="19">
        <v>254715822683</v>
      </c>
      <c r="B399" s="4" t="s">
        <v>109</v>
      </c>
    </row>
    <row r="400" spans="1:2">
      <c r="A400" s="19">
        <v>254716125687</v>
      </c>
      <c r="B400" s="4" t="s">
        <v>109</v>
      </c>
    </row>
    <row r="401" spans="1:2">
      <c r="A401" s="19">
        <v>254716174080</v>
      </c>
      <c r="B401" s="4" t="s">
        <v>109</v>
      </c>
    </row>
    <row r="402" spans="1:2">
      <c r="A402" s="19">
        <v>254717518237</v>
      </c>
      <c r="B402" s="4" t="s">
        <v>109</v>
      </c>
    </row>
    <row r="403" spans="1:2">
      <c r="A403" s="19">
        <v>254718564157</v>
      </c>
      <c r="B403" s="4" t="s">
        <v>109</v>
      </c>
    </row>
    <row r="404" spans="1:2">
      <c r="A404" s="19">
        <v>254720685154</v>
      </c>
      <c r="B404" s="4" t="s">
        <v>109</v>
      </c>
    </row>
    <row r="405" spans="1:2">
      <c r="A405" s="19">
        <v>254721135551</v>
      </c>
      <c r="B405" s="4" t="s">
        <v>109</v>
      </c>
    </row>
    <row r="406" spans="1:2">
      <c r="A406" s="19">
        <v>254721393950</v>
      </c>
      <c r="B406" s="4" t="s">
        <v>109</v>
      </c>
    </row>
    <row r="407" spans="1:2">
      <c r="A407" s="19">
        <v>254721643562</v>
      </c>
      <c r="B407" s="4" t="s">
        <v>109</v>
      </c>
    </row>
    <row r="408" spans="1:2">
      <c r="A408" s="19">
        <v>254723542060</v>
      </c>
      <c r="B408" s="4" t="s">
        <v>109</v>
      </c>
    </row>
    <row r="409" spans="1:2">
      <c r="A409" s="19">
        <v>254724020234</v>
      </c>
      <c r="B409" s="4" t="s">
        <v>109</v>
      </c>
    </row>
    <row r="410" spans="1:2">
      <c r="A410" s="19">
        <v>254724733695</v>
      </c>
      <c r="B410" s="4" t="s">
        <v>109</v>
      </c>
    </row>
    <row r="411" spans="1:2">
      <c r="A411" s="19">
        <v>254725145245</v>
      </c>
      <c r="B411" s="4" t="s">
        <v>109</v>
      </c>
    </row>
    <row r="412" spans="1:2">
      <c r="A412" s="19">
        <v>254726866965</v>
      </c>
      <c r="B412" s="4" t="s">
        <v>109</v>
      </c>
    </row>
    <row r="413" spans="1:2">
      <c r="A413" s="19">
        <v>254727515649</v>
      </c>
      <c r="B413" s="4" t="s">
        <v>109</v>
      </c>
    </row>
    <row r="414" spans="1:2">
      <c r="A414" s="19">
        <v>254729629390</v>
      </c>
      <c r="B414" s="4" t="s">
        <v>109</v>
      </c>
    </row>
    <row r="415" spans="1:2">
      <c r="A415" s="19">
        <v>254735955680</v>
      </c>
      <c r="B415" s="4" t="s">
        <v>109</v>
      </c>
    </row>
    <row r="416" spans="1:2">
      <c r="A416" s="19">
        <v>254742716099</v>
      </c>
      <c r="B416" s="4" t="s">
        <v>109</v>
      </c>
    </row>
    <row r="417" spans="1:2">
      <c r="A417" s="19">
        <v>254746572578</v>
      </c>
      <c r="B417" s="4" t="s">
        <v>109</v>
      </c>
    </row>
    <row r="418" spans="1:2">
      <c r="A418" s="19">
        <v>254748054109</v>
      </c>
      <c r="B418" s="4" t="s">
        <v>109</v>
      </c>
    </row>
    <row r="419" spans="1:2">
      <c r="A419" s="19">
        <v>254768635522</v>
      </c>
      <c r="B419" s="4" t="s">
        <v>109</v>
      </c>
    </row>
    <row r="420" spans="1:2">
      <c r="A420" s="19">
        <v>254769607319</v>
      </c>
      <c r="B420" s="4" t="s">
        <v>109</v>
      </c>
    </row>
    <row r="421" spans="1:2">
      <c r="A421" s="19">
        <v>254790562854</v>
      </c>
      <c r="B421" s="4" t="s">
        <v>109</v>
      </c>
    </row>
    <row r="422" spans="1:2">
      <c r="A422" s="19">
        <v>254791432424</v>
      </c>
      <c r="B422" s="4" t="s">
        <v>109</v>
      </c>
    </row>
    <row r="423" spans="1:2">
      <c r="A423" s="19">
        <v>254792809439</v>
      </c>
      <c r="B423" s="4" t="s">
        <v>109</v>
      </c>
    </row>
    <row r="424" spans="1:2">
      <c r="A424" s="19">
        <v>254793278424</v>
      </c>
      <c r="B424" s="4" t="s">
        <v>109</v>
      </c>
    </row>
    <row r="425" spans="1:2">
      <c r="A425" s="19">
        <v>254793643443</v>
      </c>
      <c r="B425" s="4" t="s">
        <v>109</v>
      </c>
    </row>
    <row r="426" spans="1:2">
      <c r="A426" s="19">
        <v>254794555154</v>
      </c>
      <c r="B426" s="4" t="s">
        <v>109</v>
      </c>
    </row>
    <row r="427" spans="1:2">
      <c r="A427" s="19">
        <v>254795341643</v>
      </c>
      <c r="B427" s="4" t="s">
        <v>109</v>
      </c>
    </row>
    <row r="428" spans="1:2">
      <c r="A428" s="19">
        <v>254795758864</v>
      </c>
      <c r="B428" s="4" t="s">
        <v>109</v>
      </c>
    </row>
    <row r="429" spans="1:2">
      <c r="A429" s="19">
        <v>254797031868</v>
      </c>
      <c r="B429" s="4" t="s">
        <v>109</v>
      </c>
    </row>
    <row r="430" spans="1:2">
      <c r="A430" s="19">
        <v>254799489964</v>
      </c>
      <c r="B430" s="4" t="s">
        <v>109</v>
      </c>
    </row>
    <row r="431" spans="1:2">
      <c r="A431" s="19">
        <v>254799880457</v>
      </c>
      <c r="B431" s="4" t="s">
        <v>109</v>
      </c>
    </row>
    <row r="432" spans="1:2">
      <c r="A432" s="17">
        <v>254113050746</v>
      </c>
      <c r="B432" s="4" t="s">
        <v>164</v>
      </c>
    </row>
    <row r="433" spans="1:2">
      <c r="A433" s="17">
        <v>254114737055</v>
      </c>
      <c r="B433" s="4" t="s">
        <v>164</v>
      </c>
    </row>
    <row r="434" spans="1:2">
      <c r="A434" s="17">
        <v>254115141583</v>
      </c>
      <c r="B434" s="4" t="s">
        <v>164</v>
      </c>
    </row>
    <row r="435" spans="1:2">
      <c r="A435" s="17">
        <v>254140302868</v>
      </c>
      <c r="B435" s="4" t="s">
        <v>164</v>
      </c>
    </row>
    <row r="436" spans="1:2">
      <c r="A436" s="17">
        <v>254140326664</v>
      </c>
      <c r="B436" s="4" t="s">
        <v>164</v>
      </c>
    </row>
    <row r="437" spans="1:2">
      <c r="A437" s="17">
        <v>254700013083</v>
      </c>
      <c r="B437" s="4" t="s">
        <v>164</v>
      </c>
    </row>
    <row r="438" spans="1:2">
      <c r="A438" s="17">
        <v>254700114311</v>
      </c>
      <c r="B438" s="4" t="s">
        <v>164</v>
      </c>
    </row>
    <row r="439" spans="1:2">
      <c r="A439" s="17">
        <v>254701247018</v>
      </c>
      <c r="B439" s="4" t="s">
        <v>164</v>
      </c>
    </row>
    <row r="440" spans="1:2">
      <c r="A440" s="17">
        <v>254701620426</v>
      </c>
      <c r="B440" s="4" t="s">
        <v>164</v>
      </c>
    </row>
    <row r="441" spans="1:2">
      <c r="A441" s="17">
        <v>254702723630</v>
      </c>
      <c r="B441" s="4" t="s">
        <v>164</v>
      </c>
    </row>
    <row r="442" spans="1:2">
      <c r="A442" s="17">
        <v>254704359713</v>
      </c>
      <c r="B442" s="4" t="s">
        <v>164</v>
      </c>
    </row>
    <row r="443" spans="1:2">
      <c r="A443" s="17">
        <v>254704668179</v>
      </c>
      <c r="B443" s="4" t="s">
        <v>164</v>
      </c>
    </row>
    <row r="444" spans="1:2">
      <c r="A444" s="17">
        <v>254705264647</v>
      </c>
      <c r="B444" s="4" t="s">
        <v>164</v>
      </c>
    </row>
    <row r="445" spans="1:2">
      <c r="A445" s="17">
        <v>254705284360</v>
      </c>
      <c r="B445" s="4" t="s">
        <v>164</v>
      </c>
    </row>
    <row r="446" spans="1:2">
      <c r="A446" s="17">
        <v>254705537358</v>
      </c>
      <c r="B446" s="4" t="s">
        <v>164</v>
      </c>
    </row>
    <row r="447" spans="1:2">
      <c r="A447" s="17">
        <v>254705990140</v>
      </c>
      <c r="B447" s="4" t="s">
        <v>164</v>
      </c>
    </row>
    <row r="448" spans="1:2">
      <c r="A448" s="17">
        <v>254706761895</v>
      </c>
      <c r="B448" s="4" t="s">
        <v>164</v>
      </c>
    </row>
    <row r="449" spans="1:2">
      <c r="A449" s="17">
        <v>254706926939</v>
      </c>
      <c r="B449" s="4" t="s">
        <v>164</v>
      </c>
    </row>
    <row r="450" spans="1:2">
      <c r="A450" s="17">
        <v>254707448437</v>
      </c>
      <c r="B450" s="4" t="s">
        <v>164</v>
      </c>
    </row>
    <row r="451" spans="1:2">
      <c r="A451" s="17">
        <v>254707483532</v>
      </c>
      <c r="B451" s="4" t="s">
        <v>164</v>
      </c>
    </row>
    <row r="452" spans="1:2">
      <c r="A452" s="17">
        <v>254708265869</v>
      </c>
      <c r="B452" s="4" t="s">
        <v>164</v>
      </c>
    </row>
    <row r="453" spans="1:2">
      <c r="A453" s="17">
        <v>254708353655</v>
      </c>
      <c r="B453" s="4" t="s">
        <v>164</v>
      </c>
    </row>
    <row r="454" spans="1:2">
      <c r="A454" s="17">
        <v>254710867037</v>
      </c>
      <c r="B454" s="4" t="s">
        <v>164</v>
      </c>
    </row>
    <row r="455" spans="1:2">
      <c r="A455" s="17">
        <v>254713572153</v>
      </c>
      <c r="B455" s="4" t="s">
        <v>164</v>
      </c>
    </row>
    <row r="456" spans="1:2">
      <c r="A456" s="17">
        <v>254714121026</v>
      </c>
      <c r="B456" s="4" t="s">
        <v>164</v>
      </c>
    </row>
    <row r="457" spans="1:2">
      <c r="A457" s="17">
        <v>254715027583</v>
      </c>
      <c r="B457" s="4" t="s">
        <v>164</v>
      </c>
    </row>
    <row r="458" spans="1:2">
      <c r="A458" s="17">
        <v>254715059069</v>
      </c>
      <c r="B458" s="4" t="s">
        <v>164</v>
      </c>
    </row>
    <row r="459" spans="1:2">
      <c r="A459" s="17">
        <v>254715500402</v>
      </c>
      <c r="B459" s="4" t="s">
        <v>164</v>
      </c>
    </row>
    <row r="460" spans="1:2">
      <c r="A460" s="17">
        <v>254716212176</v>
      </c>
      <c r="B460" s="4" t="s">
        <v>164</v>
      </c>
    </row>
    <row r="461" spans="1:2">
      <c r="A461" s="17">
        <v>254716888228</v>
      </c>
      <c r="B461" s="4" t="s">
        <v>164</v>
      </c>
    </row>
    <row r="462" spans="1:2">
      <c r="A462" s="17">
        <v>254717312027</v>
      </c>
      <c r="B462" s="4" t="s">
        <v>164</v>
      </c>
    </row>
    <row r="463" spans="1:2">
      <c r="A463" s="17">
        <v>254717725609</v>
      </c>
      <c r="B463" s="4" t="s">
        <v>164</v>
      </c>
    </row>
    <row r="464" spans="1:2">
      <c r="A464" s="17">
        <v>254717954273</v>
      </c>
      <c r="B464" s="4" t="s">
        <v>164</v>
      </c>
    </row>
    <row r="465" spans="1:2">
      <c r="A465" s="17">
        <v>254718130507</v>
      </c>
      <c r="B465" s="4" t="s">
        <v>164</v>
      </c>
    </row>
    <row r="466" spans="1:2">
      <c r="A466" s="17">
        <v>254719108107</v>
      </c>
      <c r="B466" s="4" t="s">
        <v>164</v>
      </c>
    </row>
    <row r="467" spans="1:2">
      <c r="A467" s="17">
        <v>254719541682</v>
      </c>
      <c r="B467" s="4" t="s">
        <v>164</v>
      </c>
    </row>
    <row r="468" spans="1:2">
      <c r="A468" s="17">
        <v>254720082630</v>
      </c>
      <c r="B468" s="4" t="s">
        <v>164</v>
      </c>
    </row>
    <row r="469" spans="1:2">
      <c r="A469" s="17">
        <v>254720122179</v>
      </c>
      <c r="B469" s="4" t="s">
        <v>164</v>
      </c>
    </row>
    <row r="470" spans="1:2">
      <c r="A470" s="17">
        <v>254720338385</v>
      </c>
      <c r="B470" s="4" t="s">
        <v>164</v>
      </c>
    </row>
    <row r="471" spans="1:2">
      <c r="A471" s="17">
        <v>254720467204</v>
      </c>
      <c r="B471" s="4" t="s">
        <v>164</v>
      </c>
    </row>
    <row r="472" spans="1:2">
      <c r="A472" s="17">
        <v>254720585933</v>
      </c>
      <c r="B472" s="4" t="s">
        <v>164</v>
      </c>
    </row>
    <row r="473" spans="1:2">
      <c r="A473" s="17">
        <v>254721430513</v>
      </c>
      <c r="B473" s="4" t="s">
        <v>164</v>
      </c>
    </row>
    <row r="474" spans="1:2">
      <c r="A474" s="17">
        <v>254721612525</v>
      </c>
      <c r="B474" s="4" t="s">
        <v>164</v>
      </c>
    </row>
    <row r="475" spans="1:2">
      <c r="A475" s="17">
        <v>254722317841</v>
      </c>
      <c r="B475" s="4" t="s">
        <v>164</v>
      </c>
    </row>
    <row r="476" spans="1:2">
      <c r="A476" s="17">
        <v>254722532184</v>
      </c>
      <c r="B476" s="4" t="s">
        <v>164</v>
      </c>
    </row>
    <row r="477" spans="1:2">
      <c r="A477" s="17">
        <v>254722725152</v>
      </c>
      <c r="B477" s="4" t="s">
        <v>164</v>
      </c>
    </row>
    <row r="478" spans="1:2">
      <c r="A478" s="17">
        <v>254723352202</v>
      </c>
      <c r="B478" s="4" t="s">
        <v>164</v>
      </c>
    </row>
    <row r="479" spans="1:2">
      <c r="A479" s="17">
        <v>254723985246</v>
      </c>
      <c r="B479" s="4" t="s">
        <v>164</v>
      </c>
    </row>
    <row r="480" spans="1:2">
      <c r="A480" s="17">
        <v>254724557107</v>
      </c>
      <c r="B480" s="4" t="s">
        <v>164</v>
      </c>
    </row>
    <row r="481" spans="1:2">
      <c r="A481" s="17">
        <v>254724659459</v>
      </c>
      <c r="B481" s="4" t="s">
        <v>164</v>
      </c>
    </row>
    <row r="482" spans="1:2">
      <c r="A482" s="17">
        <v>254725289387</v>
      </c>
      <c r="B482" s="4" t="s">
        <v>164</v>
      </c>
    </row>
    <row r="483" spans="1:2">
      <c r="A483" s="17">
        <v>254725741927</v>
      </c>
      <c r="B483" s="4" t="s">
        <v>164</v>
      </c>
    </row>
    <row r="484" spans="1:2">
      <c r="A484" s="17">
        <v>254726758397</v>
      </c>
      <c r="B484" s="4" t="s">
        <v>164</v>
      </c>
    </row>
    <row r="485" spans="1:2">
      <c r="A485" s="17">
        <v>254727840181</v>
      </c>
      <c r="B485" s="4" t="s">
        <v>164</v>
      </c>
    </row>
    <row r="486" spans="1:2">
      <c r="A486" s="17">
        <v>254728270590</v>
      </c>
      <c r="B486" s="4" t="s">
        <v>164</v>
      </c>
    </row>
    <row r="487" spans="1:2">
      <c r="A487" s="17">
        <v>254728310933</v>
      </c>
      <c r="B487" s="4" t="s">
        <v>164</v>
      </c>
    </row>
    <row r="488" spans="1:2">
      <c r="A488" s="17">
        <v>254728324788</v>
      </c>
      <c r="B488" s="4" t="s">
        <v>164</v>
      </c>
    </row>
    <row r="489" spans="1:2">
      <c r="A489" s="17">
        <v>254728454489</v>
      </c>
      <c r="B489" s="4" t="s">
        <v>164</v>
      </c>
    </row>
    <row r="490" spans="1:2">
      <c r="A490" s="17">
        <v>254728546897</v>
      </c>
      <c r="B490" s="4" t="s">
        <v>164</v>
      </c>
    </row>
    <row r="491" spans="1:2">
      <c r="A491" s="17">
        <v>254728799822</v>
      </c>
      <c r="B491" s="4" t="s">
        <v>164</v>
      </c>
    </row>
    <row r="492" spans="1:2">
      <c r="A492" s="17">
        <v>254728927924</v>
      </c>
      <c r="B492" s="4" t="s">
        <v>164</v>
      </c>
    </row>
    <row r="493" spans="1:2">
      <c r="A493" s="17">
        <v>254729044607</v>
      </c>
      <c r="B493" s="4" t="s">
        <v>164</v>
      </c>
    </row>
    <row r="494" spans="1:2">
      <c r="A494" s="17">
        <v>254729144332</v>
      </c>
      <c r="B494" s="4" t="s">
        <v>164</v>
      </c>
    </row>
    <row r="495" spans="1:2">
      <c r="A495" s="17">
        <v>254729175986</v>
      </c>
      <c r="B495" s="4" t="s">
        <v>164</v>
      </c>
    </row>
    <row r="496" spans="1:2">
      <c r="A496" s="17">
        <v>254729277934</v>
      </c>
      <c r="B496" s="4" t="s">
        <v>164</v>
      </c>
    </row>
    <row r="497" spans="1:2">
      <c r="A497" s="17">
        <v>254729889133</v>
      </c>
      <c r="B497" s="4" t="s">
        <v>164</v>
      </c>
    </row>
    <row r="498" spans="1:2">
      <c r="A498" s="17">
        <v>254740307312</v>
      </c>
      <c r="B498" s="4" t="s">
        <v>164</v>
      </c>
    </row>
    <row r="499" spans="1:2">
      <c r="A499" s="17">
        <v>254740727423</v>
      </c>
      <c r="B499" s="4" t="s">
        <v>164</v>
      </c>
    </row>
    <row r="500" spans="1:2">
      <c r="A500" s="17">
        <v>254743496752</v>
      </c>
      <c r="B500" s="4" t="s">
        <v>164</v>
      </c>
    </row>
    <row r="501" spans="1:2">
      <c r="A501" s="17">
        <v>254745459474</v>
      </c>
      <c r="B501" s="4" t="s">
        <v>164</v>
      </c>
    </row>
    <row r="502" spans="1:2">
      <c r="A502" s="17">
        <v>254745965971</v>
      </c>
      <c r="B502" s="4" t="s">
        <v>164</v>
      </c>
    </row>
    <row r="503" spans="1:2">
      <c r="A503" s="17">
        <v>254748105090</v>
      </c>
      <c r="B503" s="4" t="s">
        <v>164</v>
      </c>
    </row>
    <row r="504" spans="1:2">
      <c r="A504" s="17">
        <v>254748400412</v>
      </c>
      <c r="B504" s="4" t="s">
        <v>164</v>
      </c>
    </row>
    <row r="505" spans="1:2">
      <c r="A505" s="17">
        <v>254748638509</v>
      </c>
      <c r="B505" s="4" t="s">
        <v>164</v>
      </c>
    </row>
    <row r="506" spans="1:2">
      <c r="A506" s="17">
        <v>254752862759</v>
      </c>
      <c r="B506" s="4" t="s">
        <v>164</v>
      </c>
    </row>
    <row r="507" spans="1:2">
      <c r="A507" s="17">
        <v>254753067729</v>
      </c>
      <c r="B507" s="4" t="s">
        <v>164</v>
      </c>
    </row>
    <row r="508" spans="1:2">
      <c r="A508" s="17">
        <v>254757853772</v>
      </c>
      <c r="B508" s="4" t="s">
        <v>164</v>
      </c>
    </row>
    <row r="509" spans="1:2">
      <c r="A509" s="17">
        <v>254758619701</v>
      </c>
      <c r="B509" s="4" t="s">
        <v>164</v>
      </c>
    </row>
    <row r="510" spans="1:2">
      <c r="A510" s="17">
        <v>254758650033</v>
      </c>
      <c r="B510" s="4" t="s">
        <v>164</v>
      </c>
    </row>
    <row r="511" spans="1:2">
      <c r="A511" s="17">
        <v>254759425323</v>
      </c>
      <c r="B511" s="4" t="s">
        <v>164</v>
      </c>
    </row>
    <row r="512" spans="1:2">
      <c r="A512" s="17">
        <v>254780156928</v>
      </c>
      <c r="B512" s="4" t="s">
        <v>164</v>
      </c>
    </row>
    <row r="513" spans="1:2">
      <c r="A513" s="17">
        <v>254791527570</v>
      </c>
      <c r="B513" s="4" t="s">
        <v>164</v>
      </c>
    </row>
    <row r="514" spans="1:2">
      <c r="A514" s="17">
        <v>254792064195</v>
      </c>
      <c r="B514" s="4" t="s">
        <v>164</v>
      </c>
    </row>
    <row r="515" spans="1:2">
      <c r="A515" s="17">
        <v>254792523459</v>
      </c>
      <c r="B515" s="4" t="s">
        <v>164</v>
      </c>
    </row>
    <row r="516" spans="1:2">
      <c r="A516" s="17">
        <v>254793294359</v>
      </c>
      <c r="B516" s="4" t="s">
        <v>164</v>
      </c>
    </row>
    <row r="517" spans="1:2">
      <c r="A517" s="17">
        <v>254794094609</v>
      </c>
      <c r="B517" s="4" t="s">
        <v>164</v>
      </c>
    </row>
    <row r="518" spans="1:2">
      <c r="A518" s="17">
        <v>254794514464</v>
      </c>
      <c r="B518" s="4" t="s">
        <v>164</v>
      </c>
    </row>
    <row r="519" spans="1:2">
      <c r="A519" s="17">
        <v>254794831592</v>
      </c>
      <c r="B519" s="4" t="s">
        <v>164</v>
      </c>
    </row>
    <row r="520" spans="1:2">
      <c r="A520" s="17">
        <v>254795902808</v>
      </c>
      <c r="B520" s="4" t="s">
        <v>164</v>
      </c>
    </row>
    <row r="521" spans="1:2">
      <c r="A521" s="17">
        <v>254796044714</v>
      </c>
      <c r="B521" s="4" t="s">
        <v>164</v>
      </c>
    </row>
    <row r="522" spans="1:2">
      <c r="A522" s="17">
        <v>254796670273</v>
      </c>
      <c r="B522" s="4" t="s">
        <v>164</v>
      </c>
    </row>
    <row r="523" spans="1:2">
      <c r="A523" s="17">
        <v>254797698365</v>
      </c>
      <c r="B523" s="4" t="s">
        <v>164</v>
      </c>
    </row>
    <row r="524" spans="1:2">
      <c r="A524" s="17">
        <v>254797827050</v>
      </c>
      <c r="B524" s="4" t="s">
        <v>164</v>
      </c>
    </row>
    <row r="525" spans="1:2">
      <c r="A525" s="17">
        <v>254798419208</v>
      </c>
      <c r="B525" s="4" t="s">
        <v>164</v>
      </c>
    </row>
    <row r="526" spans="1:2">
      <c r="A526" s="17">
        <v>254798584910</v>
      </c>
      <c r="B526" s="4" t="s">
        <v>164</v>
      </c>
    </row>
    <row r="527" spans="1:2">
      <c r="A527" s="17">
        <v>254798946247</v>
      </c>
      <c r="B527" s="4" t="s">
        <v>164</v>
      </c>
    </row>
    <row r="528" spans="1:2">
      <c r="A528" s="19">
        <v>254110233502</v>
      </c>
      <c r="B528" s="4" t="s">
        <v>164</v>
      </c>
    </row>
    <row r="529" spans="1:2">
      <c r="A529" s="19">
        <v>254110361556</v>
      </c>
      <c r="B529" s="4" t="s">
        <v>164</v>
      </c>
    </row>
    <row r="530" spans="1:2">
      <c r="A530" s="19">
        <v>254111398591</v>
      </c>
      <c r="B530" s="4" t="s">
        <v>164</v>
      </c>
    </row>
    <row r="531" spans="1:2">
      <c r="A531" s="19">
        <v>254112866475</v>
      </c>
      <c r="B531" s="4" t="s">
        <v>164</v>
      </c>
    </row>
    <row r="532" spans="1:2">
      <c r="A532" s="19">
        <v>254113241000</v>
      </c>
      <c r="B532" s="4" t="s">
        <v>164</v>
      </c>
    </row>
    <row r="533" spans="1:2">
      <c r="A533" s="19">
        <v>254113335557</v>
      </c>
      <c r="B533" s="4" t="s">
        <v>164</v>
      </c>
    </row>
    <row r="534" spans="1:2">
      <c r="A534" s="19">
        <v>254113615115</v>
      </c>
      <c r="B534" s="4" t="s">
        <v>164</v>
      </c>
    </row>
    <row r="535" spans="1:2">
      <c r="A535" s="19">
        <v>254116021075</v>
      </c>
      <c r="B535" s="4" t="s">
        <v>164</v>
      </c>
    </row>
    <row r="536" spans="1:2">
      <c r="A536" s="19">
        <v>254116249274</v>
      </c>
      <c r="B536" s="4" t="s">
        <v>164</v>
      </c>
    </row>
    <row r="537" spans="1:2">
      <c r="A537" s="19">
        <v>254117010052</v>
      </c>
      <c r="B537" s="4" t="s">
        <v>164</v>
      </c>
    </row>
    <row r="538" spans="1:2">
      <c r="A538" s="19">
        <v>254117507840</v>
      </c>
      <c r="B538" s="4" t="s">
        <v>164</v>
      </c>
    </row>
    <row r="539" spans="1:2">
      <c r="A539" s="19">
        <v>254117789395</v>
      </c>
      <c r="B539" s="4" t="s">
        <v>164</v>
      </c>
    </row>
    <row r="540" spans="1:2">
      <c r="A540" s="19">
        <v>254700390020</v>
      </c>
      <c r="B540" s="4" t="s">
        <v>164</v>
      </c>
    </row>
    <row r="541" spans="1:2">
      <c r="A541" s="19">
        <v>254700403580</v>
      </c>
      <c r="B541" s="4" t="s">
        <v>164</v>
      </c>
    </row>
    <row r="542" spans="1:2">
      <c r="A542" s="19">
        <v>254704372262</v>
      </c>
      <c r="B542" s="4" t="s">
        <v>164</v>
      </c>
    </row>
    <row r="543" spans="1:2">
      <c r="A543" s="19">
        <v>254704851286</v>
      </c>
      <c r="B543" s="4" t="s">
        <v>164</v>
      </c>
    </row>
    <row r="544" spans="1:2">
      <c r="A544" s="19">
        <v>254705042619</v>
      </c>
      <c r="B544" s="4" t="s">
        <v>164</v>
      </c>
    </row>
    <row r="545" spans="1:2">
      <c r="A545" s="19">
        <v>254705478480</v>
      </c>
      <c r="B545" s="4" t="s">
        <v>164</v>
      </c>
    </row>
    <row r="546" spans="1:2">
      <c r="A546" s="19">
        <v>254710155478</v>
      </c>
      <c r="B546" s="4" t="s">
        <v>164</v>
      </c>
    </row>
    <row r="547" spans="1:2">
      <c r="A547" s="19">
        <v>254710260457</v>
      </c>
      <c r="B547" s="4" t="s">
        <v>164</v>
      </c>
    </row>
    <row r="548" spans="1:2">
      <c r="A548" s="19">
        <v>254710976519</v>
      </c>
      <c r="B548" s="4" t="s">
        <v>164</v>
      </c>
    </row>
    <row r="549" spans="1:2">
      <c r="A549" s="19">
        <v>254713311489</v>
      </c>
      <c r="B549" s="4" t="s">
        <v>164</v>
      </c>
    </row>
    <row r="550" spans="1:2">
      <c r="A550" s="19">
        <v>254713314701</v>
      </c>
      <c r="B550" s="4" t="s">
        <v>164</v>
      </c>
    </row>
    <row r="551" spans="1:2">
      <c r="A551" s="19">
        <v>254713543222</v>
      </c>
      <c r="B551" s="4" t="s">
        <v>164</v>
      </c>
    </row>
    <row r="552" spans="1:2">
      <c r="A552" s="19">
        <v>254713941825</v>
      </c>
      <c r="B552" s="4" t="s">
        <v>164</v>
      </c>
    </row>
    <row r="553" spans="1:2">
      <c r="A553" s="19">
        <v>254716051052</v>
      </c>
      <c r="B553" s="4" t="s">
        <v>164</v>
      </c>
    </row>
    <row r="554" spans="1:2">
      <c r="A554" s="19">
        <v>254716905083</v>
      </c>
      <c r="B554" s="4" t="s">
        <v>164</v>
      </c>
    </row>
    <row r="555" spans="1:2">
      <c r="A555" s="19">
        <v>254717317792</v>
      </c>
      <c r="B555" s="4" t="s">
        <v>164</v>
      </c>
    </row>
    <row r="556" spans="1:2">
      <c r="A556" s="19">
        <v>254718004064</v>
      </c>
      <c r="B556" s="4" t="s">
        <v>164</v>
      </c>
    </row>
    <row r="557" spans="1:2">
      <c r="A557" s="19">
        <v>254718131778</v>
      </c>
      <c r="B557" s="4" t="s">
        <v>164</v>
      </c>
    </row>
    <row r="558" spans="1:2">
      <c r="A558" s="19">
        <v>254720106210</v>
      </c>
      <c r="B558" s="4" t="s">
        <v>164</v>
      </c>
    </row>
    <row r="559" spans="1:2">
      <c r="A559" s="19">
        <v>254720264897</v>
      </c>
      <c r="B559" s="4" t="s">
        <v>164</v>
      </c>
    </row>
    <row r="560" spans="1:2">
      <c r="A560" s="19">
        <v>254720342218</v>
      </c>
      <c r="B560" s="4" t="s">
        <v>164</v>
      </c>
    </row>
    <row r="561" spans="1:2">
      <c r="A561" s="19">
        <v>254720712908</v>
      </c>
      <c r="B561" s="4" t="s">
        <v>164</v>
      </c>
    </row>
    <row r="562" spans="1:2">
      <c r="A562" s="19">
        <v>254721979344</v>
      </c>
      <c r="B562" s="4" t="s">
        <v>164</v>
      </c>
    </row>
    <row r="563" spans="1:2">
      <c r="A563" s="19">
        <v>254722323764</v>
      </c>
      <c r="B563" s="4" t="s">
        <v>164</v>
      </c>
    </row>
    <row r="564" spans="1:2">
      <c r="A564" s="19">
        <v>254722939030</v>
      </c>
      <c r="B564" s="4" t="s">
        <v>164</v>
      </c>
    </row>
    <row r="565" spans="1:2">
      <c r="A565" s="19">
        <v>254723225729</v>
      </c>
      <c r="B565" s="4" t="s">
        <v>164</v>
      </c>
    </row>
    <row r="566" spans="1:2">
      <c r="A566" s="19">
        <v>254724063616</v>
      </c>
      <c r="B566" s="4" t="s">
        <v>164</v>
      </c>
    </row>
    <row r="567" spans="1:2">
      <c r="A567" s="19">
        <v>254724101008</v>
      </c>
      <c r="B567" s="4" t="s">
        <v>164</v>
      </c>
    </row>
    <row r="568" spans="1:2">
      <c r="A568" s="19">
        <v>254724949758</v>
      </c>
      <c r="B568" s="4" t="s">
        <v>164</v>
      </c>
    </row>
    <row r="569" spans="1:2">
      <c r="A569" s="19">
        <v>254725585656</v>
      </c>
      <c r="B569" s="4" t="s">
        <v>164</v>
      </c>
    </row>
    <row r="570" spans="1:2">
      <c r="A570" s="19">
        <v>254725706520</v>
      </c>
      <c r="B570" s="4" t="s">
        <v>164</v>
      </c>
    </row>
    <row r="571" spans="1:2">
      <c r="A571" s="19">
        <v>254726081096</v>
      </c>
      <c r="B571" s="4" t="s">
        <v>164</v>
      </c>
    </row>
    <row r="572" spans="1:2">
      <c r="A572" s="19">
        <v>254726785034</v>
      </c>
      <c r="B572" s="4" t="s">
        <v>164</v>
      </c>
    </row>
    <row r="573" spans="1:2">
      <c r="A573" s="19">
        <v>254726804772</v>
      </c>
      <c r="B573" s="4" t="s">
        <v>164</v>
      </c>
    </row>
    <row r="574" spans="1:2">
      <c r="A574" s="19">
        <v>254726960247</v>
      </c>
      <c r="B574" s="4" t="s">
        <v>164</v>
      </c>
    </row>
    <row r="575" spans="1:2">
      <c r="A575" s="19">
        <v>254727168844</v>
      </c>
      <c r="B575" s="4" t="s">
        <v>164</v>
      </c>
    </row>
    <row r="576" spans="1:2">
      <c r="A576" s="19">
        <v>254727673573</v>
      </c>
      <c r="B576" s="4" t="s">
        <v>164</v>
      </c>
    </row>
    <row r="577" spans="1:2">
      <c r="A577" s="19">
        <v>254728255627</v>
      </c>
      <c r="B577" s="4" t="s">
        <v>164</v>
      </c>
    </row>
    <row r="578" spans="1:2">
      <c r="A578" s="19">
        <v>254728536383</v>
      </c>
      <c r="B578" s="4" t="s">
        <v>164</v>
      </c>
    </row>
    <row r="579" spans="1:2">
      <c r="A579" s="19">
        <v>254740193384</v>
      </c>
      <c r="B579" s="4" t="s">
        <v>164</v>
      </c>
    </row>
    <row r="580" spans="1:2">
      <c r="A580" s="19">
        <v>254740503616</v>
      </c>
      <c r="B580" s="4" t="s">
        <v>164</v>
      </c>
    </row>
    <row r="581" spans="1:2">
      <c r="A581" s="19">
        <v>254740720387</v>
      </c>
      <c r="B581" s="4" t="s">
        <v>164</v>
      </c>
    </row>
    <row r="582" spans="1:2">
      <c r="A582" s="19">
        <v>254741975583</v>
      </c>
      <c r="B582" s="4" t="s">
        <v>164</v>
      </c>
    </row>
    <row r="583" spans="1:2">
      <c r="A583" s="19">
        <v>254742306699</v>
      </c>
      <c r="B583" s="4" t="s">
        <v>164</v>
      </c>
    </row>
    <row r="584" spans="1:2">
      <c r="A584" s="19">
        <v>254742724652</v>
      </c>
      <c r="B584" s="4" t="s">
        <v>164</v>
      </c>
    </row>
    <row r="585" spans="1:2">
      <c r="A585" s="19">
        <v>254743076540</v>
      </c>
      <c r="B585" s="4" t="s">
        <v>164</v>
      </c>
    </row>
    <row r="586" spans="1:2">
      <c r="A586" s="19">
        <v>254746101119</v>
      </c>
      <c r="B586" s="4" t="s">
        <v>164</v>
      </c>
    </row>
    <row r="587" spans="1:2">
      <c r="A587" s="19">
        <v>254757685331</v>
      </c>
      <c r="B587" s="4" t="s">
        <v>164</v>
      </c>
    </row>
    <row r="588" spans="1:2">
      <c r="A588" s="19">
        <v>254758894643</v>
      </c>
      <c r="B588" s="4" t="s">
        <v>164</v>
      </c>
    </row>
    <row r="589" spans="1:2">
      <c r="A589" s="19">
        <v>254759515564</v>
      </c>
      <c r="B589" s="4" t="s">
        <v>164</v>
      </c>
    </row>
    <row r="590" spans="1:2">
      <c r="A590" s="19">
        <v>254759734083</v>
      </c>
      <c r="B590" s="4" t="s">
        <v>164</v>
      </c>
    </row>
    <row r="591" spans="1:2">
      <c r="A591" s="19">
        <v>254768601766</v>
      </c>
      <c r="B591" s="4" t="s">
        <v>164</v>
      </c>
    </row>
    <row r="592" spans="1:2">
      <c r="A592" s="19">
        <v>254769791667</v>
      </c>
      <c r="B592" s="4" t="s">
        <v>164</v>
      </c>
    </row>
    <row r="593" spans="1:2">
      <c r="A593" s="19">
        <v>254786459377</v>
      </c>
      <c r="B593" s="4" t="s">
        <v>164</v>
      </c>
    </row>
    <row r="594" spans="1:2">
      <c r="A594" s="19">
        <v>254790548034</v>
      </c>
      <c r="B594" s="4" t="s">
        <v>164</v>
      </c>
    </row>
    <row r="595" spans="1:2">
      <c r="A595" s="19">
        <v>254790952494</v>
      </c>
      <c r="B595" s="4" t="s">
        <v>164</v>
      </c>
    </row>
    <row r="596" spans="1:2">
      <c r="A596" s="19">
        <v>254791671923</v>
      </c>
      <c r="B596" s="4" t="s">
        <v>164</v>
      </c>
    </row>
    <row r="597" spans="1:2">
      <c r="A597" s="19">
        <v>254792274487</v>
      </c>
      <c r="B597" s="4" t="s">
        <v>164</v>
      </c>
    </row>
    <row r="598" spans="1:2">
      <c r="A598" s="19">
        <v>254792542857</v>
      </c>
      <c r="B598" s="4" t="s">
        <v>164</v>
      </c>
    </row>
    <row r="599" spans="1:2">
      <c r="A599" s="19">
        <v>254792568727</v>
      </c>
      <c r="B599" s="4" t="s">
        <v>164</v>
      </c>
    </row>
    <row r="600" spans="1:2">
      <c r="A600" s="19">
        <v>254792864827</v>
      </c>
      <c r="B600" s="4" t="s">
        <v>164</v>
      </c>
    </row>
    <row r="601" spans="1:2">
      <c r="A601" s="19">
        <v>254792927350</v>
      </c>
      <c r="B601" s="4" t="s">
        <v>164</v>
      </c>
    </row>
    <row r="602" spans="1:2">
      <c r="A602" s="19">
        <v>254793810037</v>
      </c>
      <c r="B602" s="4" t="s">
        <v>164</v>
      </c>
    </row>
    <row r="603" spans="1:2">
      <c r="A603" s="19">
        <v>254793964079</v>
      </c>
      <c r="B603" s="4" t="s">
        <v>164</v>
      </c>
    </row>
    <row r="604" spans="1:2">
      <c r="A604" s="19">
        <v>254795932937</v>
      </c>
      <c r="B604" s="4" t="s">
        <v>164</v>
      </c>
    </row>
    <row r="605" spans="1:2">
      <c r="A605" s="19">
        <v>254796069425</v>
      </c>
      <c r="B605" s="4" t="s">
        <v>164</v>
      </c>
    </row>
    <row r="606" spans="1:2">
      <c r="A606" s="19">
        <v>254796611523</v>
      </c>
      <c r="B606" s="4" t="s">
        <v>164</v>
      </c>
    </row>
    <row r="607" spans="1:2">
      <c r="A607" s="19">
        <v>254796716200</v>
      </c>
      <c r="B607" s="4" t="s">
        <v>164</v>
      </c>
    </row>
    <row r="608" spans="1:2">
      <c r="A608" s="19">
        <v>254797799740</v>
      </c>
      <c r="B608" s="4" t="s">
        <v>164</v>
      </c>
    </row>
    <row r="609" spans="1:2">
      <c r="A609" s="19">
        <v>254797909950</v>
      </c>
      <c r="B609" s="4" t="s">
        <v>164</v>
      </c>
    </row>
    <row r="610" spans="1:2">
      <c r="A610" s="19">
        <v>254798404385</v>
      </c>
      <c r="B610" s="4" t="s">
        <v>164</v>
      </c>
    </row>
    <row r="611" spans="1:2">
      <c r="A611" s="19">
        <v>254799331544</v>
      </c>
      <c r="B611" s="4" t="s">
        <v>164</v>
      </c>
    </row>
    <row r="612" spans="1:2">
      <c r="A612" s="19">
        <v>254110954782</v>
      </c>
      <c r="B612" s="4" t="s">
        <v>164</v>
      </c>
    </row>
    <row r="613" spans="1:2">
      <c r="A613" s="19">
        <v>254111912405</v>
      </c>
      <c r="B613" s="4" t="s">
        <v>164</v>
      </c>
    </row>
    <row r="614" spans="1:2">
      <c r="A614" s="19">
        <v>254113550481</v>
      </c>
      <c r="B614" s="4" t="s">
        <v>164</v>
      </c>
    </row>
    <row r="615" spans="1:2">
      <c r="A615" s="19">
        <v>254113883464</v>
      </c>
      <c r="B615" s="4" t="s">
        <v>164</v>
      </c>
    </row>
    <row r="616" spans="1:2">
      <c r="A616" s="19">
        <v>254114092921</v>
      </c>
      <c r="B616" s="4" t="s">
        <v>164</v>
      </c>
    </row>
    <row r="617" spans="1:2">
      <c r="A617" s="19">
        <v>254115151700</v>
      </c>
      <c r="B617" s="4" t="s">
        <v>164</v>
      </c>
    </row>
    <row r="618" spans="1:2">
      <c r="A618" s="19">
        <v>254115792654</v>
      </c>
      <c r="B618" s="4" t="s">
        <v>164</v>
      </c>
    </row>
    <row r="619" spans="1:2">
      <c r="A619" s="19">
        <v>254115978345</v>
      </c>
      <c r="B619" s="4" t="s">
        <v>164</v>
      </c>
    </row>
    <row r="620" spans="1:2">
      <c r="A620" s="19">
        <v>254119623455</v>
      </c>
      <c r="B620" s="4" t="s">
        <v>164</v>
      </c>
    </row>
    <row r="621" spans="1:2">
      <c r="A621" s="19">
        <v>254700118787</v>
      </c>
      <c r="B621" s="4" t="s">
        <v>164</v>
      </c>
    </row>
    <row r="622" spans="1:2">
      <c r="A622" s="19">
        <v>254703582991</v>
      </c>
      <c r="B622" s="4" t="s">
        <v>164</v>
      </c>
    </row>
    <row r="623" spans="1:2">
      <c r="A623" s="19">
        <v>254704114547</v>
      </c>
      <c r="B623" s="4" t="s">
        <v>164</v>
      </c>
    </row>
    <row r="624" spans="1:2">
      <c r="A624" s="19">
        <v>254704158703</v>
      </c>
      <c r="B624" s="4" t="s">
        <v>164</v>
      </c>
    </row>
    <row r="625" spans="1:2">
      <c r="A625" s="19">
        <v>254704695335</v>
      </c>
      <c r="B625" s="4" t="s">
        <v>164</v>
      </c>
    </row>
    <row r="626" spans="1:2">
      <c r="A626" s="19">
        <v>254705000972</v>
      </c>
      <c r="B626" s="4" t="s">
        <v>164</v>
      </c>
    </row>
    <row r="627" spans="1:2">
      <c r="A627" s="19">
        <v>254706670874</v>
      </c>
      <c r="B627" s="4" t="s">
        <v>164</v>
      </c>
    </row>
    <row r="628" spans="1:2">
      <c r="A628" s="19">
        <v>254706880969</v>
      </c>
      <c r="B628" s="4" t="s">
        <v>164</v>
      </c>
    </row>
    <row r="629" spans="1:2">
      <c r="A629" s="19">
        <v>254707200525</v>
      </c>
      <c r="B629" s="4" t="s">
        <v>164</v>
      </c>
    </row>
    <row r="630" spans="1:2">
      <c r="A630" s="19">
        <v>254708329504</v>
      </c>
      <c r="B630" s="4" t="s">
        <v>164</v>
      </c>
    </row>
    <row r="631" spans="1:2">
      <c r="A631" s="19">
        <v>254710331308</v>
      </c>
      <c r="B631" s="4" t="s">
        <v>164</v>
      </c>
    </row>
    <row r="632" spans="1:2">
      <c r="A632" s="19">
        <v>254712681043</v>
      </c>
      <c r="B632" s="4" t="s">
        <v>164</v>
      </c>
    </row>
    <row r="633" spans="1:2">
      <c r="A633" s="19">
        <v>254713641613</v>
      </c>
      <c r="B633" s="4" t="s">
        <v>164</v>
      </c>
    </row>
    <row r="634" spans="1:2">
      <c r="A634" s="19">
        <v>254714173303</v>
      </c>
      <c r="B634" s="4" t="s">
        <v>164</v>
      </c>
    </row>
    <row r="635" spans="1:2">
      <c r="A635" s="19">
        <v>254714241197</v>
      </c>
      <c r="B635" s="4" t="s">
        <v>164</v>
      </c>
    </row>
    <row r="636" spans="1:2">
      <c r="A636" s="19">
        <v>254714398889</v>
      </c>
      <c r="B636" s="4" t="s">
        <v>164</v>
      </c>
    </row>
    <row r="637" spans="1:2">
      <c r="A637" s="19">
        <v>254714852588</v>
      </c>
      <c r="B637" s="4" t="s">
        <v>164</v>
      </c>
    </row>
    <row r="638" spans="1:2">
      <c r="A638" s="19">
        <v>254714981951</v>
      </c>
      <c r="B638" s="4" t="s">
        <v>164</v>
      </c>
    </row>
    <row r="639" spans="1:2">
      <c r="A639" s="19">
        <v>254715135415</v>
      </c>
      <c r="B639" s="4" t="s">
        <v>164</v>
      </c>
    </row>
    <row r="640" spans="1:2">
      <c r="A640" s="19">
        <v>254715799919</v>
      </c>
      <c r="B640" s="4" t="s">
        <v>164</v>
      </c>
    </row>
    <row r="641" spans="1:2">
      <c r="A641" s="19">
        <v>254715856035</v>
      </c>
      <c r="B641" s="4" t="s">
        <v>164</v>
      </c>
    </row>
    <row r="642" spans="1:2">
      <c r="A642" s="19">
        <v>254716567074</v>
      </c>
      <c r="B642" s="4" t="s">
        <v>164</v>
      </c>
    </row>
    <row r="643" spans="1:2">
      <c r="A643" s="19">
        <v>254716643208</v>
      </c>
      <c r="B643" s="4" t="s">
        <v>164</v>
      </c>
    </row>
    <row r="644" spans="1:2">
      <c r="A644" s="19">
        <v>254716885985</v>
      </c>
      <c r="B644" s="4" t="s">
        <v>164</v>
      </c>
    </row>
    <row r="645" spans="1:2">
      <c r="A645" s="19">
        <v>254717684125</v>
      </c>
      <c r="B645" s="4" t="s">
        <v>164</v>
      </c>
    </row>
    <row r="646" spans="1:2">
      <c r="A646" s="19">
        <v>254720144371</v>
      </c>
      <c r="B646" s="4" t="s">
        <v>164</v>
      </c>
    </row>
    <row r="647" spans="1:2">
      <c r="A647" s="19">
        <v>254721137123</v>
      </c>
      <c r="B647" s="4" t="s">
        <v>164</v>
      </c>
    </row>
    <row r="648" spans="1:2">
      <c r="A648" s="19">
        <v>254721492966</v>
      </c>
      <c r="B648" s="4" t="s">
        <v>164</v>
      </c>
    </row>
    <row r="649" spans="1:2">
      <c r="A649" s="19">
        <v>254721545343</v>
      </c>
      <c r="B649" s="4" t="s">
        <v>164</v>
      </c>
    </row>
    <row r="650" spans="1:2">
      <c r="A650" s="19">
        <v>254724284677</v>
      </c>
      <c r="B650" s="4" t="s">
        <v>164</v>
      </c>
    </row>
    <row r="651" spans="1:2">
      <c r="A651" s="19">
        <v>254724349321</v>
      </c>
      <c r="B651" s="4" t="s">
        <v>164</v>
      </c>
    </row>
    <row r="652" spans="1:2">
      <c r="A652" s="19">
        <v>254725231474</v>
      </c>
      <c r="B652" s="4" t="s">
        <v>164</v>
      </c>
    </row>
    <row r="653" spans="1:2">
      <c r="A653" s="19">
        <v>254725325173</v>
      </c>
      <c r="B653" s="4" t="s">
        <v>164</v>
      </c>
    </row>
    <row r="654" spans="1:2">
      <c r="A654" s="19">
        <v>254725779914</v>
      </c>
      <c r="B654" s="4" t="s">
        <v>164</v>
      </c>
    </row>
    <row r="655" spans="1:2">
      <c r="A655" s="19">
        <v>254726145150</v>
      </c>
      <c r="B655" s="4" t="s">
        <v>164</v>
      </c>
    </row>
    <row r="656" spans="1:2">
      <c r="A656" s="19">
        <v>254726568497</v>
      </c>
      <c r="B656" s="4" t="s">
        <v>164</v>
      </c>
    </row>
    <row r="657" spans="1:2">
      <c r="A657" s="19">
        <v>254727596655</v>
      </c>
      <c r="B657" s="4" t="s">
        <v>164</v>
      </c>
    </row>
    <row r="658" spans="1:2">
      <c r="A658" s="19">
        <v>254727877981</v>
      </c>
      <c r="B658" s="4" t="s">
        <v>164</v>
      </c>
    </row>
    <row r="659" spans="1:2">
      <c r="A659" s="19">
        <v>254727949458</v>
      </c>
      <c r="B659" s="4" t="s">
        <v>164</v>
      </c>
    </row>
    <row r="660" spans="1:2">
      <c r="A660" s="19">
        <v>254727994394</v>
      </c>
      <c r="B660" s="4" t="s">
        <v>164</v>
      </c>
    </row>
    <row r="661" spans="1:2">
      <c r="A661" s="19">
        <v>254728066488</v>
      </c>
      <c r="B661" s="4" t="s">
        <v>164</v>
      </c>
    </row>
    <row r="662" spans="1:2">
      <c r="A662" s="19">
        <v>254728137546</v>
      </c>
      <c r="B662" s="4" t="s">
        <v>164</v>
      </c>
    </row>
    <row r="663" spans="1:2">
      <c r="A663" s="19">
        <v>254728781109</v>
      </c>
      <c r="B663" s="4" t="s">
        <v>164</v>
      </c>
    </row>
    <row r="664" spans="1:2">
      <c r="A664" s="19">
        <v>254729207317</v>
      </c>
      <c r="B664" s="4" t="s">
        <v>164</v>
      </c>
    </row>
    <row r="665" spans="1:2">
      <c r="A665" s="19">
        <v>254740105572</v>
      </c>
      <c r="B665" s="4" t="s">
        <v>164</v>
      </c>
    </row>
    <row r="666" spans="1:2">
      <c r="A666" s="19">
        <v>254740495569</v>
      </c>
      <c r="B666" s="4" t="s">
        <v>164</v>
      </c>
    </row>
    <row r="667" spans="1:2">
      <c r="A667" s="19">
        <v>254740968402</v>
      </c>
      <c r="B667" s="4" t="s">
        <v>164</v>
      </c>
    </row>
    <row r="668" spans="1:2">
      <c r="A668" s="19">
        <v>254741428917</v>
      </c>
      <c r="B668" s="4" t="s">
        <v>164</v>
      </c>
    </row>
    <row r="669" spans="1:2">
      <c r="A669" s="19">
        <v>254741564096</v>
      </c>
      <c r="B669" s="4" t="s">
        <v>164</v>
      </c>
    </row>
    <row r="670" spans="1:2">
      <c r="A670" s="19">
        <v>254742221530</v>
      </c>
      <c r="B670" s="4" t="s">
        <v>164</v>
      </c>
    </row>
    <row r="671" spans="1:2">
      <c r="A671" s="19">
        <v>254743793450</v>
      </c>
      <c r="B671" s="4" t="s">
        <v>164</v>
      </c>
    </row>
    <row r="672" spans="1:2">
      <c r="A672" s="19">
        <v>254743978769</v>
      </c>
      <c r="B672" s="4" t="s">
        <v>164</v>
      </c>
    </row>
    <row r="673" spans="1:2">
      <c r="A673" s="19">
        <v>254745535653</v>
      </c>
      <c r="B673" s="4" t="s">
        <v>164</v>
      </c>
    </row>
    <row r="674" spans="1:2">
      <c r="A674" s="19">
        <v>254746615116</v>
      </c>
      <c r="B674" s="4" t="s">
        <v>164</v>
      </c>
    </row>
    <row r="675" spans="1:2">
      <c r="A675" s="19">
        <v>254746963507</v>
      </c>
      <c r="B675" s="4" t="s">
        <v>164</v>
      </c>
    </row>
    <row r="676" spans="1:2">
      <c r="A676" s="19">
        <v>254748087991</v>
      </c>
      <c r="B676" s="4" t="s">
        <v>164</v>
      </c>
    </row>
    <row r="677" spans="1:2">
      <c r="A677" s="19">
        <v>254757140237</v>
      </c>
      <c r="B677" s="4" t="s">
        <v>164</v>
      </c>
    </row>
    <row r="678" spans="1:2">
      <c r="A678" s="19">
        <v>254758320025</v>
      </c>
      <c r="B678" s="4" t="s">
        <v>164</v>
      </c>
    </row>
    <row r="679" spans="1:2">
      <c r="A679" s="19">
        <v>254758393911</v>
      </c>
      <c r="B679" s="4" t="s">
        <v>164</v>
      </c>
    </row>
    <row r="680" spans="1:2">
      <c r="A680" s="19">
        <v>254758414186</v>
      </c>
      <c r="B680" s="4" t="s">
        <v>164</v>
      </c>
    </row>
    <row r="681" spans="1:2">
      <c r="A681" s="19">
        <v>254758615618</v>
      </c>
      <c r="B681" s="4" t="s">
        <v>164</v>
      </c>
    </row>
    <row r="682" spans="1:2">
      <c r="A682" s="19">
        <v>254758866282</v>
      </c>
      <c r="B682" s="4" t="s">
        <v>164</v>
      </c>
    </row>
    <row r="683" spans="1:2">
      <c r="A683" s="19">
        <v>254759102952</v>
      </c>
      <c r="B683" s="4" t="s">
        <v>164</v>
      </c>
    </row>
    <row r="684" spans="1:2">
      <c r="A684" s="19">
        <v>254769477822</v>
      </c>
      <c r="B684" s="4" t="s">
        <v>164</v>
      </c>
    </row>
    <row r="685" spans="1:2">
      <c r="A685" s="19">
        <v>254769571333</v>
      </c>
      <c r="B685" s="4" t="s">
        <v>164</v>
      </c>
    </row>
    <row r="686" spans="1:2">
      <c r="A686" s="19">
        <v>254790154590</v>
      </c>
      <c r="B686" s="4" t="s">
        <v>164</v>
      </c>
    </row>
    <row r="687" spans="1:2">
      <c r="A687" s="19">
        <v>254792520038</v>
      </c>
      <c r="B687" s="4" t="s">
        <v>164</v>
      </c>
    </row>
    <row r="688" spans="1:2">
      <c r="A688" s="19">
        <v>254792689725</v>
      </c>
      <c r="B688" s="4" t="s">
        <v>164</v>
      </c>
    </row>
    <row r="689" spans="1:2">
      <c r="A689" s="19">
        <v>254793860652</v>
      </c>
      <c r="B689" s="4" t="s">
        <v>164</v>
      </c>
    </row>
    <row r="690" spans="1:2">
      <c r="A690" s="19">
        <v>254793974314</v>
      </c>
      <c r="B690" s="4" t="s">
        <v>164</v>
      </c>
    </row>
    <row r="691" spans="1:2">
      <c r="A691" s="19">
        <v>254794992787</v>
      </c>
      <c r="B691" s="4" t="s">
        <v>164</v>
      </c>
    </row>
    <row r="692" spans="1:2">
      <c r="A692" s="19">
        <v>254797104848</v>
      </c>
      <c r="B692" s="4" t="s">
        <v>164</v>
      </c>
    </row>
    <row r="693" spans="1:2">
      <c r="A693" s="19">
        <v>254797129216</v>
      </c>
      <c r="B693" s="4" t="s">
        <v>164</v>
      </c>
    </row>
    <row r="694" spans="1:2">
      <c r="A694" s="19">
        <v>254797204012</v>
      </c>
      <c r="B694" s="4" t="s">
        <v>164</v>
      </c>
    </row>
    <row r="695" spans="1:2">
      <c r="A695" s="19">
        <v>254798424729</v>
      </c>
      <c r="B695" s="4" t="s">
        <v>164</v>
      </c>
    </row>
    <row r="696" spans="1:2">
      <c r="A696" s="19">
        <v>254798829500</v>
      </c>
      <c r="B696" s="4" t="s">
        <v>164</v>
      </c>
    </row>
    <row r="697" spans="1:2">
      <c r="A697" s="19">
        <v>254112579930</v>
      </c>
      <c r="B697" s="4" t="s">
        <v>164</v>
      </c>
    </row>
    <row r="698" spans="1:2">
      <c r="A698" s="19">
        <v>254113057674</v>
      </c>
      <c r="B698" s="4" t="s">
        <v>164</v>
      </c>
    </row>
    <row r="699" spans="1:2">
      <c r="A699" s="19">
        <v>254113240758</v>
      </c>
      <c r="B699" s="4" t="s">
        <v>164</v>
      </c>
    </row>
    <row r="700" spans="1:2">
      <c r="A700" s="19">
        <v>254114389116</v>
      </c>
      <c r="B700" s="4" t="s">
        <v>164</v>
      </c>
    </row>
    <row r="701" spans="1:2">
      <c r="A701" s="19">
        <v>254114392239</v>
      </c>
      <c r="B701" s="4" t="s">
        <v>164</v>
      </c>
    </row>
    <row r="702" spans="1:2">
      <c r="A702" s="19">
        <v>254114447701</v>
      </c>
      <c r="B702" s="4" t="s">
        <v>164</v>
      </c>
    </row>
    <row r="703" spans="1:2">
      <c r="A703" s="19">
        <v>254114595365</v>
      </c>
      <c r="B703" s="4" t="s">
        <v>164</v>
      </c>
    </row>
    <row r="704" spans="1:2">
      <c r="A704" s="19">
        <v>254114598823</v>
      </c>
      <c r="B704" s="4" t="s">
        <v>164</v>
      </c>
    </row>
    <row r="705" spans="1:2">
      <c r="A705" s="19">
        <v>254114739239</v>
      </c>
      <c r="B705" s="4" t="s">
        <v>164</v>
      </c>
    </row>
    <row r="706" spans="1:2">
      <c r="A706" s="19">
        <v>254114793929</v>
      </c>
      <c r="B706" s="4" t="s">
        <v>164</v>
      </c>
    </row>
    <row r="707" spans="1:2">
      <c r="A707" s="19">
        <v>254115918387</v>
      </c>
      <c r="B707" s="4" t="s">
        <v>164</v>
      </c>
    </row>
    <row r="708" spans="1:2">
      <c r="A708" s="19">
        <v>254116138504</v>
      </c>
      <c r="B708" s="4" t="s">
        <v>164</v>
      </c>
    </row>
    <row r="709" spans="1:2">
      <c r="A709" s="19">
        <v>254116621779</v>
      </c>
      <c r="B709" s="4" t="s">
        <v>164</v>
      </c>
    </row>
    <row r="710" spans="1:2">
      <c r="A710" s="19">
        <v>254700661367</v>
      </c>
      <c r="B710" s="4" t="s">
        <v>164</v>
      </c>
    </row>
    <row r="711" spans="1:2">
      <c r="A711" s="19">
        <v>254701540610</v>
      </c>
      <c r="B711" s="4" t="s">
        <v>164</v>
      </c>
    </row>
    <row r="712" spans="1:2">
      <c r="A712" s="19">
        <v>254702338333</v>
      </c>
      <c r="B712" s="4" t="s">
        <v>164</v>
      </c>
    </row>
    <row r="713" spans="1:2">
      <c r="A713" s="19">
        <v>254702505819</v>
      </c>
      <c r="B713" s="4" t="s">
        <v>164</v>
      </c>
    </row>
    <row r="714" spans="1:2">
      <c r="A714" s="19">
        <v>254702852061</v>
      </c>
      <c r="B714" s="4" t="s">
        <v>164</v>
      </c>
    </row>
    <row r="715" spans="1:2">
      <c r="A715" s="19">
        <v>254703319644</v>
      </c>
      <c r="B715" s="4" t="s">
        <v>164</v>
      </c>
    </row>
    <row r="716" spans="1:2">
      <c r="A716" s="19">
        <v>254704092202</v>
      </c>
      <c r="B716" s="4" t="s">
        <v>164</v>
      </c>
    </row>
    <row r="717" spans="1:2">
      <c r="A717" s="19">
        <v>254704108930</v>
      </c>
      <c r="B717" s="4" t="s">
        <v>164</v>
      </c>
    </row>
    <row r="718" spans="1:2">
      <c r="A718" s="19">
        <v>254704126760</v>
      </c>
      <c r="B718" s="4" t="s">
        <v>164</v>
      </c>
    </row>
    <row r="719" spans="1:2">
      <c r="A719" s="19">
        <v>254704497927</v>
      </c>
      <c r="B719" s="4" t="s">
        <v>164</v>
      </c>
    </row>
    <row r="720" spans="1:2">
      <c r="A720" s="19">
        <v>254705577137</v>
      </c>
      <c r="B720" s="4" t="s">
        <v>164</v>
      </c>
    </row>
    <row r="721" spans="1:2">
      <c r="A721" s="19">
        <v>254708586321</v>
      </c>
      <c r="B721" s="4" t="s">
        <v>164</v>
      </c>
    </row>
    <row r="722" spans="1:2">
      <c r="A722" s="19">
        <v>254708851808</v>
      </c>
      <c r="B722" s="4" t="s">
        <v>164</v>
      </c>
    </row>
    <row r="723" spans="1:2">
      <c r="A723" s="19">
        <v>254710341829</v>
      </c>
      <c r="B723" s="4" t="s">
        <v>164</v>
      </c>
    </row>
    <row r="724" spans="1:2">
      <c r="A724" s="19">
        <v>254712310229</v>
      </c>
      <c r="B724" s="4" t="s">
        <v>164</v>
      </c>
    </row>
    <row r="725" spans="1:2">
      <c r="A725" s="19">
        <v>254713249395</v>
      </c>
      <c r="B725" s="4" t="s">
        <v>164</v>
      </c>
    </row>
    <row r="726" spans="1:2">
      <c r="A726" s="19">
        <v>254714457970</v>
      </c>
      <c r="B726" s="4" t="s">
        <v>164</v>
      </c>
    </row>
    <row r="727" spans="1:2">
      <c r="A727" s="19">
        <v>254715001774</v>
      </c>
      <c r="B727" s="4" t="s">
        <v>164</v>
      </c>
    </row>
    <row r="728" spans="1:2">
      <c r="A728" s="19">
        <v>254715801012</v>
      </c>
      <c r="B728" s="4" t="s">
        <v>164</v>
      </c>
    </row>
    <row r="729" spans="1:2">
      <c r="A729" s="19">
        <v>254715988117</v>
      </c>
      <c r="B729" s="4" t="s">
        <v>164</v>
      </c>
    </row>
    <row r="730" spans="1:2">
      <c r="A730" s="19">
        <v>254717521940</v>
      </c>
      <c r="B730" s="4" t="s">
        <v>164</v>
      </c>
    </row>
    <row r="731" spans="1:2">
      <c r="A731" s="19">
        <v>254717831976</v>
      </c>
      <c r="B731" s="4" t="s">
        <v>164</v>
      </c>
    </row>
    <row r="732" spans="1:2">
      <c r="A732" s="19">
        <v>254718031626</v>
      </c>
      <c r="B732" s="4" t="s">
        <v>164</v>
      </c>
    </row>
    <row r="733" spans="1:2">
      <c r="A733" s="19">
        <v>254718382723</v>
      </c>
      <c r="B733" s="4" t="s">
        <v>164</v>
      </c>
    </row>
    <row r="734" spans="1:2">
      <c r="A734" s="19">
        <v>254719125233</v>
      </c>
      <c r="B734" s="4" t="s">
        <v>164</v>
      </c>
    </row>
    <row r="735" spans="1:2">
      <c r="A735" s="19">
        <v>254719333455</v>
      </c>
      <c r="B735" s="4" t="s">
        <v>164</v>
      </c>
    </row>
    <row r="736" spans="1:2">
      <c r="A736" s="19">
        <v>254719392048</v>
      </c>
      <c r="B736" s="4" t="s">
        <v>164</v>
      </c>
    </row>
    <row r="737" spans="1:2">
      <c r="A737" s="19">
        <v>254719500915</v>
      </c>
      <c r="B737" s="4" t="s">
        <v>164</v>
      </c>
    </row>
    <row r="738" spans="1:2">
      <c r="A738" s="19">
        <v>254720216606</v>
      </c>
      <c r="B738" s="4" t="s">
        <v>164</v>
      </c>
    </row>
    <row r="739" spans="1:2">
      <c r="A739" s="19">
        <v>254720334933</v>
      </c>
      <c r="B739" s="4" t="s">
        <v>164</v>
      </c>
    </row>
    <row r="740" spans="1:2">
      <c r="A740" s="19">
        <v>254720364263</v>
      </c>
      <c r="B740" s="4" t="s">
        <v>164</v>
      </c>
    </row>
    <row r="741" spans="1:2">
      <c r="A741" s="19">
        <v>254721975097</v>
      </c>
      <c r="B741" s="4" t="s">
        <v>164</v>
      </c>
    </row>
    <row r="742" spans="1:2">
      <c r="A742" s="19">
        <v>254722261330</v>
      </c>
      <c r="B742" s="4" t="s">
        <v>164</v>
      </c>
    </row>
    <row r="743" spans="1:2">
      <c r="A743" s="19">
        <v>254722495359</v>
      </c>
      <c r="B743" s="4" t="s">
        <v>164</v>
      </c>
    </row>
    <row r="744" spans="1:2">
      <c r="A744" s="19">
        <v>254723908698</v>
      </c>
      <c r="B744" s="4" t="s">
        <v>164</v>
      </c>
    </row>
    <row r="745" spans="1:2">
      <c r="A745" s="19">
        <v>254723972570</v>
      </c>
      <c r="B745" s="4" t="s">
        <v>164</v>
      </c>
    </row>
    <row r="746" spans="1:2">
      <c r="A746" s="19">
        <v>254724023704</v>
      </c>
      <c r="B746" s="4" t="s">
        <v>164</v>
      </c>
    </row>
    <row r="747" spans="1:2">
      <c r="A747" s="19">
        <v>254724613959</v>
      </c>
      <c r="B747" s="4" t="s">
        <v>164</v>
      </c>
    </row>
    <row r="748" spans="1:2">
      <c r="A748" s="19">
        <v>254724838892</v>
      </c>
      <c r="B748" s="4" t="s">
        <v>164</v>
      </c>
    </row>
    <row r="749" spans="1:2">
      <c r="A749" s="19">
        <v>254725469487</v>
      </c>
      <c r="B749" s="4" t="s">
        <v>164</v>
      </c>
    </row>
    <row r="750" spans="1:2">
      <c r="A750" s="19">
        <v>254725697311</v>
      </c>
      <c r="B750" s="4" t="s">
        <v>164</v>
      </c>
    </row>
    <row r="751" spans="1:2">
      <c r="A751" s="19">
        <v>254725923661</v>
      </c>
      <c r="B751" s="4" t="s">
        <v>164</v>
      </c>
    </row>
    <row r="752" spans="1:2">
      <c r="A752" s="19">
        <v>254726084662</v>
      </c>
      <c r="B752" s="4" t="s">
        <v>164</v>
      </c>
    </row>
    <row r="753" spans="1:2">
      <c r="A753" s="19">
        <v>254726388091</v>
      </c>
      <c r="B753" s="4" t="s">
        <v>164</v>
      </c>
    </row>
    <row r="754" spans="1:2">
      <c r="A754" s="19">
        <v>254726677517</v>
      </c>
      <c r="B754" s="4" t="s">
        <v>164</v>
      </c>
    </row>
    <row r="755" spans="1:2">
      <c r="A755" s="19">
        <v>254727685355</v>
      </c>
      <c r="B755" s="4" t="s">
        <v>164</v>
      </c>
    </row>
    <row r="756" spans="1:2">
      <c r="A756" s="19">
        <v>254727778939</v>
      </c>
      <c r="B756" s="4" t="s">
        <v>164</v>
      </c>
    </row>
    <row r="757" spans="1:2">
      <c r="A757" s="19">
        <v>254728657248</v>
      </c>
      <c r="B757" s="4" t="s">
        <v>164</v>
      </c>
    </row>
    <row r="758" spans="1:2">
      <c r="A758" s="19">
        <v>254729238726</v>
      </c>
      <c r="B758" s="4" t="s">
        <v>164</v>
      </c>
    </row>
    <row r="759" spans="1:2">
      <c r="A759" s="19">
        <v>254729353693</v>
      </c>
      <c r="B759" s="4" t="s">
        <v>164</v>
      </c>
    </row>
    <row r="760" spans="1:2">
      <c r="A760" s="19">
        <v>254729377037</v>
      </c>
      <c r="B760" s="4" t="s">
        <v>164</v>
      </c>
    </row>
    <row r="761" spans="1:2">
      <c r="A761" s="19">
        <v>254729673790</v>
      </c>
      <c r="B761" s="4" t="s">
        <v>164</v>
      </c>
    </row>
    <row r="762" spans="1:2">
      <c r="A762" s="19">
        <v>254741036382</v>
      </c>
      <c r="B762" s="4" t="s">
        <v>164</v>
      </c>
    </row>
    <row r="763" spans="1:2">
      <c r="A763" s="19">
        <v>254741763894</v>
      </c>
      <c r="B763" s="4" t="s">
        <v>164</v>
      </c>
    </row>
    <row r="764" spans="1:2">
      <c r="A764" s="19">
        <v>254746453310</v>
      </c>
      <c r="B764" s="4" t="s">
        <v>164</v>
      </c>
    </row>
    <row r="765" spans="1:2">
      <c r="A765" s="19">
        <v>254748232521</v>
      </c>
      <c r="B765" s="4" t="s">
        <v>164</v>
      </c>
    </row>
    <row r="766" spans="1:2">
      <c r="A766" s="19">
        <v>254748300807</v>
      </c>
      <c r="B766" s="4" t="s">
        <v>164</v>
      </c>
    </row>
    <row r="767" spans="1:2">
      <c r="A767" s="19">
        <v>254748338772</v>
      </c>
      <c r="B767" s="4" t="s">
        <v>164</v>
      </c>
    </row>
    <row r="768" spans="1:2">
      <c r="A768" s="19">
        <v>254748503820</v>
      </c>
      <c r="B768" s="4" t="s">
        <v>164</v>
      </c>
    </row>
    <row r="769" spans="1:2">
      <c r="A769" s="19">
        <v>254748721300</v>
      </c>
      <c r="B769" s="4" t="s">
        <v>164</v>
      </c>
    </row>
    <row r="770" spans="1:2">
      <c r="A770" s="19">
        <v>254750057497</v>
      </c>
      <c r="B770" s="4" t="s">
        <v>164</v>
      </c>
    </row>
    <row r="771" spans="1:2">
      <c r="A771" s="19">
        <v>254757379930</v>
      </c>
      <c r="B771" s="4" t="s">
        <v>164</v>
      </c>
    </row>
    <row r="772" spans="1:2">
      <c r="A772" s="19">
        <v>254757579090</v>
      </c>
      <c r="B772" s="4" t="s">
        <v>164</v>
      </c>
    </row>
    <row r="773" spans="1:2">
      <c r="A773" s="19">
        <v>254768955816</v>
      </c>
      <c r="B773" s="4" t="s">
        <v>164</v>
      </c>
    </row>
    <row r="774" spans="1:2">
      <c r="A774" s="19">
        <v>254769010326</v>
      </c>
      <c r="B774" s="4" t="s">
        <v>164</v>
      </c>
    </row>
    <row r="775" spans="1:2">
      <c r="A775" s="19">
        <v>254786184963</v>
      </c>
      <c r="B775" s="4" t="s">
        <v>164</v>
      </c>
    </row>
    <row r="776" spans="1:2">
      <c r="A776" s="19">
        <v>254790146308</v>
      </c>
      <c r="B776" s="4" t="s">
        <v>164</v>
      </c>
    </row>
    <row r="777" spans="1:2">
      <c r="A777" s="19">
        <v>254791329860</v>
      </c>
      <c r="B777" s="4" t="s">
        <v>164</v>
      </c>
    </row>
    <row r="778" spans="1:2">
      <c r="A778" s="19">
        <v>254791368991</v>
      </c>
      <c r="B778" s="4" t="s">
        <v>164</v>
      </c>
    </row>
    <row r="779" spans="1:2">
      <c r="A779" s="19">
        <v>254791675622</v>
      </c>
      <c r="B779" s="4" t="s">
        <v>164</v>
      </c>
    </row>
    <row r="780" spans="1:2">
      <c r="A780" s="19">
        <v>254792536727</v>
      </c>
      <c r="B780" s="4" t="s">
        <v>164</v>
      </c>
    </row>
    <row r="781" spans="1:2">
      <c r="A781" s="19">
        <v>254793517303</v>
      </c>
      <c r="B781" s="4" t="s">
        <v>164</v>
      </c>
    </row>
    <row r="782" spans="1:2">
      <c r="A782" s="19">
        <v>254793865233</v>
      </c>
      <c r="B782" s="4" t="s">
        <v>164</v>
      </c>
    </row>
    <row r="783" spans="1:2">
      <c r="A783" s="19">
        <v>254795116837</v>
      </c>
      <c r="B783" s="4" t="s">
        <v>164</v>
      </c>
    </row>
    <row r="784" spans="1:2">
      <c r="A784" s="19">
        <v>254795172129</v>
      </c>
      <c r="B784" s="4" t="s">
        <v>164</v>
      </c>
    </row>
    <row r="785" spans="1:2">
      <c r="A785" s="19">
        <v>254795314883</v>
      </c>
      <c r="B785" s="4" t="s">
        <v>164</v>
      </c>
    </row>
    <row r="786" spans="1:2">
      <c r="A786" s="19">
        <v>254795868759</v>
      </c>
      <c r="B786" s="4" t="s">
        <v>164</v>
      </c>
    </row>
    <row r="787" spans="1:2">
      <c r="A787" s="19">
        <v>254796524482</v>
      </c>
      <c r="B787" s="4" t="s">
        <v>164</v>
      </c>
    </row>
    <row r="788" spans="1:2">
      <c r="A788" s="19">
        <v>254797831034</v>
      </c>
      <c r="B788" s="4" t="s">
        <v>164</v>
      </c>
    </row>
    <row r="789" spans="1:2">
      <c r="A789" s="19">
        <v>254798147287</v>
      </c>
      <c r="B789" s="4" t="s">
        <v>164</v>
      </c>
    </row>
    <row r="790" spans="1:2">
      <c r="A790" s="19">
        <v>254798447624</v>
      </c>
      <c r="B790" s="4" t="s">
        <v>164</v>
      </c>
    </row>
    <row r="791" spans="1:2">
      <c r="A791" s="19">
        <v>254104748080</v>
      </c>
      <c r="B791" s="4" t="s">
        <v>164</v>
      </c>
    </row>
    <row r="792" spans="1:2">
      <c r="A792" s="19">
        <v>254110755834</v>
      </c>
      <c r="B792" s="4" t="s">
        <v>164</v>
      </c>
    </row>
    <row r="793" spans="1:2">
      <c r="A793" s="19">
        <v>254111735831</v>
      </c>
      <c r="B793" s="4" t="s">
        <v>164</v>
      </c>
    </row>
    <row r="794" spans="1:2">
      <c r="A794" s="19">
        <v>254112999657</v>
      </c>
      <c r="B794" s="4" t="s">
        <v>164</v>
      </c>
    </row>
    <row r="795" spans="1:2">
      <c r="A795" s="19">
        <v>254113864401</v>
      </c>
      <c r="B795" s="4" t="s">
        <v>164</v>
      </c>
    </row>
    <row r="796" spans="1:2">
      <c r="A796" s="19">
        <v>254114103319</v>
      </c>
      <c r="B796" s="4" t="s">
        <v>164</v>
      </c>
    </row>
    <row r="797" spans="1:2">
      <c r="A797" s="19">
        <v>254114351290</v>
      </c>
      <c r="B797" s="4" t="s">
        <v>164</v>
      </c>
    </row>
    <row r="798" spans="1:2">
      <c r="A798" s="19">
        <v>254114536921</v>
      </c>
      <c r="B798" s="4" t="s">
        <v>164</v>
      </c>
    </row>
    <row r="799" spans="1:2">
      <c r="A799" s="19">
        <v>254116203844</v>
      </c>
      <c r="B799" s="4" t="s">
        <v>164</v>
      </c>
    </row>
    <row r="800" spans="1:2">
      <c r="A800" s="19">
        <v>254116987428</v>
      </c>
      <c r="B800" s="4" t="s">
        <v>164</v>
      </c>
    </row>
    <row r="801" spans="1:2">
      <c r="A801" s="19">
        <v>254117086301</v>
      </c>
      <c r="B801" s="4" t="s">
        <v>164</v>
      </c>
    </row>
    <row r="802" spans="1:2">
      <c r="A802" s="19">
        <v>254118814497</v>
      </c>
      <c r="B802" s="4" t="s">
        <v>164</v>
      </c>
    </row>
    <row r="803" spans="1:2">
      <c r="A803" s="19">
        <v>254119854979</v>
      </c>
      <c r="B803" s="4" t="s">
        <v>164</v>
      </c>
    </row>
    <row r="804" spans="1:2">
      <c r="A804" s="19">
        <v>254140321302</v>
      </c>
      <c r="B804" s="4" t="s">
        <v>164</v>
      </c>
    </row>
    <row r="805" spans="1:2">
      <c r="A805" s="19">
        <v>254141029726</v>
      </c>
      <c r="B805" s="4" t="s">
        <v>164</v>
      </c>
    </row>
    <row r="806" spans="1:2">
      <c r="A806" s="19">
        <v>254700004252</v>
      </c>
      <c r="B806" s="4" t="s">
        <v>164</v>
      </c>
    </row>
    <row r="807" spans="1:2">
      <c r="A807" s="19">
        <v>254700874013</v>
      </c>
      <c r="B807" s="4" t="s">
        <v>164</v>
      </c>
    </row>
    <row r="808" spans="1:2">
      <c r="A808" s="19">
        <v>254701900216</v>
      </c>
      <c r="B808" s="4" t="s">
        <v>164</v>
      </c>
    </row>
    <row r="809" spans="1:2">
      <c r="A809" s="19">
        <v>254702926824</v>
      </c>
      <c r="B809" s="4" t="s">
        <v>164</v>
      </c>
    </row>
    <row r="810" spans="1:2">
      <c r="A810" s="19">
        <v>254703935626</v>
      </c>
      <c r="B810" s="4" t="s">
        <v>164</v>
      </c>
    </row>
    <row r="811" spans="1:2">
      <c r="A811" s="19">
        <v>254704074497</v>
      </c>
      <c r="B811" s="4" t="s">
        <v>164</v>
      </c>
    </row>
    <row r="812" spans="1:2">
      <c r="A812" s="19">
        <v>254704112371</v>
      </c>
      <c r="B812" s="4" t="s">
        <v>164</v>
      </c>
    </row>
    <row r="813" spans="1:2">
      <c r="A813" s="19">
        <v>254704539977</v>
      </c>
      <c r="B813" s="4" t="s">
        <v>164</v>
      </c>
    </row>
    <row r="814" spans="1:2">
      <c r="A814" s="19">
        <v>254705455322</v>
      </c>
      <c r="B814" s="4" t="s">
        <v>164</v>
      </c>
    </row>
    <row r="815" spans="1:2">
      <c r="A815" s="19">
        <v>254706246179</v>
      </c>
      <c r="B815" s="4" t="s">
        <v>164</v>
      </c>
    </row>
    <row r="816" spans="1:2">
      <c r="A816" s="19">
        <v>254706341406</v>
      </c>
      <c r="B816" s="4" t="s">
        <v>164</v>
      </c>
    </row>
    <row r="817" spans="1:2">
      <c r="A817" s="19">
        <v>254706649300</v>
      </c>
      <c r="B817" s="4" t="s">
        <v>164</v>
      </c>
    </row>
    <row r="818" spans="1:2">
      <c r="A818" s="19">
        <v>254707666155</v>
      </c>
      <c r="B818" s="4" t="s">
        <v>164</v>
      </c>
    </row>
    <row r="819" spans="1:2">
      <c r="A819" s="19">
        <v>254708525873</v>
      </c>
      <c r="B819" s="4" t="s">
        <v>164</v>
      </c>
    </row>
    <row r="820" spans="1:2">
      <c r="A820" s="19">
        <v>254708532727</v>
      </c>
      <c r="B820" s="4" t="s">
        <v>164</v>
      </c>
    </row>
    <row r="821" spans="1:2">
      <c r="A821" s="19">
        <v>254710665594</v>
      </c>
      <c r="B821" s="4" t="s">
        <v>164</v>
      </c>
    </row>
    <row r="822" spans="1:2">
      <c r="A822" s="19">
        <v>254711262353</v>
      </c>
      <c r="B822" s="4" t="s">
        <v>164</v>
      </c>
    </row>
    <row r="823" spans="1:2">
      <c r="A823" s="19">
        <v>254711766410</v>
      </c>
      <c r="B823" s="4" t="s">
        <v>164</v>
      </c>
    </row>
    <row r="824" spans="1:2">
      <c r="A824" s="19">
        <v>254712358769</v>
      </c>
      <c r="B824" s="4" t="s">
        <v>164</v>
      </c>
    </row>
    <row r="825" spans="1:2">
      <c r="A825" s="19">
        <v>254713968708</v>
      </c>
      <c r="B825" s="4" t="s">
        <v>164</v>
      </c>
    </row>
    <row r="826" spans="1:2">
      <c r="A826" s="19">
        <v>254714497291</v>
      </c>
      <c r="B826" s="4" t="s">
        <v>164</v>
      </c>
    </row>
    <row r="827" spans="1:2">
      <c r="A827" s="19">
        <v>254715731858</v>
      </c>
      <c r="B827" s="4" t="s">
        <v>164</v>
      </c>
    </row>
    <row r="828" spans="1:2">
      <c r="A828" s="19">
        <v>254716326157</v>
      </c>
      <c r="B828" s="4" t="s">
        <v>164</v>
      </c>
    </row>
    <row r="829" spans="1:2">
      <c r="A829" s="19">
        <v>254716540397</v>
      </c>
      <c r="B829" s="4" t="s">
        <v>164</v>
      </c>
    </row>
    <row r="830" spans="1:2">
      <c r="A830" s="19">
        <v>254719233282</v>
      </c>
      <c r="B830" s="4" t="s">
        <v>164</v>
      </c>
    </row>
    <row r="831" spans="1:2">
      <c r="A831" s="19">
        <v>254720402664</v>
      </c>
      <c r="B831" s="4" t="s">
        <v>164</v>
      </c>
    </row>
    <row r="832" spans="1:2">
      <c r="A832" s="19">
        <v>254720626099</v>
      </c>
      <c r="B832" s="4" t="s">
        <v>164</v>
      </c>
    </row>
    <row r="833" spans="1:2">
      <c r="A833" s="19">
        <v>254720796675</v>
      </c>
      <c r="B833" s="4" t="s">
        <v>164</v>
      </c>
    </row>
    <row r="834" spans="1:2">
      <c r="A834" s="19">
        <v>254721248123</v>
      </c>
      <c r="B834" s="4" t="s">
        <v>164</v>
      </c>
    </row>
    <row r="835" spans="1:2">
      <c r="A835" s="19">
        <v>254721445299</v>
      </c>
      <c r="B835" s="4" t="s">
        <v>164</v>
      </c>
    </row>
    <row r="836" spans="1:2">
      <c r="A836" s="19">
        <v>254722207920</v>
      </c>
      <c r="B836" s="4" t="s">
        <v>164</v>
      </c>
    </row>
    <row r="837" spans="1:2">
      <c r="A837" s="19">
        <v>254722586989</v>
      </c>
      <c r="B837" s="4" t="s">
        <v>164</v>
      </c>
    </row>
    <row r="838" spans="1:2">
      <c r="A838" s="19">
        <v>254722607267</v>
      </c>
      <c r="B838" s="4" t="s">
        <v>164</v>
      </c>
    </row>
    <row r="839" spans="1:2">
      <c r="A839" s="19">
        <v>254722883566</v>
      </c>
      <c r="B839" s="4" t="s">
        <v>164</v>
      </c>
    </row>
    <row r="840" spans="1:2">
      <c r="A840" s="19">
        <v>254724243294</v>
      </c>
      <c r="B840" s="4" t="s">
        <v>164</v>
      </c>
    </row>
    <row r="841" spans="1:2">
      <c r="A841" s="19">
        <v>254724647993</v>
      </c>
      <c r="B841" s="4" t="s">
        <v>164</v>
      </c>
    </row>
    <row r="842" spans="1:2">
      <c r="A842" s="19">
        <v>254724906390</v>
      </c>
      <c r="B842" s="4" t="s">
        <v>164</v>
      </c>
    </row>
    <row r="843" spans="1:2">
      <c r="A843" s="19">
        <v>254725542577</v>
      </c>
      <c r="B843" s="4" t="s">
        <v>164</v>
      </c>
    </row>
    <row r="844" spans="1:2">
      <c r="A844" s="19">
        <v>254725768719</v>
      </c>
      <c r="B844" s="4" t="s">
        <v>164</v>
      </c>
    </row>
    <row r="845" spans="1:2">
      <c r="A845" s="19">
        <v>254726203784</v>
      </c>
      <c r="B845" s="4" t="s">
        <v>164</v>
      </c>
    </row>
    <row r="846" spans="1:2">
      <c r="A846" s="19">
        <v>254726590413</v>
      </c>
      <c r="B846" s="4" t="s">
        <v>164</v>
      </c>
    </row>
    <row r="847" spans="1:2">
      <c r="A847" s="19">
        <v>254726654069</v>
      </c>
      <c r="B847" s="4" t="s">
        <v>164</v>
      </c>
    </row>
    <row r="848" spans="1:2">
      <c r="A848" s="19">
        <v>254727221477</v>
      </c>
      <c r="B848" s="4" t="s">
        <v>164</v>
      </c>
    </row>
    <row r="849" spans="1:2">
      <c r="A849" s="19">
        <v>254727366552</v>
      </c>
      <c r="B849" s="4" t="s">
        <v>164</v>
      </c>
    </row>
    <row r="850" spans="1:2">
      <c r="A850" s="19">
        <v>254727813284</v>
      </c>
      <c r="B850" s="4" t="s">
        <v>164</v>
      </c>
    </row>
    <row r="851" spans="1:2">
      <c r="A851" s="19">
        <v>254728234091</v>
      </c>
      <c r="B851" s="4" t="s">
        <v>164</v>
      </c>
    </row>
    <row r="852" spans="1:2">
      <c r="A852" s="19">
        <v>254728583614</v>
      </c>
      <c r="B852" s="4" t="s">
        <v>164</v>
      </c>
    </row>
    <row r="853" spans="1:2">
      <c r="A853" s="19">
        <v>254729980427</v>
      </c>
      <c r="B853" s="4" t="s">
        <v>164</v>
      </c>
    </row>
    <row r="854" spans="1:2">
      <c r="A854" s="19">
        <v>254737036369</v>
      </c>
      <c r="B854" s="4" t="s">
        <v>164</v>
      </c>
    </row>
    <row r="855" spans="1:2">
      <c r="A855" s="19">
        <v>254741043822</v>
      </c>
      <c r="B855" s="4" t="s">
        <v>164</v>
      </c>
    </row>
    <row r="856" spans="1:2">
      <c r="A856" s="19">
        <v>254741862937</v>
      </c>
      <c r="B856" s="4" t="s">
        <v>164</v>
      </c>
    </row>
    <row r="857" spans="1:2">
      <c r="A857" s="19">
        <v>254741921570</v>
      </c>
      <c r="B857" s="4" t="s">
        <v>164</v>
      </c>
    </row>
    <row r="858" spans="1:2">
      <c r="A858" s="19">
        <v>254741955930</v>
      </c>
      <c r="B858" s="4" t="s">
        <v>164</v>
      </c>
    </row>
    <row r="859" spans="1:2">
      <c r="A859" s="19">
        <v>254741989458</v>
      </c>
      <c r="B859" s="4" t="s">
        <v>164</v>
      </c>
    </row>
    <row r="860" spans="1:2">
      <c r="A860" s="19">
        <v>254742176619</v>
      </c>
      <c r="B860" s="4" t="s">
        <v>164</v>
      </c>
    </row>
    <row r="861" spans="1:2">
      <c r="A861" s="19">
        <v>254745032967</v>
      </c>
      <c r="B861" s="4" t="s">
        <v>164</v>
      </c>
    </row>
    <row r="862" spans="1:2">
      <c r="A862" s="19">
        <v>254745858225</v>
      </c>
      <c r="B862" s="4" t="s">
        <v>164</v>
      </c>
    </row>
    <row r="863" spans="1:2">
      <c r="A863" s="19">
        <v>254746355123</v>
      </c>
      <c r="B863" s="4" t="s">
        <v>164</v>
      </c>
    </row>
    <row r="864" spans="1:2">
      <c r="A864" s="19">
        <v>254746375146</v>
      </c>
      <c r="B864" s="4" t="s">
        <v>164</v>
      </c>
    </row>
    <row r="865" spans="1:2">
      <c r="A865" s="19">
        <v>254746397511</v>
      </c>
      <c r="B865" s="4" t="s">
        <v>164</v>
      </c>
    </row>
    <row r="866" spans="1:2">
      <c r="A866" s="19">
        <v>254746961975</v>
      </c>
      <c r="B866" s="4" t="s">
        <v>164</v>
      </c>
    </row>
    <row r="867" spans="1:2">
      <c r="A867" s="19">
        <v>254748004865</v>
      </c>
      <c r="B867" s="4" t="s">
        <v>164</v>
      </c>
    </row>
    <row r="868" spans="1:2">
      <c r="A868" s="19">
        <v>254748246675</v>
      </c>
      <c r="B868" s="4" t="s">
        <v>164</v>
      </c>
    </row>
    <row r="869" spans="1:2">
      <c r="A869" s="19">
        <v>254748500093</v>
      </c>
      <c r="B869" s="4" t="s">
        <v>164</v>
      </c>
    </row>
    <row r="870" spans="1:2">
      <c r="A870" s="19">
        <v>254748859054</v>
      </c>
      <c r="B870" s="4" t="s">
        <v>164</v>
      </c>
    </row>
    <row r="871" spans="1:2">
      <c r="A871" s="19">
        <v>254748931810</v>
      </c>
      <c r="B871" s="4" t="s">
        <v>164</v>
      </c>
    </row>
    <row r="872" spans="1:2">
      <c r="A872" s="19">
        <v>254754125780</v>
      </c>
      <c r="B872" s="4" t="s">
        <v>164</v>
      </c>
    </row>
    <row r="873" spans="1:2">
      <c r="A873" s="19">
        <v>254768553963</v>
      </c>
      <c r="B873" s="4" t="s">
        <v>164</v>
      </c>
    </row>
    <row r="874" spans="1:2">
      <c r="A874" s="19">
        <v>254768814065</v>
      </c>
      <c r="B874" s="4" t="s">
        <v>164</v>
      </c>
    </row>
    <row r="875" spans="1:2">
      <c r="A875" s="19">
        <v>254769684724</v>
      </c>
      <c r="B875" s="4" t="s">
        <v>164</v>
      </c>
    </row>
    <row r="876" spans="1:2">
      <c r="A876" s="19">
        <v>254790000697</v>
      </c>
      <c r="B876" s="4" t="s">
        <v>164</v>
      </c>
    </row>
    <row r="877" spans="1:2">
      <c r="A877" s="19">
        <v>254790767800</v>
      </c>
      <c r="B877" s="4" t="s">
        <v>164</v>
      </c>
    </row>
    <row r="878" spans="1:2">
      <c r="A878" s="19">
        <v>254790821661</v>
      </c>
      <c r="B878" s="4" t="s">
        <v>164</v>
      </c>
    </row>
    <row r="879" spans="1:2">
      <c r="A879" s="19">
        <v>254792306816</v>
      </c>
      <c r="B879" s="4" t="s">
        <v>164</v>
      </c>
    </row>
    <row r="880" spans="1:2">
      <c r="A880" s="19">
        <v>254794050662</v>
      </c>
      <c r="B880" s="4" t="s">
        <v>164</v>
      </c>
    </row>
    <row r="881" spans="1:2">
      <c r="A881" s="19">
        <v>254794281959</v>
      </c>
      <c r="B881" s="4" t="s">
        <v>164</v>
      </c>
    </row>
    <row r="882" spans="1:2">
      <c r="A882" s="19">
        <v>254794720751</v>
      </c>
      <c r="B882" s="4" t="s">
        <v>164</v>
      </c>
    </row>
    <row r="883" spans="1:2">
      <c r="A883" s="19">
        <v>254795634907</v>
      </c>
      <c r="B883" s="4" t="s">
        <v>164</v>
      </c>
    </row>
    <row r="884" spans="1:2">
      <c r="A884" s="19">
        <v>254796736840</v>
      </c>
      <c r="B884" s="4" t="s">
        <v>164</v>
      </c>
    </row>
    <row r="885" spans="1:2">
      <c r="A885" s="19">
        <v>254797184647</v>
      </c>
      <c r="B885" s="4" t="s">
        <v>164</v>
      </c>
    </row>
    <row r="886" spans="1:2">
      <c r="A886" s="19">
        <v>254797423692</v>
      </c>
      <c r="B886" s="4" t="s">
        <v>164</v>
      </c>
    </row>
    <row r="887" spans="1:2">
      <c r="A887" s="19">
        <v>254797641344</v>
      </c>
      <c r="B887" s="4" t="s">
        <v>164</v>
      </c>
    </row>
    <row r="888" spans="1:2">
      <c r="A888" s="19">
        <v>254798537177</v>
      </c>
      <c r="B888" s="4" t="s">
        <v>164</v>
      </c>
    </row>
    <row r="889" spans="1:2">
      <c r="A889" s="19">
        <v>254799286851</v>
      </c>
      <c r="B889" s="4" t="s">
        <v>164</v>
      </c>
    </row>
  </sheetData>
  <autoFilter xmlns:etc="http://www.wps.cn/officeDocument/2017/etCustomData" ref="A1:B889" etc:filterBottomFollowUsedRange="0">
    <extLst/>
  </autoFilter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27"/>
  <sheetViews>
    <sheetView workbookViewId="0">
      <selection activeCell="A19" sqref="A18:E27"/>
    </sheetView>
  </sheetViews>
  <sheetFormatPr defaultColWidth="9.02654867256637" defaultRowHeight="13.5" outlineLevelCol="5"/>
  <cols>
    <col min="1" max="1" width="13.4336283185841"/>
    <col min="2" max="5" width="31.858407079646"/>
    <col min="6" max="6" width="12.7964601769912" style="13"/>
  </cols>
  <sheetData>
    <row r="2" spans="1:6">
      <c r="A2" t="s">
        <v>248</v>
      </c>
      <c r="B2" t="s">
        <v>249</v>
      </c>
    </row>
    <row r="3" spans="1:6">
      <c r="A3" t="s">
        <v>17</v>
      </c>
      <c r="C3" t="s">
        <v>250</v>
      </c>
      <c r="D3" t="s">
        <v>251</v>
      </c>
      <c r="E3" s="13" t="s">
        <v>252</v>
      </c>
    </row>
    <row r="4" spans="1:6">
      <c r="A4" t="s">
        <v>38</v>
      </c>
      <c r="C4">
        <v>140</v>
      </c>
      <c r="D4">
        <v>324</v>
      </c>
      <c r="E4" s="13">
        <f>C4/D4</f>
        <v>0.432098765432099</v>
      </c>
    </row>
    <row r="5" spans="1:6">
      <c r="A5" t="s">
        <v>109</v>
      </c>
      <c r="C5">
        <v>66</v>
      </c>
      <c r="D5">
        <v>106</v>
      </c>
      <c r="E5" s="13">
        <f>C5/D5</f>
        <v>0.622641509433962</v>
      </c>
    </row>
    <row r="6" spans="1:6">
      <c r="A6" t="s">
        <v>164</v>
      </c>
      <c r="C6">
        <v>267</v>
      </c>
      <c r="D6" s="14">
        <v>458</v>
      </c>
      <c r="E6" s="13">
        <f>C6/D6</f>
        <v>0.58296943231441</v>
      </c>
    </row>
    <row r="7" spans="1:6">
      <c r="A7" t="s">
        <v>251</v>
      </c>
      <c r="C7">
        <v>473</v>
      </c>
      <c r="D7">
        <v>888</v>
      </c>
      <c r="E7" s="13">
        <f>C7/D7</f>
        <v>0.532657657657658</v>
      </c>
    </row>
    <row r="9" spans="1:6">
      <c r="A9" t="s">
        <v>248</v>
      </c>
      <c r="B9" t="s">
        <v>253</v>
      </c>
    </row>
    <row r="10" spans="1:6">
      <c r="A10" t="s">
        <v>17</v>
      </c>
      <c r="B10" t="s">
        <v>254</v>
      </c>
      <c r="C10" t="s">
        <v>250</v>
      </c>
      <c r="D10" t="s">
        <v>251</v>
      </c>
      <c r="E10" t="s">
        <v>255</v>
      </c>
      <c r="F10" s="13" t="s">
        <v>256</v>
      </c>
    </row>
    <row r="11" spans="1:6">
      <c r="A11" t="s">
        <v>38</v>
      </c>
      <c r="B11">
        <v>248</v>
      </c>
      <c r="C11">
        <v>76</v>
      </c>
      <c r="D11">
        <v>324</v>
      </c>
      <c r="E11" s="13">
        <f>GETPIVOTDATA("用户手机号",$A$9,"label","Group A","是否有效回归","是")/C4</f>
        <v>0.542857142857143</v>
      </c>
      <c r="F11" s="13">
        <f>GETPIVOTDATA("用户手机号",$A$9,"label","Group A","是否有效回归","是")/GETPIVOTDATA("用户手机号",$A$9,"label","Group A")</f>
        <v>0.234567901234568</v>
      </c>
    </row>
    <row r="12" spans="1:6">
      <c r="A12" t="s">
        <v>109</v>
      </c>
      <c r="B12">
        <v>58</v>
      </c>
      <c r="C12">
        <v>48</v>
      </c>
      <c r="D12">
        <v>106</v>
      </c>
      <c r="E12" s="13">
        <f>GETPIVOTDATA("用户手机号",$A$9,"label","Group B","是否有效回归","是")/C5</f>
        <v>0.727272727272727</v>
      </c>
      <c r="F12" s="13">
        <f>GETPIVOTDATA("用户手机号",$A$9,"label","Group B","是否有效回归","是")/GETPIVOTDATA("用户手机号",$A$9,"label","Group B")</f>
        <v>0.452830188679245</v>
      </c>
    </row>
    <row r="13" spans="1:6">
      <c r="A13" t="s">
        <v>164</v>
      </c>
      <c r="B13">
        <v>265</v>
      </c>
      <c r="C13">
        <v>193</v>
      </c>
      <c r="D13">
        <v>458</v>
      </c>
      <c r="E13" s="13">
        <f>GETPIVOTDATA("用户手机号",$A$9,"label","Group C","是否有效回归","是")/C6</f>
        <v>0.722846441947566</v>
      </c>
      <c r="F13" s="13">
        <f>GETPIVOTDATA("用户手机号",$A$9,"label","Group C","是否有效回归","是")/GETPIVOTDATA("用户手机号",$A$9,"label","Group C")</f>
        <v>0.421397379912664</v>
      </c>
    </row>
    <row r="14" spans="1:6">
      <c r="A14" t="s">
        <v>251</v>
      </c>
      <c r="B14">
        <v>571</v>
      </c>
      <c r="C14">
        <v>317</v>
      </c>
      <c r="D14">
        <v>888</v>
      </c>
      <c r="E14" s="13">
        <f>GETPIVOTDATA("用户手机号",$A$9,"是否有效回归","是")/C7</f>
        <v>0.670190274841438</v>
      </c>
      <c r="F14" s="13">
        <f>GETPIVOTDATA("用户手机号",$A$9,"是否有效回归","是")/GETPIVOTDATA("用户手机号",$A$9)</f>
        <v>0.356981981981982</v>
      </c>
    </row>
    <row r="16" spans="1:6">
      <c r="A16" t="s">
        <v>253</v>
      </c>
      <c r="B16" t="s">
        <v>250</v>
      </c>
    </row>
    <row r="18" spans="1:5">
      <c r="A18" t="s">
        <v>17</v>
      </c>
      <c r="B18" t="s">
        <v>257</v>
      </c>
      <c r="C18" t="s">
        <v>258</v>
      </c>
      <c r="D18" t="s">
        <v>259</v>
      </c>
      <c r="E18" t="s">
        <v>260</v>
      </c>
    </row>
    <row r="19" spans="1:5">
      <c r="A19" t="s">
        <v>38</v>
      </c>
      <c r="B19">
        <v>76</v>
      </c>
      <c r="C19">
        <v>1617072.35</v>
      </c>
      <c r="D19">
        <v>174503.77</v>
      </c>
      <c r="E19">
        <v>177724.3</v>
      </c>
    </row>
    <row r="20" spans="1:5">
      <c r="A20" t="s">
        <v>109</v>
      </c>
      <c r="B20">
        <v>48</v>
      </c>
      <c r="C20">
        <v>314525.57</v>
      </c>
      <c r="D20">
        <v>21977.2</v>
      </c>
      <c r="E20">
        <v>43287</v>
      </c>
    </row>
    <row r="21" spans="1:5">
      <c r="A21" t="s">
        <v>164</v>
      </c>
      <c r="B21">
        <v>193</v>
      </c>
      <c r="C21">
        <v>2260184.16</v>
      </c>
      <c r="D21">
        <v>167864.51</v>
      </c>
      <c r="E21">
        <v>343634.85</v>
      </c>
    </row>
    <row r="22" spans="1:5">
      <c r="A22" t="s">
        <v>251</v>
      </c>
      <c r="B22">
        <v>317</v>
      </c>
      <c r="C22">
        <v>4191782.08</v>
      </c>
      <c r="D22">
        <v>364345.48</v>
      </c>
      <c r="E22">
        <v>564646.15</v>
      </c>
    </row>
    <row r="24" spans="1:5">
      <c r="C24" s="15">
        <f>GETPIVOTDATA("求和项:总投注流水（本地货币）",$A$18,"label","Group A")/GETPIVOTDATA("计数项:是否有效回归",$A$18,"label","Group A")</f>
        <v>21277.2677631579</v>
      </c>
      <c r="D24" s="15">
        <f>GETPIVOTDATA("求和项:全部ggr（本地货币）",$A$18,"label","Group A")/GETPIVOTDATA("计数项:是否有效回归",$A$18,"label","Group A")</f>
        <v>2296.1022368421</v>
      </c>
      <c r="E24" s="15">
        <f>GETPIVOTDATA("求和项:充值金额（本地货币）",$A$18,"label","Group A")/GETPIVOTDATA("计数项:是否有效回归",$A$18,"label","Group A")</f>
        <v>2338.47763157895</v>
      </c>
    </row>
    <row r="25" spans="1:5">
      <c r="C25" s="15">
        <f>GETPIVOTDATA("求和项:总投注流水（本地货币）",$A$18,"label","Group B")/GETPIVOTDATA("计数项:是否有效回归",$A$18,"label","Group B")</f>
        <v>6552.61604166667</v>
      </c>
      <c r="D25" s="15">
        <f>GETPIVOTDATA("求和项:全部ggr（本地货币）",$A$18,"label","Group B")/GETPIVOTDATA("计数项:是否有效回归",$A$18,"label","Group B")</f>
        <v>457.858333333333</v>
      </c>
      <c r="E25" s="15">
        <f>GETPIVOTDATA("求和项:充值金额（本地货币）",$A$18,"label","Group B")/GETPIVOTDATA("计数项:是否有效回归",$A$18,"label","Group B")</f>
        <v>901.8125</v>
      </c>
    </row>
    <row r="26" spans="1:5">
      <c r="C26" s="15">
        <f>GETPIVOTDATA("求和项:总投注流水（本地货币）",$A$18,"label","Group C")/GETPIVOTDATA("计数项:是否有效回归",$A$18,"label","Group C")</f>
        <v>11710.7987564767</v>
      </c>
      <c r="D26" s="15">
        <f>GETPIVOTDATA("求和项:全部ggr（本地货币）",$A$18,"label","Group C")/GETPIVOTDATA("计数项:是否有效回归",$A$18,"label","Group C")</f>
        <v>869.764300518135</v>
      </c>
      <c r="E26" s="15">
        <f>GETPIVOTDATA("求和项:充值金额（本地货币）",$A$18,"label","Group C")/GETPIVOTDATA("计数项:是否有效回归",$A$18,"label","Group C")</f>
        <v>1780.4914507772</v>
      </c>
    </row>
    <row r="27" spans="1:5">
      <c r="C27" s="15">
        <f>GETPIVOTDATA("求和项:总投注流水（本地货币）",$A$18)/GETPIVOTDATA("计数项:是否有效回归",$A$18)</f>
        <v>13223.287318612</v>
      </c>
      <c r="D27" s="15">
        <f>GETPIVOTDATA("求和项:全部ggr（本地货币）",$A$18)/GETPIVOTDATA("计数项:是否有效回归",$A$18)</f>
        <v>1149.35482649842</v>
      </c>
      <c r="E27" s="15">
        <f>GETPIVOTDATA("求和项:充值金额（本地货币）",$A$18)/GETPIVOTDATA("计数项:是否有效回归",$A$18)</f>
        <v>1781.21813880126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889"/>
  <sheetViews>
    <sheetView tabSelected="1" workbookViewId="0">
      <selection activeCell="A853" sqref="$A1:$XFD853"/>
    </sheetView>
  </sheetViews>
  <sheetFormatPr defaultColWidth="9" defaultRowHeight="13.5"/>
  <cols>
    <col min="1" max="1" width="9" style="1"/>
    <col min="2" max="2" width="16" style="2" customWidth="1"/>
    <col min="3" max="3" width="12" style="1" customWidth="1"/>
    <col min="4" max="4" width="18.9203539823009" style="1" customWidth="1"/>
    <col min="5" max="5" width="18.9203539823009" style="3" customWidth="1"/>
    <col min="6" max="11" width="25" style="1" customWidth="1"/>
    <col min="12" max="13" width="18" style="1" customWidth="1"/>
    <col min="14" max="17" width="25" style="1" customWidth="1"/>
    <col min="18" max="16384" width="9" style="1"/>
  </cols>
  <sheetData>
    <row r="1" s="1" customFormat="1" ht="35.25" spans="1:17">
      <c r="A1" s="4" t="s">
        <v>17</v>
      </c>
      <c r="B1" s="5" t="s">
        <v>261</v>
      </c>
      <c r="C1" s="6" t="s">
        <v>262</v>
      </c>
      <c r="D1" s="6" t="s">
        <v>263</v>
      </c>
      <c r="E1" s="7" t="s">
        <v>253</v>
      </c>
      <c r="F1" s="6" t="s">
        <v>264</v>
      </c>
      <c r="G1" s="6" t="s">
        <v>265</v>
      </c>
      <c r="H1" s="6" t="s">
        <v>266</v>
      </c>
      <c r="I1" s="6" t="s">
        <v>267</v>
      </c>
      <c r="J1" s="6" t="s">
        <v>268</v>
      </c>
      <c r="K1" s="6" t="s">
        <v>269</v>
      </c>
      <c r="L1" s="6" t="s">
        <v>270</v>
      </c>
      <c r="M1" s="6" t="s">
        <v>271</v>
      </c>
      <c r="N1" s="6" t="s">
        <v>272</v>
      </c>
      <c r="O1" s="6" t="s">
        <v>273</v>
      </c>
      <c r="P1" s="6" t="s">
        <v>274</v>
      </c>
      <c r="Q1" s="6" t="s">
        <v>275</v>
      </c>
    </row>
    <row r="2" s="1" customFormat="1" ht="14.25" hidden="1" spans="1:17">
      <c r="A2" s="1" t="str">
        <f>VLOOKUP(B2,combinate!A:B,2,FALSE)</f>
        <v>Group A</v>
      </c>
      <c r="B2" s="8">
        <v>254725223000</v>
      </c>
      <c r="C2" s="9">
        <v>155980</v>
      </c>
      <c r="D2" s="10">
        <v>46182.8076736111</v>
      </c>
      <c r="E2" s="11" t="s">
        <v>250</v>
      </c>
      <c r="F2" s="9">
        <v>0.53</v>
      </c>
      <c r="G2" s="9">
        <v>70</v>
      </c>
      <c r="H2" s="9">
        <v>0</v>
      </c>
      <c r="I2" s="9">
        <v>70</v>
      </c>
      <c r="J2" s="9">
        <v>0</v>
      </c>
      <c r="K2" s="9">
        <v>50.8</v>
      </c>
      <c r="L2" s="9">
        <v>0.38</v>
      </c>
      <c r="M2" s="9">
        <v>50.8</v>
      </c>
      <c r="N2" s="9">
        <v>0.36</v>
      </c>
      <c r="O2" s="9">
        <v>47.5</v>
      </c>
      <c r="P2" s="9">
        <v>0</v>
      </c>
      <c r="Q2" s="9">
        <v>0</v>
      </c>
    </row>
    <row r="3" s="1" customFormat="1" ht="14.25" hidden="1" spans="1:17">
      <c r="A3" s="1" t="str">
        <f>VLOOKUP(B3,combinate!A:B,2,FALSE)</f>
        <v>Group B</v>
      </c>
      <c r="B3" s="8">
        <v>254718564157</v>
      </c>
      <c r="C3" s="9">
        <v>173655</v>
      </c>
      <c r="D3" s="10">
        <v>46184.1987962963</v>
      </c>
      <c r="E3" s="11" t="s">
        <v>250</v>
      </c>
      <c r="F3" s="9">
        <v>11.11</v>
      </c>
      <c r="G3" s="9">
        <v>1477</v>
      </c>
      <c r="H3" s="9">
        <v>0</v>
      </c>
      <c r="I3" s="9">
        <v>1477</v>
      </c>
      <c r="J3" s="9">
        <v>0</v>
      </c>
      <c r="K3" s="9">
        <v>543.55</v>
      </c>
      <c r="L3" s="9">
        <v>4.09</v>
      </c>
      <c r="M3" s="9">
        <v>543.55</v>
      </c>
      <c r="N3" s="9">
        <v>3.57</v>
      </c>
      <c r="O3" s="9">
        <v>475</v>
      </c>
      <c r="P3" s="9">
        <v>0</v>
      </c>
      <c r="Q3" s="9">
        <v>0</v>
      </c>
    </row>
    <row r="4" s="1" customFormat="1" ht="14.25" hidden="1" spans="1:17">
      <c r="A4" s="1" t="str">
        <f>VLOOKUP(B4,combinate!A:B,2,FALSE)</f>
        <v>Group A</v>
      </c>
      <c r="B4" s="8">
        <v>254724373010</v>
      </c>
      <c r="C4" s="9">
        <v>531341</v>
      </c>
      <c r="D4" s="10">
        <v>46183.7978819444</v>
      </c>
      <c r="E4" s="11" t="s">
        <v>250</v>
      </c>
      <c r="F4" s="9">
        <v>24.51</v>
      </c>
      <c r="G4" s="9">
        <v>3260</v>
      </c>
      <c r="H4" s="9">
        <v>0</v>
      </c>
      <c r="I4" s="9">
        <v>3260</v>
      </c>
      <c r="J4" s="9">
        <v>0</v>
      </c>
      <c r="K4" s="9">
        <v>1038.75</v>
      </c>
      <c r="L4" s="9">
        <v>7.81</v>
      </c>
      <c r="M4" s="9">
        <v>1038.75</v>
      </c>
      <c r="N4" s="9">
        <v>7.86</v>
      </c>
      <c r="O4" s="9">
        <v>1045</v>
      </c>
      <c r="P4" s="9">
        <v>0</v>
      </c>
      <c r="Q4" s="9">
        <v>0</v>
      </c>
    </row>
    <row r="5" s="1" customFormat="1" ht="14.25" hidden="1" spans="1:17">
      <c r="A5" s="1" t="str">
        <f>VLOOKUP(B5,combinate!A:B,2,FALSE)</f>
        <v>Group C</v>
      </c>
      <c r="B5" s="8">
        <v>254742176619</v>
      </c>
      <c r="C5" s="9">
        <v>618626</v>
      </c>
      <c r="D5" s="10">
        <v>46183.6026851852</v>
      </c>
      <c r="E5" s="11" t="s">
        <v>250</v>
      </c>
      <c r="F5" s="9">
        <v>2.57</v>
      </c>
      <c r="G5" s="9">
        <v>341.22</v>
      </c>
      <c r="H5" s="9">
        <v>0</v>
      </c>
      <c r="I5" s="9">
        <v>341.22</v>
      </c>
      <c r="J5" s="9">
        <v>0</v>
      </c>
      <c r="K5" s="9">
        <v>42.75</v>
      </c>
      <c r="L5" s="9">
        <v>0.32</v>
      </c>
      <c r="M5" s="9">
        <v>42.75</v>
      </c>
      <c r="N5" s="9">
        <v>0.32</v>
      </c>
      <c r="O5" s="9">
        <v>42.75</v>
      </c>
      <c r="P5" s="9">
        <v>0</v>
      </c>
      <c r="Q5" s="9">
        <v>0</v>
      </c>
    </row>
    <row r="6" s="1" customFormat="1" ht="14.25" hidden="1" spans="1:17">
      <c r="A6" s="1" t="str">
        <f>VLOOKUP(B6,combinate!A:B,2,FALSE)</f>
        <v>Group C</v>
      </c>
      <c r="B6" s="8">
        <v>254706761895</v>
      </c>
      <c r="C6" s="9">
        <v>2276847</v>
      </c>
      <c r="D6" s="10">
        <v>46178.4953356481</v>
      </c>
      <c r="E6" s="11" t="s">
        <v>250</v>
      </c>
      <c r="F6" s="9">
        <v>0.05</v>
      </c>
      <c r="G6" s="9">
        <v>6.4</v>
      </c>
      <c r="H6" s="9">
        <v>0</v>
      </c>
      <c r="I6" s="9">
        <v>6.4</v>
      </c>
      <c r="J6" s="9">
        <v>0</v>
      </c>
      <c r="K6" s="9">
        <v>6.4</v>
      </c>
      <c r="L6" s="9">
        <v>0.05</v>
      </c>
      <c r="M6" s="9">
        <v>6.4</v>
      </c>
      <c r="N6" s="9">
        <v>0</v>
      </c>
      <c r="O6" s="9">
        <v>0</v>
      </c>
      <c r="P6" s="9">
        <v>0</v>
      </c>
      <c r="Q6" s="9">
        <v>0</v>
      </c>
    </row>
    <row r="7" s="1" customFormat="1" ht="14.25" hidden="1" spans="1:17">
      <c r="A7" s="1" t="str">
        <f>VLOOKUP(B7,combinate!A:B,2,FALSE)</f>
        <v>Group C</v>
      </c>
      <c r="B7" s="8">
        <v>254748338772</v>
      </c>
      <c r="C7" s="9">
        <v>2384066</v>
      </c>
      <c r="D7" s="10">
        <v>46184.4172106481</v>
      </c>
      <c r="E7" s="11" t="s">
        <v>250</v>
      </c>
      <c r="F7" s="9">
        <v>23.58</v>
      </c>
      <c r="G7" s="9">
        <v>3136.05</v>
      </c>
      <c r="H7" s="9">
        <v>0</v>
      </c>
      <c r="I7" s="9">
        <v>3136.05</v>
      </c>
      <c r="J7" s="9">
        <v>0</v>
      </c>
      <c r="K7" s="9">
        <v>624.4</v>
      </c>
      <c r="L7" s="9">
        <v>4.69</v>
      </c>
      <c r="M7" s="9">
        <v>624.4</v>
      </c>
      <c r="N7" s="9">
        <v>4.69</v>
      </c>
      <c r="O7" s="9">
        <v>624.15</v>
      </c>
      <c r="P7" s="9">
        <v>0</v>
      </c>
      <c r="Q7" s="9">
        <v>0</v>
      </c>
    </row>
    <row r="8" s="1" customFormat="1" ht="14.25" hidden="1" spans="1:17">
      <c r="A8" s="1" t="str">
        <f>VLOOKUP(B8,combinate!A:B,2,FALSE)</f>
        <v>Group C</v>
      </c>
      <c r="B8" s="8">
        <v>254719541682</v>
      </c>
      <c r="C8" s="9">
        <v>2986269</v>
      </c>
      <c r="D8" s="10">
        <v>46177.7375462963</v>
      </c>
      <c r="E8" s="11" t="s">
        <v>250</v>
      </c>
      <c r="F8" s="9">
        <v>17.2</v>
      </c>
      <c r="G8" s="9">
        <v>2288</v>
      </c>
      <c r="H8" s="9">
        <v>120</v>
      </c>
      <c r="I8" s="9">
        <v>2168</v>
      </c>
      <c r="J8" s="9">
        <v>120</v>
      </c>
      <c r="K8" s="9">
        <v>-225.1</v>
      </c>
      <c r="L8" s="9">
        <v>-0.79</v>
      </c>
      <c r="M8" s="9">
        <v>-105.1</v>
      </c>
      <c r="N8" s="9">
        <v>1.43</v>
      </c>
      <c r="O8" s="9">
        <v>190</v>
      </c>
      <c r="P8" s="9">
        <v>7.52</v>
      </c>
      <c r="Q8" s="9">
        <v>1000</v>
      </c>
    </row>
    <row r="9" s="1" customFormat="1" ht="14.25" hidden="1" spans="1:17">
      <c r="A9" s="1" t="str">
        <f>VLOOKUP(B9,combinate!A:B,2,FALSE)</f>
        <v>Group B</v>
      </c>
      <c r="B9" s="8">
        <v>254701740788</v>
      </c>
      <c r="C9" s="9">
        <v>3763333</v>
      </c>
      <c r="D9" s="10">
        <v>46178.2407638889</v>
      </c>
      <c r="E9" s="11" t="s">
        <v>250</v>
      </c>
      <c r="F9" s="9">
        <v>245.02</v>
      </c>
      <c r="G9" s="9">
        <v>32588.15</v>
      </c>
      <c r="H9" s="9">
        <v>0</v>
      </c>
      <c r="I9" s="9">
        <v>32588.15</v>
      </c>
      <c r="J9" s="9">
        <v>0</v>
      </c>
      <c r="K9" s="9">
        <v>4167.85</v>
      </c>
      <c r="L9" s="9">
        <v>31.34</v>
      </c>
      <c r="M9" s="9">
        <v>4167.85</v>
      </c>
      <c r="N9" s="9">
        <v>26.42</v>
      </c>
      <c r="O9" s="9">
        <v>3514.05</v>
      </c>
      <c r="P9" s="9">
        <v>0</v>
      </c>
      <c r="Q9" s="9">
        <v>0</v>
      </c>
    </row>
    <row r="10" s="1" customFormat="1" ht="14.25" hidden="1" spans="1:17">
      <c r="A10" s="1" t="str">
        <f>VLOOKUP(B10,combinate!A:B,2,FALSE)</f>
        <v>Group C</v>
      </c>
      <c r="B10" s="8">
        <v>254714852588</v>
      </c>
      <c r="C10" s="9">
        <v>8544378</v>
      </c>
      <c r="D10" s="10">
        <v>46178.516099537</v>
      </c>
      <c r="E10" s="12" t="s">
        <v>254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</row>
    <row r="11" s="1" customFormat="1" ht="14.25" hidden="1" spans="1:17">
      <c r="A11" s="1" t="str">
        <f>VLOOKUP(B11,combinate!A:B,2,FALSE)</f>
        <v>Group A</v>
      </c>
      <c r="B11" s="8">
        <v>254706989984</v>
      </c>
      <c r="C11" s="9">
        <v>10554370</v>
      </c>
      <c r="D11" s="10">
        <v>46162.3385069444</v>
      </c>
      <c r="E11" s="12" t="s">
        <v>254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</row>
    <row r="12" s="1" customFormat="1" ht="14.25" hidden="1" spans="1:17">
      <c r="A12" s="1" t="str">
        <f>VLOOKUP(B12,combinate!A:B,2,FALSE)</f>
        <v>Group B</v>
      </c>
      <c r="B12" s="8">
        <v>254794321132</v>
      </c>
      <c r="C12" s="9">
        <v>10895675</v>
      </c>
      <c r="D12" s="10">
        <v>46179.3202199074</v>
      </c>
      <c r="E12" s="11" t="s">
        <v>250</v>
      </c>
      <c r="F12" s="9">
        <v>0.71</v>
      </c>
      <c r="G12" s="9">
        <v>95</v>
      </c>
      <c r="H12" s="9">
        <v>95</v>
      </c>
      <c r="I12" s="9">
        <v>0</v>
      </c>
      <c r="J12" s="9">
        <v>95</v>
      </c>
      <c r="K12" s="9">
        <v>0</v>
      </c>
      <c r="L12" s="9">
        <v>0.71</v>
      </c>
      <c r="M12" s="9">
        <v>95</v>
      </c>
      <c r="N12" s="9">
        <v>0.71</v>
      </c>
      <c r="O12" s="9">
        <v>95</v>
      </c>
      <c r="P12" s="9">
        <v>0</v>
      </c>
      <c r="Q12" s="9">
        <v>0</v>
      </c>
    </row>
    <row r="13" s="1" customFormat="1" ht="14.25" hidden="1" spans="1:17">
      <c r="A13" s="1" t="str">
        <f>VLOOKUP(B13,combinate!A:B,2,FALSE)</f>
        <v>Group C</v>
      </c>
      <c r="B13" s="8">
        <v>254718004064</v>
      </c>
      <c r="C13" s="9">
        <v>10962028</v>
      </c>
      <c r="D13" s="10">
        <v>46161.4129050926</v>
      </c>
      <c r="E13" s="12" t="s">
        <v>254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</row>
    <row r="14" s="1" customFormat="1" ht="14.25" hidden="1" spans="1:17">
      <c r="A14" s="1" t="str">
        <f>VLOOKUP(B14,combinate!A:B,2,FALSE)</f>
        <v>Group A</v>
      </c>
      <c r="B14" s="8">
        <v>254768001060</v>
      </c>
      <c r="C14" s="9">
        <v>11507512</v>
      </c>
      <c r="D14" s="10">
        <v>46179.7915625</v>
      </c>
      <c r="E14" s="11" t="s">
        <v>250</v>
      </c>
      <c r="F14" s="9">
        <v>0.86</v>
      </c>
      <c r="G14" s="9">
        <v>114.7</v>
      </c>
      <c r="H14" s="9">
        <v>0</v>
      </c>
      <c r="I14" s="9">
        <v>114.7</v>
      </c>
      <c r="J14" s="9">
        <v>0</v>
      </c>
      <c r="K14" s="9">
        <v>94.05</v>
      </c>
      <c r="L14" s="9">
        <v>0.71</v>
      </c>
      <c r="M14" s="9">
        <v>94.05</v>
      </c>
      <c r="N14" s="9">
        <v>0.71</v>
      </c>
      <c r="O14" s="9">
        <v>94.05</v>
      </c>
      <c r="P14" s="9">
        <v>0</v>
      </c>
      <c r="Q14" s="9">
        <v>0</v>
      </c>
    </row>
    <row r="15" s="1" customFormat="1" ht="14.25" hidden="1" spans="1:17">
      <c r="A15" s="1" t="str">
        <f>VLOOKUP(B15,combinate!A:B,2,FALSE)</f>
        <v>Group A</v>
      </c>
      <c r="B15" s="8">
        <v>254725227759</v>
      </c>
      <c r="C15" s="9">
        <v>12171341</v>
      </c>
      <c r="D15" s="10">
        <v>46179.4015856481</v>
      </c>
      <c r="E15" s="11" t="s">
        <v>250</v>
      </c>
      <c r="F15" s="9">
        <v>149.28</v>
      </c>
      <c r="G15" s="9">
        <v>19854.79</v>
      </c>
      <c r="H15" s="9">
        <v>0</v>
      </c>
      <c r="I15" s="9">
        <v>19854.79</v>
      </c>
      <c r="J15" s="9">
        <v>0</v>
      </c>
      <c r="K15" s="9">
        <v>-6313.51</v>
      </c>
      <c r="L15" s="9">
        <v>-47.47</v>
      </c>
      <c r="M15" s="9">
        <v>-6313.51</v>
      </c>
      <c r="N15" s="9">
        <v>15.71</v>
      </c>
      <c r="O15" s="9">
        <v>2090</v>
      </c>
      <c r="P15" s="9">
        <v>60.15</v>
      </c>
      <c r="Q15" s="9">
        <v>8000</v>
      </c>
    </row>
    <row r="16" s="1" customFormat="1" ht="14.25" hidden="1" spans="1:17">
      <c r="A16" s="1" t="str">
        <f>VLOOKUP(B16,combinate!A:B,2,FALSE)</f>
        <v>Group C</v>
      </c>
      <c r="B16" s="8">
        <v>254715799919</v>
      </c>
      <c r="C16" s="9">
        <v>13378458</v>
      </c>
      <c r="D16" s="10">
        <v>46183.9930439815</v>
      </c>
      <c r="E16" s="11" t="s">
        <v>250</v>
      </c>
      <c r="F16" s="9">
        <v>26.91</v>
      </c>
      <c r="G16" s="9">
        <v>3578.54</v>
      </c>
      <c r="H16" s="9">
        <v>0</v>
      </c>
      <c r="I16" s="9">
        <v>3578.54</v>
      </c>
      <c r="J16" s="9">
        <v>0</v>
      </c>
      <c r="K16" s="9">
        <v>817.14</v>
      </c>
      <c r="L16" s="9">
        <v>6.14</v>
      </c>
      <c r="M16" s="9">
        <v>817.14</v>
      </c>
      <c r="N16" s="9">
        <v>6.21</v>
      </c>
      <c r="O16" s="9">
        <v>826.5</v>
      </c>
      <c r="P16" s="9">
        <v>10.53</v>
      </c>
      <c r="Q16" s="9">
        <v>1400</v>
      </c>
    </row>
    <row r="17" s="1" customFormat="1" ht="14.25" hidden="1" spans="1:17">
      <c r="A17" s="1" t="str">
        <f>VLOOKUP(B17,combinate!A:B,2,FALSE)</f>
        <v>Group C</v>
      </c>
      <c r="B17" s="8">
        <v>254796069425</v>
      </c>
      <c r="C17" s="9">
        <v>13462169</v>
      </c>
      <c r="D17" s="10">
        <v>46177.8095949074</v>
      </c>
      <c r="E17" s="12" t="s">
        <v>254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</row>
    <row r="18" s="1" customFormat="1" ht="14.25" hidden="1" spans="1:17">
      <c r="A18" s="1" t="str">
        <f>VLOOKUP(B18,combinate!A:B,2,FALSE)</f>
        <v>Group C</v>
      </c>
      <c r="B18" s="8">
        <v>254797909950</v>
      </c>
      <c r="C18" s="9">
        <v>13485937</v>
      </c>
      <c r="D18" s="10">
        <v>46184.3319212963</v>
      </c>
      <c r="E18" s="11" t="s">
        <v>250</v>
      </c>
      <c r="F18" s="9">
        <v>10.53</v>
      </c>
      <c r="G18" s="9">
        <v>1400</v>
      </c>
      <c r="H18" s="9">
        <v>0</v>
      </c>
      <c r="I18" s="9">
        <v>1400</v>
      </c>
      <c r="J18" s="9">
        <v>0</v>
      </c>
      <c r="K18" s="9">
        <v>106.3</v>
      </c>
      <c r="L18" s="9">
        <v>0.8</v>
      </c>
      <c r="M18" s="9">
        <v>106.3</v>
      </c>
      <c r="N18" s="9">
        <v>0.81</v>
      </c>
      <c r="O18" s="9">
        <v>107.35</v>
      </c>
      <c r="P18" s="9">
        <v>0</v>
      </c>
      <c r="Q18" s="9">
        <v>0</v>
      </c>
    </row>
    <row r="19" s="1" customFormat="1" ht="14.25" hidden="1" spans="1:17">
      <c r="A19" s="1" t="str">
        <f>VLOOKUP(B19,combinate!A:B,2,FALSE)</f>
        <v>Group A</v>
      </c>
      <c r="B19" s="8">
        <v>254791804303</v>
      </c>
      <c r="C19" s="9">
        <v>13612342</v>
      </c>
      <c r="D19" s="10">
        <v>46178.810625</v>
      </c>
      <c r="E19" s="11" t="s">
        <v>250</v>
      </c>
      <c r="F19" s="9">
        <v>22.85</v>
      </c>
      <c r="G19" s="9">
        <v>3039.12</v>
      </c>
      <c r="H19" s="9">
        <v>0</v>
      </c>
      <c r="I19" s="9">
        <v>3039.12</v>
      </c>
      <c r="J19" s="9">
        <v>0</v>
      </c>
      <c r="K19" s="9">
        <v>586.22</v>
      </c>
      <c r="L19" s="9">
        <v>4.41</v>
      </c>
      <c r="M19" s="9">
        <v>586.22</v>
      </c>
      <c r="N19" s="9">
        <v>4.29</v>
      </c>
      <c r="O19" s="9">
        <v>570</v>
      </c>
      <c r="P19" s="9">
        <v>0</v>
      </c>
      <c r="Q19" s="9">
        <v>0</v>
      </c>
    </row>
    <row r="20" s="1" customFormat="1" ht="14.25" hidden="1" spans="1:17">
      <c r="A20" s="1" t="str">
        <f>VLOOKUP(B20,combinate!A:B,2,FALSE)</f>
        <v>Group C</v>
      </c>
      <c r="B20" s="8">
        <v>254790146308</v>
      </c>
      <c r="C20" s="9">
        <v>13956357</v>
      </c>
      <c r="D20" s="10">
        <v>46181.3626851852</v>
      </c>
      <c r="E20" s="11" t="s">
        <v>250</v>
      </c>
      <c r="F20" s="9">
        <v>8.23</v>
      </c>
      <c r="G20" s="9">
        <v>1094</v>
      </c>
      <c r="H20" s="9">
        <v>0</v>
      </c>
      <c r="I20" s="9">
        <v>1094</v>
      </c>
      <c r="J20" s="9">
        <v>0</v>
      </c>
      <c r="K20" s="9">
        <v>260.7</v>
      </c>
      <c r="L20" s="9">
        <v>1.96</v>
      </c>
      <c r="M20" s="9">
        <v>260.7</v>
      </c>
      <c r="N20" s="9">
        <v>1.96</v>
      </c>
      <c r="O20" s="9">
        <v>261.25</v>
      </c>
      <c r="P20" s="9">
        <v>0</v>
      </c>
      <c r="Q20" s="9">
        <v>0</v>
      </c>
    </row>
    <row r="21" s="1" customFormat="1" ht="14.25" hidden="1" spans="1:17">
      <c r="A21" s="1" t="str">
        <f>VLOOKUP(B21,combinate!A:B,2,FALSE)</f>
        <v>Group A</v>
      </c>
      <c r="B21" s="8">
        <v>254743558162</v>
      </c>
      <c r="C21" s="9">
        <v>14894640</v>
      </c>
      <c r="D21" s="10">
        <v>46177.7286689815</v>
      </c>
      <c r="E21" s="11" t="s">
        <v>250</v>
      </c>
      <c r="F21" s="9">
        <v>3.36</v>
      </c>
      <c r="G21" s="9">
        <v>447</v>
      </c>
      <c r="H21" s="9">
        <v>0</v>
      </c>
      <c r="I21" s="9">
        <v>447</v>
      </c>
      <c r="J21" s="9">
        <v>0</v>
      </c>
      <c r="K21" s="9">
        <v>91</v>
      </c>
      <c r="L21" s="9">
        <v>0.68</v>
      </c>
      <c r="M21" s="9">
        <v>91</v>
      </c>
      <c r="N21" s="9">
        <v>0.71</v>
      </c>
      <c r="O21" s="9">
        <v>94.05</v>
      </c>
      <c r="P21" s="9">
        <v>0</v>
      </c>
      <c r="Q21" s="9">
        <v>0</v>
      </c>
    </row>
    <row r="22" s="1" customFormat="1" ht="14.25" hidden="1" spans="1:17">
      <c r="A22" s="1" t="str">
        <f>VLOOKUP(B22,combinate!A:B,2,FALSE)</f>
        <v>Group C</v>
      </c>
      <c r="B22" s="8">
        <v>254758619701</v>
      </c>
      <c r="C22" s="9">
        <v>16267439</v>
      </c>
      <c r="D22" s="10">
        <v>46160.8119560185</v>
      </c>
      <c r="E22" s="12" t="s">
        <v>254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</row>
    <row r="23" s="1" customFormat="1" ht="14.25" hidden="1" spans="1:17">
      <c r="A23" s="1" t="str">
        <f>VLOOKUP(B23,combinate!A:B,2,FALSE)</f>
        <v>Group A</v>
      </c>
      <c r="B23" s="8">
        <v>254725793059</v>
      </c>
      <c r="C23" s="9">
        <v>17044890</v>
      </c>
      <c r="D23" s="10">
        <v>46180.9142476852</v>
      </c>
      <c r="E23" s="11" t="s">
        <v>250</v>
      </c>
      <c r="F23" s="9">
        <v>62.78</v>
      </c>
      <c r="G23" s="9">
        <v>8350</v>
      </c>
      <c r="H23" s="9">
        <v>0</v>
      </c>
      <c r="I23" s="9">
        <v>8350</v>
      </c>
      <c r="J23" s="9">
        <v>0</v>
      </c>
      <c r="K23" s="9">
        <v>382.3</v>
      </c>
      <c r="L23" s="9">
        <v>2.87</v>
      </c>
      <c r="M23" s="9">
        <v>382.3</v>
      </c>
      <c r="N23" s="9">
        <v>2.86</v>
      </c>
      <c r="O23" s="9">
        <v>380</v>
      </c>
      <c r="P23" s="9">
        <v>0</v>
      </c>
      <c r="Q23" s="9">
        <v>0</v>
      </c>
    </row>
    <row r="24" s="1" customFormat="1" ht="14.25" hidden="1" spans="1:17">
      <c r="A24" s="1" t="str">
        <f>VLOOKUP(B24,combinate!A:B,2,FALSE)</f>
        <v>Group A</v>
      </c>
      <c r="B24" s="8">
        <v>254713655622</v>
      </c>
      <c r="C24" s="9">
        <v>17061780</v>
      </c>
      <c r="D24" s="10">
        <v>46162.5862847222</v>
      </c>
      <c r="E24" s="12" t="s">
        <v>254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</row>
    <row r="25" s="1" customFormat="1" ht="14.25" hidden="1" spans="1:17">
      <c r="A25" s="1" t="str">
        <f>VLOOKUP(B25,combinate!A:B,2,FALSE)</f>
        <v>Group C</v>
      </c>
      <c r="B25" s="8">
        <v>254704108930</v>
      </c>
      <c r="C25" s="9">
        <v>17313467</v>
      </c>
      <c r="D25" s="10">
        <v>46163.2835300926</v>
      </c>
      <c r="E25" s="12" t="s">
        <v>254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</row>
    <row r="26" s="1" customFormat="1" ht="14.25" hidden="1" spans="1:17">
      <c r="A26" s="1" t="str">
        <f>VLOOKUP(B26,combinate!A:B,2,FALSE)</f>
        <v>Group A</v>
      </c>
      <c r="B26" s="8">
        <v>254793621557</v>
      </c>
      <c r="C26" s="9">
        <v>17313531</v>
      </c>
      <c r="D26" s="10">
        <v>46160.5728703704</v>
      </c>
      <c r="E26" s="12" t="s">
        <v>254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</row>
    <row r="27" s="1" customFormat="1" ht="14.25" hidden="1" spans="1:17">
      <c r="A27" s="1" t="str">
        <f>VLOOKUP(B27,combinate!A:B,2,FALSE)</f>
        <v>Group B</v>
      </c>
      <c r="B27" s="8">
        <v>254793278424</v>
      </c>
      <c r="C27" s="9">
        <v>17350954</v>
      </c>
      <c r="D27" s="10">
        <v>46161.7375810185</v>
      </c>
      <c r="E27" s="12" t="s">
        <v>254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</row>
    <row r="28" s="1" customFormat="1" ht="14.25" hidden="1" spans="1:17">
      <c r="A28" s="1" t="str">
        <f>VLOOKUP(B28,combinate!A:B,2,FALSE)</f>
        <v>Group B</v>
      </c>
      <c r="B28" s="8">
        <v>254795341643</v>
      </c>
      <c r="C28" s="9">
        <v>17726024</v>
      </c>
      <c r="D28" s="10">
        <v>46178.6919212963</v>
      </c>
      <c r="E28" s="11" t="s">
        <v>250</v>
      </c>
      <c r="F28" s="9">
        <v>5.26</v>
      </c>
      <c r="G28" s="9">
        <v>700</v>
      </c>
      <c r="H28" s="9">
        <v>0</v>
      </c>
      <c r="I28" s="9">
        <v>700</v>
      </c>
      <c r="J28" s="9">
        <v>0</v>
      </c>
      <c r="K28" s="9">
        <v>-65.82</v>
      </c>
      <c r="L28" s="9">
        <v>-0.49</v>
      </c>
      <c r="M28" s="9">
        <v>-65.82</v>
      </c>
      <c r="N28" s="9">
        <v>1.29</v>
      </c>
      <c r="O28" s="9">
        <v>171.95</v>
      </c>
      <c r="P28" s="9">
        <v>2.63</v>
      </c>
      <c r="Q28" s="9">
        <v>350</v>
      </c>
    </row>
    <row r="29" s="1" customFormat="1" ht="14.25" hidden="1" spans="1:17">
      <c r="A29" s="1" t="str">
        <f>VLOOKUP(B29,combinate!A:B,2,FALSE)</f>
        <v>Group A</v>
      </c>
      <c r="B29" s="8">
        <v>254706096874</v>
      </c>
      <c r="C29" s="9">
        <v>17783571</v>
      </c>
      <c r="D29" s="10">
        <v>46166.2773032407</v>
      </c>
      <c r="E29" s="12" t="s">
        <v>254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</row>
    <row r="30" s="1" customFormat="1" ht="14.25" hidden="1" spans="1:17">
      <c r="A30" s="1" t="str">
        <f>VLOOKUP(B30,combinate!A:B,2,FALSE)</f>
        <v>Group A</v>
      </c>
      <c r="B30" s="8">
        <v>254117626833</v>
      </c>
      <c r="C30" s="9">
        <v>17953561</v>
      </c>
      <c r="D30" s="10">
        <v>46163.6902083333</v>
      </c>
      <c r="E30" s="12" t="s">
        <v>254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</row>
    <row r="31" s="1" customFormat="1" ht="14.25" hidden="1" spans="1:17">
      <c r="A31" s="1" t="str">
        <f>VLOOKUP(B31,combinate!A:B,2,FALSE)</f>
        <v>Group A</v>
      </c>
      <c r="B31" s="8">
        <v>254768264749</v>
      </c>
      <c r="C31" s="9">
        <v>20714812</v>
      </c>
      <c r="D31" s="10">
        <v>46176.7189699074</v>
      </c>
      <c r="E31" s="12" t="s">
        <v>254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</row>
    <row r="32" s="1" customFormat="1" ht="14.25" hidden="1" spans="1:17">
      <c r="A32" s="1" t="str">
        <f>VLOOKUP(B32,combinate!A:B,2,FALSE)</f>
        <v>Group C</v>
      </c>
      <c r="B32" s="8">
        <v>254742306699</v>
      </c>
      <c r="C32" s="9">
        <v>496299</v>
      </c>
      <c r="D32" s="10">
        <v>46161.6044907407</v>
      </c>
      <c r="E32" s="12" t="s">
        <v>254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</row>
    <row r="33" s="1" customFormat="1" ht="14.25" hidden="1" spans="1:17">
      <c r="A33" s="1" t="str">
        <f>VLOOKUP(B33,combinate!A:B,2,FALSE)</f>
        <v>Group A</v>
      </c>
      <c r="B33" s="8">
        <v>254708031767</v>
      </c>
      <c r="C33" s="9">
        <v>1380850</v>
      </c>
      <c r="D33" s="10">
        <v>46166.3892013889</v>
      </c>
      <c r="E33" s="12" t="s">
        <v>254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</row>
    <row r="34" s="1" customFormat="1" ht="14.25" hidden="1" spans="1:17">
      <c r="A34" s="1" t="str">
        <f>VLOOKUP(B34,combinate!A:B,2,FALSE)</f>
        <v>Group C</v>
      </c>
      <c r="B34" s="8">
        <v>254719125233</v>
      </c>
      <c r="C34" s="9">
        <v>1853978</v>
      </c>
      <c r="D34" s="10">
        <v>46179.5653009259</v>
      </c>
      <c r="E34" s="12" t="s">
        <v>254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</row>
    <row r="35" s="1" customFormat="1" ht="14.25" spans="1:17">
      <c r="A35" s="1" t="str">
        <f>VLOOKUP(B35,combinate!A:B,2,FALSE)</f>
        <v>Group C</v>
      </c>
      <c r="B35" s="8">
        <v>254728546897</v>
      </c>
      <c r="C35" s="9">
        <v>2123157</v>
      </c>
      <c r="D35" s="10">
        <v>46183.7830208333</v>
      </c>
      <c r="E35" s="11" t="s">
        <v>250</v>
      </c>
      <c r="F35" s="9">
        <v>475.34</v>
      </c>
      <c r="G35" s="9">
        <v>63219.75</v>
      </c>
      <c r="H35" s="9">
        <v>0</v>
      </c>
      <c r="I35" s="9">
        <v>63219.75</v>
      </c>
      <c r="J35" s="9">
        <v>0</v>
      </c>
      <c r="K35" s="9">
        <v>1460.25</v>
      </c>
      <c r="L35" s="9">
        <v>10.98</v>
      </c>
      <c r="M35" s="9">
        <v>1460.25</v>
      </c>
      <c r="N35" s="9">
        <v>55.7</v>
      </c>
      <c r="O35" s="9">
        <v>7408.1</v>
      </c>
      <c r="P35" s="9">
        <v>56.69</v>
      </c>
      <c r="Q35" s="9">
        <v>7539.85</v>
      </c>
    </row>
    <row r="36" s="1" customFormat="1" ht="14.25" hidden="1" spans="1:17">
      <c r="A36" s="1" t="str">
        <f>VLOOKUP(B36,combinate!A:B,2,FALSE)</f>
        <v>Group A</v>
      </c>
      <c r="B36" s="8">
        <v>254745618260</v>
      </c>
      <c r="C36" s="9">
        <v>2702120</v>
      </c>
      <c r="D36" s="10">
        <v>46161.4475462963</v>
      </c>
      <c r="E36" s="12" t="s">
        <v>254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</row>
    <row r="37" s="1" customFormat="1" ht="14.25" hidden="1" spans="1:17">
      <c r="A37" s="1" t="str">
        <f>VLOOKUP(B37,combinate!A:B,2,FALSE)</f>
        <v>Group C</v>
      </c>
      <c r="B37" s="8">
        <v>254724101008</v>
      </c>
      <c r="C37" s="9">
        <v>3514858</v>
      </c>
      <c r="D37" s="10">
        <v>46161.6710648148</v>
      </c>
      <c r="E37" s="12" t="s">
        <v>254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</row>
    <row r="38" s="1" customFormat="1" ht="14.25" hidden="1" spans="1:17">
      <c r="A38" s="1" t="str">
        <f>VLOOKUP(B38,combinate!A:B,2,FALSE)</f>
        <v>Group A</v>
      </c>
      <c r="B38" s="8">
        <v>254799247838</v>
      </c>
      <c r="C38" s="9">
        <v>4650791</v>
      </c>
      <c r="D38" s="10">
        <v>46181.810787037</v>
      </c>
      <c r="E38" s="12" t="s">
        <v>254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</row>
    <row r="39" s="1" customFormat="1" ht="14.25" hidden="1" spans="1:17">
      <c r="A39" s="1" t="str">
        <f>VLOOKUP(B39,combinate!A:B,2,FALSE)</f>
        <v>Group C</v>
      </c>
      <c r="B39" s="8">
        <v>254729889133</v>
      </c>
      <c r="C39" s="9">
        <v>4704828</v>
      </c>
      <c r="D39" s="10">
        <v>46179.629224537</v>
      </c>
      <c r="E39" s="11" t="s">
        <v>250</v>
      </c>
      <c r="F39" s="9">
        <v>0.04</v>
      </c>
      <c r="G39" s="9">
        <v>4.96</v>
      </c>
      <c r="H39" s="9">
        <v>0</v>
      </c>
      <c r="I39" s="9">
        <v>4.96</v>
      </c>
      <c r="J39" s="9">
        <v>0</v>
      </c>
      <c r="K39" s="9">
        <v>4.96</v>
      </c>
      <c r="L39" s="9">
        <v>0.04</v>
      </c>
      <c r="M39" s="9">
        <v>4.96</v>
      </c>
      <c r="N39" s="9">
        <v>0</v>
      </c>
      <c r="O39" s="9">
        <v>0</v>
      </c>
      <c r="P39" s="9">
        <v>0</v>
      </c>
      <c r="Q39" s="9">
        <v>0</v>
      </c>
    </row>
    <row r="40" s="1" customFormat="1" ht="14.25" hidden="1" spans="1:17">
      <c r="A40" s="1" t="str">
        <f>VLOOKUP(B40,combinate!A:B,2,FALSE)</f>
        <v>Group A</v>
      </c>
      <c r="B40" s="8">
        <v>254723275890</v>
      </c>
      <c r="C40" s="9">
        <v>5412601</v>
      </c>
      <c r="D40" s="10">
        <v>46162.8234375</v>
      </c>
      <c r="E40" s="12" t="s">
        <v>254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</row>
    <row r="41" s="1" customFormat="1" ht="14.25" hidden="1" spans="1:17">
      <c r="A41" s="1" t="str">
        <f>VLOOKUP(B41,combinate!A:B,2,FALSE)</f>
        <v>Group C</v>
      </c>
      <c r="B41" s="8">
        <v>254726568497</v>
      </c>
      <c r="C41" s="9">
        <v>5960577</v>
      </c>
      <c r="D41" s="10">
        <v>46162.0687268519</v>
      </c>
      <c r="E41" s="12" t="s">
        <v>254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</row>
    <row r="42" s="1" customFormat="1" ht="14.25" hidden="1" spans="1:17">
      <c r="A42" s="1" t="str">
        <f>VLOOKUP(B42,combinate!A:B,2,FALSE)</f>
        <v>Group B</v>
      </c>
      <c r="B42" s="8">
        <v>254721643562</v>
      </c>
      <c r="C42" s="9">
        <v>9313183</v>
      </c>
      <c r="D42" s="10">
        <v>46180.9856597222</v>
      </c>
      <c r="E42" s="11" t="s">
        <v>250</v>
      </c>
      <c r="F42" s="9">
        <v>6.83</v>
      </c>
      <c r="G42" s="9">
        <v>908</v>
      </c>
      <c r="H42" s="9">
        <v>0</v>
      </c>
      <c r="I42" s="9">
        <v>908</v>
      </c>
      <c r="J42" s="9">
        <v>0</v>
      </c>
      <c r="K42" s="9">
        <v>381.6</v>
      </c>
      <c r="L42" s="9">
        <v>2.87</v>
      </c>
      <c r="M42" s="9">
        <v>381.6</v>
      </c>
      <c r="N42" s="9">
        <v>2.84</v>
      </c>
      <c r="O42" s="9">
        <v>377.15</v>
      </c>
      <c r="P42" s="9">
        <v>0</v>
      </c>
      <c r="Q42" s="9">
        <v>0</v>
      </c>
    </row>
    <row r="43" s="1" customFormat="1" ht="14.25" hidden="1" spans="1:17">
      <c r="A43" s="1" t="str">
        <f>VLOOKUP(B43,combinate!A:B,2,FALSE)</f>
        <v>Group A</v>
      </c>
      <c r="B43" s="8">
        <v>254720299668</v>
      </c>
      <c r="C43" s="9">
        <v>9559482</v>
      </c>
      <c r="D43" s="10">
        <v>46178.846087963</v>
      </c>
      <c r="E43" s="12" t="s">
        <v>254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</row>
    <row r="44" s="1" customFormat="1" ht="14.25" hidden="1" spans="1:17">
      <c r="A44" s="1" t="str">
        <f>VLOOKUP(B44,combinate!A:B,2,FALSE)</f>
        <v>Group C</v>
      </c>
      <c r="B44" s="8">
        <v>254114389116</v>
      </c>
      <c r="C44" s="9">
        <v>9934426</v>
      </c>
      <c r="D44" s="10">
        <v>46163.6730208333</v>
      </c>
      <c r="E44" s="12" t="s">
        <v>254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</row>
    <row r="45" s="1" customFormat="1" ht="14.25" hidden="1" spans="1:17">
      <c r="A45" s="1" t="str">
        <f>VLOOKUP(B45,combinate!A:B,2,FALSE)</f>
        <v>Group C</v>
      </c>
      <c r="B45" s="8">
        <v>254795932937</v>
      </c>
      <c r="C45" s="9">
        <v>10241436</v>
      </c>
      <c r="D45" s="10">
        <v>46179.7898032407</v>
      </c>
      <c r="E45" s="11" t="s">
        <v>250</v>
      </c>
      <c r="F45" s="9">
        <v>1.99</v>
      </c>
      <c r="G45" s="9">
        <v>265</v>
      </c>
      <c r="H45" s="9">
        <v>0</v>
      </c>
      <c r="I45" s="9">
        <v>265</v>
      </c>
      <c r="J45" s="9">
        <v>0</v>
      </c>
      <c r="K45" s="9">
        <v>189</v>
      </c>
      <c r="L45" s="9">
        <v>1.42</v>
      </c>
      <c r="M45" s="9">
        <v>189</v>
      </c>
      <c r="N45" s="9">
        <v>1.41</v>
      </c>
      <c r="O45" s="9">
        <v>188.1</v>
      </c>
      <c r="P45" s="9">
        <v>0</v>
      </c>
      <c r="Q45" s="9">
        <v>0</v>
      </c>
    </row>
    <row r="46" s="1" customFormat="1" ht="14.25" hidden="1" spans="1:17">
      <c r="A46" s="1" t="str">
        <f>VLOOKUP(B46,combinate!A:B,2,FALSE)</f>
        <v>Group C</v>
      </c>
      <c r="B46" s="8">
        <v>254790952494</v>
      </c>
      <c r="C46" s="9">
        <v>10327637</v>
      </c>
      <c r="D46" s="10">
        <v>46161.7156481482</v>
      </c>
      <c r="E46" s="12" t="s">
        <v>254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</row>
    <row r="47" s="1" customFormat="1" ht="14.25" hidden="1" spans="1:17">
      <c r="A47" s="1" t="str">
        <f>VLOOKUP(B47,combinate!A:B,2,FALSE)</f>
        <v>Group A</v>
      </c>
      <c r="B47" s="8">
        <v>254722685409</v>
      </c>
      <c r="C47" s="9">
        <v>10501630</v>
      </c>
      <c r="D47" s="10">
        <v>46181.7499652778</v>
      </c>
      <c r="E47" s="12" t="s">
        <v>254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</row>
    <row r="48" s="1" customFormat="1" ht="14.25" hidden="1" spans="1:17">
      <c r="A48" s="1" t="str">
        <f>VLOOKUP(B48,combinate!A:B,2,FALSE)</f>
        <v>Group C</v>
      </c>
      <c r="B48" s="8">
        <v>254705455322</v>
      </c>
      <c r="C48" s="9">
        <v>10595597</v>
      </c>
      <c r="D48" s="10">
        <v>46183.8398263889</v>
      </c>
      <c r="E48" s="11" t="s">
        <v>250</v>
      </c>
      <c r="F48" s="9">
        <v>0.79</v>
      </c>
      <c r="G48" s="9">
        <v>105.25</v>
      </c>
      <c r="H48" s="9">
        <v>0</v>
      </c>
      <c r="I48" s="9">
        <v>105.25</v>
      </c>
      <c r="J48" s="9">
        <v>0</v>
      </c>
      <c r="K48" s="9">
        <v>-459.28</v>
      </c>
      <c r="L48" s="9">
        <v>-3.45</v>
      </c>
      <c r="M48" s="9">
        <v>-459.28</v>
      </c>
      <c r="N48" s="9">
        <v>0.21</v>
      </c>
      <c r="O48" s="9">
        <v>28.5</v>
      </c>
      <c r="P48" s="9">
        <v>3.38</v>
      </c>
      <c r="Q48" s="9">
        <v>450</v>
      </c>
    </row>
    <row r="49" s="1" customFormat="1" ht="14.25" hidden="1" spans="1:17">
      <c r="A49" s="1" t="str">
        <f>VLOOKUP(B49,combinate!A:B,2,FALSE)</f>
        <v>Group C</v>
      </c>
      <c r="B49" s="8">
        <v>254757140237</v>
      </c>
      <c r="C49" s="9">
        <v>11444076</v>
      </c>
      <c r="D49" s="10">
        <v>46162.3830787037</v>
      </c>
      <c r="E49" s="12" t="s">
        <v>254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</row>
    <row r="50" s="1" customFormat="1" ht="14.25" hidden="1" spans="1:17">
      <c r="A50" s="1" t="str">
        <f>VLOOKUP(B50,combinate!A:B,2,FALSE)</f>
        <v>Group C</v>
      </c>
      <c r="B50" s="8">
        <v>254740193384</v>
      </c>
      <c r="C50" s="9">
        <v>11983119</v>
      </c>
      <c r="D50" s="10">
        <v>46161.690162037</v>
      </c>
      <c r="E50" s="12" t="s">
        <v>254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</row>
    <row r="51" s="1" customFormat="1" ht="14.25" hidden="1" spans="1:17">
      <c r="A51" s="1" t="str">
        <f>VLOOKUP(B51,combinate!A:B,2,FALSE)</f>
        <v>Group C</v>
      </c>
      <c r="B51" s="8">
        <v>254726388091</v>
      </c>
      <c r="C51" s="9">
        <v>12740128</v>
      </c>
      <c r="D51" s="10">
        <v>46183.8086921296</v>
      </c>
      <c r="E51" s="11" t="s">
        <v>250</v>
      </c>
      <c r="F51" s="9">
        <v>3.53</v>
      </c>
      <c r="G51" s="9">
        <v>470</v>
      </c>
      <c r="H51" s="9">
        <v>0</v>
      </c>
      <c r="I51" s="9">
        <v>470</v>
      </c>
      <c r="J51" s="9">
        <v>0</v>
      </c>
      <c r="K51" s="9">
        <v>349.2</v>
      </c>
      <c r="L51" s="9">
        <v>2.63</v>
      </c>
      <c r="M51" s="9">
        <v>349.2</v>
      </c>
      <c r="N51" s="9">
        <v>2.64</v>
      </c>
      <c r="O51" s="9">
        <v>351.5</v>
      </c>
      <c r="P51" s="9">
        <v>0</v>
      </c>
      <c r="Q51" s="9">
        <v>0</v>
      </c>
    </row>
    <row r="52" s="1" customFormat="1" ht="14.25" hidden="1" spans="1:17">
      <c r="A52" s="1" t="str">
        <f>VLOOKUP(B52,combinate!A:B,2,FALSE)</f>
        <v>Group C</v>
      </c>
      <c r="B52" s="8">
        <v>254724613959</v>
      </c>
      <c r="C52" s="9">
        <v>12997767</v>
      </c>
      <c r="D52" s="10">
        <v>46184.0868981481</v>
      </c>
      <c r="E52" s="12" t="s">
        <v>254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</row>
    <row r="53" s="1" customFormat="1" ht="14.25" hidden="1" spans="1:17">
      <c r="A53" s="1" t="str">
        <f>VLOOKUP(B53,combinate!A:B,2,FALSE)</f>
        <v>Group C</v>
      </c>
      <c r="B53" s="8">
        <v>254793865233</v>
      </c>
      <c r="C53" s="9">
        <v>13061037</v>
      </c>
      <c r="D53" s="10">
        <v>46181.751712963</v>
      </c>
      <c r="E53" s="12" t="s">
        <v>254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</row>
    <row r="54" s="1" customFormat="1" ht="14.25" hidden="1" spans="1:17">
      <c r="A54" s="1" t="str">
        <f>VLOOKUP(B54,combinate!A:B,2,FALSE)</f>
        <v>Group C</v>
      </c>
      <c r="B54" s="8">
        <v>254114392239</v>
      </c>
      <c r="C54" s="9">
        <v>13447628</v>
      </c>
      <c r="D54" s="10">
        <v>46163.8382638889</v>
      </c>
      <c r="E54" s="12" t="s">
        <v>254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</row>
    <row r="55" s="1" customFormat="1" ht="14.25" hidden="1" spans="1:17">
      <c r="A55" s="1" t="str">
        <f>VLOOKUP(B55,combinate!A:B,2,FALSE)</f>
        <v>Group C</v>
      </c>
      <c r="B55" s="8">
        <v>254720364263</v>
      </c>
      <c r="C55" s="9">
        <v>14985036</v>
      </c>
      <c r="D55" s="10">
        <v>46181.6605902778</v>
      </c>
      <c r="E55" s="12" t="s">
        <v>254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</row>
    <row r="56" s="1" customFormat="1" ht="14.25" hidden="1" spans="1:17">
      <c r="A56" s="1" t="str">
        <f>VLOOKUP(B56,combinate!A:B,2,FALSE)</f>
        <v>Group B</v>
      </c>
      <c r="B56" s="8">
        <v>254117218951</v>
      </c>
      <c r="C56" s="9">
        <v>15153514</v>
      </c>
      <c r="D56" s="10">
        <v>46160.261724537</v>
      </c>
      <c r="E56" s="12" t="s">
        <v>254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</row>
    <row r="57" s="1" customFormat="1" ht="14.25" hidden="1" spans="1:17">
      <c r="A57" s="1" t="str">
        <f>VLOOKUP(B57,combinate!A:B,2,FALSE)</f>
        <v>Group C</v>
      </c>
      <c r="B57" s="8">
        <v>254728536383</v>
      </c>
      <c r="C57" s="9">
        <v>15469378</v>
      </c>
      <c r="D57" s="10">
        <v>46183.9441782407</v>
      </c>
      <c r="E57" s="11" t="s">
        <v>250</v>
      </c>
      <c r="F57" s="9">
        <v>2.14</v>
      </c>
      <c r="G57" s="9">
        <v>284.4</v>
      </c>
      <c r="H57" s="9">
        <v>1</v>
      </c>
      <c r="I57" s="9">
        <v>283.4</v>
      </c>
      <c r="J57" s="9">
        <v>1</v>
      </c>
      <c r="K57" s="9">
        <v>118.87</v>
      </c>
      <c r="L57" s="9">
        <v>0.9</v>
      </c>
      <c r="M57" s="9">
        <v>119.87</v>
      </c>
      <c r="N57" s="9">
        <v>0.86</v>
      </c>
      <c r="O57" s="9">
        <v>114</v>
      </c>
      <c r="P57" s="9">
        <v>0</v>
      </c>
      <c r="Q57" s="9">
        <v>0</v>
      </c>
    </row>
    <row r="58" s="1" customFormat="1" ht="14.25" hidden="1" spans="1:17">
      <c r="A58" s="1" t="str">
        <f>VLOOKUP(B58,combinate!A:B,2,FALSE)</f>
        <v>Group C</v>
      </c>
      <c r="B58" s="8">
        <v>254716643208</v>
      </c>
      <c r="C58" s="9">
        <v>15470136</v>
      </c>
      <c r="D58" s="10">
        <v>46162.674537037</v>
      </c>
      <c r="E58" s="12" t="s">
        <v>254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</row>
    <row r="59" s="1" customFormat="1" ht="14.25" hidden="1" spans="1:17">
      <c r="A59" s="1" t="str">
        <f>VLOOKUP(B59,combinate!A:B,2,FALSE)</f>
        <v>Group C</v>
      </c>
      <c r="B59" s="8">
        <v>254700004252</v>
      </c>
      <c r="C59" s="9">
        <v>15832258</v>
      </c>
      <c r="D59" s="10">
        <v>46182.7322800926</v>
      </c>
      <c r="E59" s="11" t="s">
        <v>250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0.71</v>
      </c>
      <c r="O59" s="9">
        <v>95</v>
      </c>
      <c r="P59" s="9">
        <v>0</v>
      </c>
      <c r="Q59" s="9">
        <v>0</v>
      </c>
    </row>
    <row r="60" s="1" customFormat="1" ht="14.25" hidden="1" spans="1:17">
      <c r="A60" s="1" t="str">
        <f>VLOOKUP(B60,combinate!A:B,2,FALSE)</f>
        <v>Group C</v>
      </c>
      <c r="B60" s="8">
        <v>254116249274</v>
      </c>
      <c r="C60" s="9">
        <v>16251086</v>
      </c>
      <c r="D60" s="10">
        <v>46161.6502893519</v>
      </c>
      <c r="E60" s="12" t="s">
        <v>254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</row>
    <row r="61" s="1" customFormat="1" ht="14.25" hidden="1" spans="1:17">
      <c r="A61" s="1" t="str">
        <f>VLOOKUP(B61,combinate!A:B,2,FALSE)</f>
        <v>Group A</v>
      </c>
      <c r="B61" s="8">
        <v>254727560469</v>
      </c>
      <c r="C61" s="9">
        <v>16411530</v>
      </c>
      <c r="D61" s="10">
        <v>46166.7714814815</v>
      </c>
      <c r="E61" s="12" t="s">
        <v>254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</row>
    <row r="62" s="1" customFormat="1" ht="14.25" hidden="1" spans="1:17">
      <c r="A62" s="1" t="str">
        <f>VLOOKUP(B62,combinate!A:B,2,FALSE)</f>
        <v>Group C</v>
      </c>
      <c r="B62" s="8">
        <v>254740495569</v>
      </c>
      <c r="C62" s="9">
        <v>16475767</v>
      </c>
      <c r="D62" s="10">
        <v>46183.5735648148</v>
      </c>
      <c r="E62" s="11" t="s">
        <v>250</v>
      </c>
      <c r="F62" s="9">
        <v>25.09</v>
      </c>
      <c r="G62" s="9">
        <v>3336.75</v>
      </c>
      <c r="H62" s="9">
        <v>0</v>
      </c>
      <c r="I62" s="9">
        <v>3336.75</v>
      </c>
      <c r="J62" s="9">
        <v>0</v>
      </c>
      <c r="K62" s="9">
        <v>117.56</v>
      </c>
      <c r="L62" s="9">
        <v>0.88</v>
      </c>
      <c r="M62" s="9">
        <v>117.56</v>
      </c>
      <c r="N62" s="9">
        <v>0.66</v>
      </c>
      <c r="O62" s="9">
        <v>88.35</v>
      </c>
      <c r="P62" s="9">
        <v>2.33</v>
      </c>
      <c r="Q62" s="9">
        <v>310.03</v>
      </c>
    </row>
    <row r="63" s="1" customFormat="1" ht="14.25" hidden="1" spans="1:17">
      <c r="A63" s="1" t="str">
        <f>VLOOKUP(B63,combinate!A:B,2,FALSE)</f>
        <v>Group A</v>
      </c>
      <c r="B63" s="8">
        <v>254712671248</v>
      </c>
      <c r="C63" s="9">
        <v>17833170</v>
      </c>
      <c r="D63" s="10">
        <v>46160.3915162037</v>
      </c>
      <c r="E63" s="12" t="s">
        <v>254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</row>
    <row r="64" s="1" customFormat="1" ht="14.25" hidden="1" spans="1:17">
      <c r="A64" s="1" t="str">
        <f>VLOOKUP(B64,combinate!A:B,2,FALSE)</f>
        <v>Group C</v>
      </c>
      <c r="B64" s="8">
        <v>254703935626</v>
      </c>
      <c r="C64" s="9">
        <v>18295698</v>
      </c>
      <c r="D64" s="10">
        <v>46183.4552893518</v>
      </c>
      <c r="E64" s="11" t="s">
        <v>250</v>
      </c>
      <c r="F64" s="9">
        <v>7.46</v>
      </c>
      <c r="G64" s="9">
        <v>991.61</v>
      </c>
      <c r="H64" s="9">
        <v>0</v>
      </c>
      <c r="I64" s="9">
        <v>991.61</v>
      </c>
      <c r="J64" s="9">
        <v>0</v>
      </c>
      <c r="K64" s="9">
        <v>375.25</v>
      </c>
      <c r="L64" s="9">
        <v>2.82</v>
      </c>
      <c r="M64" s="9">
        <v>375.25</v>
      </c>
      <c r="N64" s="9">
        <v>2.82</v>
      </c>
      <c r="O64" s="9">
        <v>375.25</v>
      </c>
      <c r="P64" s="9">
        <v>0</v>
      </c>
      <c r="Q64" s="9">
        <v>0</v>
      </c>
    </row>
    <row r="65" s="1" customFormat="1" ht="14.25" hidden="1" spans="1:17">
      <c r="A65" s="1" t="str">
        <f>VLOOKUP(B65,combinate!A:B,2,FALSE)</f>
        <v>Group C</v>
      </c>
      <c r="B65" s="8">
        <v>254715135415</v>
      </c>
      <c r="C65" s="9">
        <v>18563688</v>
      </c>
      <c r="D65" s="10">
        <v>46162.2693402778</v>
      </c>
      <c r="E65" s="12" t="s">
        <v>254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</row>
    <row r="66" s="1" customFormat="1" ht="14.25" hidden="1" spans="1:17">
      <c r="A66" s="1" t="str">
        <f>VLOOKUP(B66,combinate!A:B,2,FALSE)</f>
        <v>Group B</v>
      </c>
      <c r="B66" s="8">
        <v>254112879367</v>
      </c>
      <c r="C66" s="9">
        <v>18640454</v>
      </c>
      <c r="D66" s="10">
        <v>46182.8641898148</v>
      </c>
      <c r="E66" s="12" t="s">
        <v>254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</row>
    <row r="67" s="1" customFormat="1" ht="14.25" hidden="1" spans="1:17">
      <c r="A67" s="1" t="str">
        <f>VLOOKUP(B67,combinate!A:B,2,FALSE)</f>
        <v>Group C</v>
      </c>
      <c r="B67" s="8">
        <v>254786184963</v>
      </c>
      <c r="C67" s="9">
        <v>19851489</v>
      </c>
      <c r="D67" s="10">
        <v>46184.0452314815</v>
      </c>
      <c r="E67" s="12" t="s">
        <v>254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</row>
    <row r="68" s="1" customFormat="1" ht="14.25" hidden="1" spans="1:17">
      <c r="A68" s="1" t="str">
        <f>VLOOKUP(B68,combinate!A:B,2,FALSE)</f>
        <v>Group C</v>
      </c>
      <c r="B68" s="8">
        <v>254115978345</v>
      </c>
      <c r="C68" s="9">
        <v>20460788</v>
      </c>
      <c r="D68" s="10">
        <v>46162.4716087963</v>
      </c>
      <c r="E68" s="12" t="s">
        <v>254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</row>
    <row r="69" s="1" customFormat="1" ht="14.25" hidden="1" spans="1:17">
      <c r="A69" s="1" t="str">
        <f>VLOOKUP(B69,combinate!A:B,2,FALSE)</f>
        <v>Group A</v>
      </c>
      <c r="B69" s="8">
        <v>254794809214</v>
      </c>
      <c r="C69" s="9">
        <v>20530942</v>
      </c>
      <c r="D69" s="10">
        <v>46166.2802199074</v>
      </c>
      <c r="E69" s="12" t="s">
        <v>254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</row>
    <row r="70" s="1" customFormat="1" ht="14.25" hidden="1" spans="1:17">
      <c r="A70" s="1" t="str">
        <f>VLOOKUP(B70,combinate!A:B,2,FALSE)</f>
        <v>Group C</v>
      </c>
      <c r="B70" s="8">
        <v>254793974314</v>
      </c>
      <c r="C70" s="9">
        <v>20648006</v>
      </c>
      <c r="D70" s="10">
        <v>46162.5212037037</v>
      </c>
      <c r="E70" s="12" t="s">
        <v>254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</row>
    <row r="71" s="1" customFormat="1" ht="14.25" hidden="1" spans="1:17">
      <c r="A71" s="1" t="str">
        <f>VLOOKUP(B71,combinate!A:B,2,FALSE)</f>
        <v>Group C</v>
      </c>
      <c r="B71" s="8">
        <v>254798829500</v>
      </c>
      <c r="C71" s="9">
        <v>20901489</v>
      </c>
      <c r="D71" s="10">
        <v>46178.6579976852</v>
      </c>
      <c r="E71" s="12" t="s">
        <v>254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</row>
    <row r="72" s="1" customFormat="1" ht="14.25" hidden="1" spans="1:17">
      <c r="A72" s="1" t="str">
        <f>VLOOKUP(B72,combinate!A:B,2,FALSE)</f>
        <v>Group C</v>
      </c>
      <c r="B72" s="8">
        <v>254798419208</v>
      </c>
      <c r="C72" s="9">
        <v>21154849</v>
      </c>
      <c r="D72" s="10">
        <v>46183.3669328704</v>
      </c>
      <c r="E72" s="11" t="s">
        <v>250</v>
      </c>
      <c r="F72" s="9">
        <v>159.72</v>
      </c>
      <c r="G72" s="9">
        <v>21243.35</v>
      </c>
      <c r="H72" s="9">
        <v>0</v>
      </c>
      <c r="I72" s="9">
        <v>21243.35</v>
      </c>
      <c r="J72" s="9">
        <v>0</v>
      </c>
      <c r="K72" s="9">
        <v>3525.57</v>
      </c>
      <c r="L72" s="9">
        <v>26.51</v>
      </c>
      <c r="M72" s="9">
        <v>3525.57</v>
      </c>
      <c r="N72" s="9">
        <v>27.91</v>
      </c>
      <c r="O72" s="9">
        <v>3712.6</v>
      </c>
      <c r="P72" s="9">
        <v>16.77</v>
      </c>
      <c r="Q72" s="9">
        <v>2229.75</v>
      </c>
    </row>
    <row r="73" s="1" customFormat="1" ht="14.25" hidden="1" spans="1:17">
      <c r="A73" s="1" t="str">
        <f>VLOOKUP(B73,combinate!A:B,2,FALSE)</f>
        <v>Group A</v>
      </c>
      <c r="B73" s="8">
        <v>254719566865</v>
      </c>
      <c r="C73" s="9">
        <v>21164231</v>
      </c>
      <c r="D73" s="10">
        <v>46162.1856134259</v>
      </c>
      <c r="E73" s="12" t="s">
        <v>254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</row>
    <row r="74" s="1" customFormat="1" ht="14.25" hidden="1" spans="1:17">
      <c r="A74" s="1" t="str">
        <f>VLOOKUP(B74,combinate!A:B,2,FALSE)</f>
        <v>Group A</v>
      </c>
      <c r="B74" s="8">
        <v>254720276518</v>
      </c>
      <c r="C74" s="9">
        <v>21306091</v>
      </c>
      <c r="D74" s="10">
        <v>46184.0205902778</v>
      </c>
      <c r="E74" s="11" t="s">
        <v>250</v>
      </c>
      <c r="F74" s="9">
        <v>58.03</v>
      </c>
      <c r="G74" s="9">
        <v>7718</v>
      </c>
      <c r="H74" s="9">
        <v>0</v>
      </c>
      <c r="I74" s="9">
        <v>7718</v>
      </c>
      <c r="J74" s="9">
        <v>0</v>
      </c>
      <c r="K74" s="9">
        <v>1605.28</v>
      </c>
      <c r="L74" s="9">
        <v>12.07</v>
      </c>
      <c r="M74" s="9">
        <v>1605.28</v>
      </c>
      <c r="N74" s="9">
        <v>12.06</v>
      </c>
      <c r="O74" s="9">
        <v>1604.55</v>
      </c>
      <c r="P74" s="9">
        <v>0</v>
      </c>
      <c r="Q74" s="9">
        <v>0</v>
      </c>
    </row>
    <row r="75" s="1" customFormat="1" ht="14.25" hidden="1" spans="1:17">
      <c r="A75" s="1" t="str">
        <f>VLOOKUP(B75,combinate!A:B,2,FALSE)</f>
        <v>Group A</v>
      </c>
      <c r="B75" s="8">
        <v>254112929998</v>
      </c>
      <c r="C75" s="9">
        <v>21390841</v>
      </c>
      <c r="D75" s="10">
        <v>46166.0272916667</v>
      </c>
      <c r="E75" s="12" t="s">
        <v>254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</row>
    <row r="76" s="1" customFormat="1" ht="14.25" hidden="1" spans="1:17">
      <c r="A76" s="1" t="str">
        <f>VLOOKUP(B76,combinate!A:B,2,FALSE)</f>
        <v>Group B</v>
      </c>
      <c r="B76" s="8">
        <v>254708431311</v>
      </c>
      <c r="C76" s="9">
        <v>21585273</v>
      </c>
      <c r="D76" s="10">
        <v>46182.7256365741</v>
      </c>
      <c r="E76" s="12" t="s">
        <v>254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</row>
    <row r="77" s="1" customFormat="1" ht="14.25" hidden="1" spans="1:17">
      <c r="A77" s="1" t="str">
        <f>VLOOKUP(B77,combinate!A:B,2,FALSE)</f>
        <v>Group C</v>
      </c>
      <c r="B77" s="8">
        <v>254728454489</v>
      </c>
      <c r="C77" s="9">
        <v>21746088</v>
      </c>
      <c r="D77" s="10">
        <v>46179.9924768519</v>
      </c>
      <c r="E77" s="11" t="s">
        <v>250</v>
      </c>
      <c r="F77" s="9">
        <v>7.52</v>
      </c>
      <c r="G77" s="9">
        <v>1000</v>
      </c>
      <c r="H77" s="9">
        <v>0</v>
      </c>
      <c r="I77" s="9">
        <v>1000</v>
      </c>
      <c r="J77" s="9">
        <v>0</v>
      </c>
      <c r="K77" s="9">
        <v>571.1</v>
      </c>
      <c r="L77" s="9">
        <v>4.29</v>
      </c>
      <c r="M77" s="9">
        <v>571.1</v>
      </c>
      <c r="N77" s="9">
        <v>4.29</v>
      </c>
      <c r="O77" s="9">
        <v>570</v>
      </c>
      <c r="P77" s="9">
        <v>0</v>
      </c>
      <c r="Q77" s="9">
        <v>0</v>
      </c>
    </row>
    <row r="78" s="1" customFormat="1" ht="14.25" hidden="1" spans="1:17">
      <c r="A78" s="1" t="str">
        <f>VLOOKUP(B78,combinate!A:B,2,FALSE)</f>
        <v>Group C</v>
      </c>
      <c r="B78" s="8">
        <v>254796611523</v>
      </c>
      <c r="C78" s="9">
        <v>21748128</v>
      </c>
      <c r="D78" s="10">
        <v>46177.3260069444</v>
      </c>
      <c r="E78" s="12" t="s">
        <v>254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</row>
    <row r="79" s="1" customFormat="1" ht="14.25" hidden="1" spans="1:17">
      <c r="A79" s="1" t="str">
        <f>VLOOKUP(B79,combinate!A:B,2,FALSE)</f>
        <v>Group A</v>
      </c>
      <c r="B79" s="8">
        <v>254140047631</v>
      </c>
      <c r="C79" s="9">
        <v>21777972</v>
      </c>
      <c r="D79" s="10">
        <v>46160.4143865741</v>
      </c>
      <c r="E79" s="12" t="s">
        <v>254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</row>
    <row r="80" s="1" customFormat="1" ht="14.25" hidden="1" spans="1:17">
      <c r="A80" s="1" t="str">
        <f>VLOOKUP(B80,combinate!A:B,2,FALSE)</f>
        <v>Group C</v>
      </c>
      <c r="B80" s="8">
        <v>254794050662</v>
      </c>
      <c r="C80" s="9">
        <v>22050656</v>
      </c>
      <c r="D80" s="10">
        <v>46181.673125</v>
      </c>
      <c r="E80" s="12" t="s">
        <v>254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</row>
    <row r="81" s="1" customFormat="1" ht="14.25" hidden="1" spans="1:17">
      <c r="A81" s="1" t="str">
        <f>VLOOKUP(B81,combinate!A:B,2,FALSE)</f>
        <v>Group C</v>
      </c>
      <c r="B81" s="8">
        <v>254748500093</v>
      </c>
      <c r="C81" s="9">
        <v>22146606</v>
      </c>
      <c r="D81" s="10">
        <v>46166.4760532407</v>
      </c>
      <c r="E81" s="12" t="s">
        <v>254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</row>
    <row r="82" s="1" customFormat="1" ht="14.25" hidden="1" spans="1:17">
      <c r="A82" s="1" t="str">
        <f>VLOOKUP(B82,combinate!A:B,2,FALSE)</f>
        <v>Group A</v>
      </c>
      <c r="B82" s="8">
        <v>254725575748</v>
      </c>
      <c r="C82" s="9">
        <v>22199111</v>
      </c>
      <c r="D82" s="10">
        <v>46166.7998263889</v>
      </c>
      <c r="E82" s="12" t="s">
        <v>254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</row>
    <row r="83" s="1" customFormat="1" ht="14.25" hidden="1" spans="1:17">
      <c r="A83" s="1" t="str">
        <f>VLOOKUP(B83,combinate!A:B,2,FALSE)</f>
        <v>Group A</v>
      </c>
      <c r="B83" s="8">
        <v>254706171860</v>
      </c>
      <c r="C83" s="9">
        <v>22390812</v>
      </c>
      <c r="D83" s="10">
        <v>46181.8044791667</v>
      </c>
      <c r="E83" s="11" t="s">
        <v>250</v>
      </c>
      <c r="F83" s="9">
        <v>0.03</v>
      </c>
      <c r="G83" s="9">
        <v>4</v>
      </c>
      <c r="H83" s="9">
        <v>0</v>
      </c>
      <c r="I83" s="9">
        <v>4</v>
      </c>
      <c r="J83" s="9">
        <v>0</v>
      </c>
      <c r="K83" s="9">
        <v>-0.22</v>
      </c>
      <c r="L83" s="9">
        <v>0</v>
      </c>
      <c r="M83" s="9">
        <v>-0.22</v>
      </c>
      <c r="N83" s="9">
        <v>0</v>
      </c>
      <c r="O83" s="9">
        <v>0</v>
      </c>
      <c r="P83" s="9">
        <v>0</v>
      </c>
      <c r="Q83" s="9">
        <v>0</v>
      </c>
    </row>
    <row r="84" s="1" customFormat="1" ht="14.25" hidden="1" spans="1:17">
      <c r="A84" s="1" t="str">
        <f>VLOOKUP(B84,combinate!A:B,2,FALSE)</f>
        <v>Group C</v>
      </c>
      <c r="B84" s="8">
        <v>254712681043</v>
      </c>
      <c r="C84" s="9">
        <v>22446136</v>
      </c>
      <c r="D84" s="10">
        <v>46177.0840277778</v>
      </c>
      <c r="E84" s="12" t="s">
        <v>254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</row>
    <row r="85" s="1" customFormat="1" ht="14.25" hidden="1" spans="1:17">
      <c r="A85" s="1" t="str">
        <f>VLOOKUP(B85,combinate!A:B,2,FALSE)</f>
        <v>Group A</v>
      </c>
      <c r="B85" s="8">
        <v>254792410078</v>
      </c>
      <c r="C85" s="9">
        <v>22601010</v>
      </c>
      <c r="D85" s="10">
        <v>46160.3177314815</v>
      </c>
      <c r="E85" s="12" t="s">
        <v>254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</row>
    <row r="86" s="1" customFormat="1" ht="14.25" hidden="1" spans="1:17">
      <c r="A86" s="1" t="str">
        <f>VLOOKUP(B86,combinate!A:B,2,FALSE)</f>
        <v>Group A</v>
      </c>
      <c r="B86" s="8">
        <v>254715416505</v>
      </c>
      <c r="C86" s="9">
        <v>22615410</v>
      </c>
      <c r="D86" s="10">
        <v>46162.2672685185</v>
      </c>
      <c r="E86" s="12" t="s">
        <v>254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</row>
    <row r="87" s="1" customFormat="1" ht="14.25" hidden="1" spans="1:17">
      <c r="A87" s="1" t="str">
        <f>VLOOKUP(B87,combinate!A:B,2,FALSE)</f>
        <v>Group C</v>
      </c>
      <c r="B87" s="8">
        <v>254114351290</v>
      </c>
      <c r="C87" s="9">
        <v>22686056</v>
      </c>
      <c r="D87" s="10">
        <v>46166.3839930556</v>
      </c>
      <c r="E87" s="12" t="s">
        <v>254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</row>
    <row r="88" s="1" customFormat="1" ht="14.25" hidden="1" spans="1:17">
      <c r="A88" s="1" t="str">
        <f>VLOOKUP(B88,combinate!A:B,2,FALSE)</f>
        <v>Group B</v>
      </c>
      <c r="B88" s="8">
        <v>254795993707</v>
      </c>
      <c r="C88" s="9">
        <v>22746505</v>
      </c>
      <c r="D88" s="10">
        <v>46180.4859490741</v>
      </c>
      <c r="E88" s="12" t="s">
        <v>254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</row>
    <row r="89" s="1" customFormat="1" ht="14.25" hidden="1" spans="1:17">
      <c r="A89" s="1" t="str">
        <f>VLOOKUP(B89,combinate!A:B,2,FALSE)</f>
        <v>Group A</v>
      </c>
      <c r="B89" s="8">
        <v>254702896654</v>
      </c>
      <c r="C89" s="9">
        <v>22824652</v>
      </c>
      <c r="D89" s="10">
        <v>46162.6704861111</v>
      </c>
      <c r="E89" s="12" t="s">
        <v>254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</row>
    <row r="90" s="1" customFormat="1" ht="14.25" hidden="1" spans="1:17">
      <c r="A90" s="1" t="str">
        <f>VLOOKUP(B90,combinate!A:B,2,FALSE)</f>
        <v>Group C</v>
      </c>
      <c r="B90" s="8">
        <v>254700661367</v>
      </c>
      <c r="C90" s="9">
        <v>22855389</v>
      </c>
      <c r="D90" s="10">
        <v>46163.3504282407</v>
      </c>
      <c r="E90" s="12" t="s">
        <v>254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</row>
    <row r="91" s="1" customFormat="1" ht="14.25" hidden="1" spans="1:17">
      <c r="A91" s="1" t="str">
        <f>VLOOKUP(B91,combinate!A:B,2,FALSE)</f>
        <v>Group C</v>
      </c>
      <c r="B91" s="8">
        <v>254793294359</v>
      </c>
      <c r="C91" s="9">
        <v>22857438</v>
      </c>
      <c r="D91" s="10">
        <v>46160.1043055556</v>
      </c>
      <c r="E91" s="12" t="s">
        <v>254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="1" customFormat="1" ht="14.25" hidden="1" spans="1:17">
      <c r="A92" s="1" t="str">
        <f>VLOOKUP(B92,combinate!A:B,2,FALSE)</f>
        <v>Group A</v>
      </c>
      <c r="B92" s="8">
        <v>254705320182</v>
      </c>
      <c r="C92" s="9">
        <v>22895311</v>
      </c>
      <c r="D92" s="10">
        <v>46178.3687847222</v>
      </c>
      <c r="E92" s="12" t="s">
        <v>254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</row>
    <row r="93" s="1" customFormat="1" ht="14.25" hidden="1" spans="1:17">
      <c r="A93" s="1" t="str">
        <f>VLOOKUP(B93,combinate!A:B,2,FALSE)</f>
        <v>Group A</v>
      </c>
      <c r="B93" s="8">
        <v>254140142988</v>
      </c>
      <c r="C93" s="9">
        <v>22940020</v>
      </c>
      <c r="D93" s="10">
        <v>46163.2233912037</v>
      </c>
      <c r="E93" s="12" t="s">
        <v>254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</row>
    <row r="94" s="1" customFormat="1" ht="14.25" hidden="1" spans="1:17">
      <c r="A94" s="1" t="str">
        <f>VLOOKUP(B94,combinate!A:B,2,FALSE)</f>
        <v>Group C</v>
      </c>
      <c r="B94" s="8">
        <v>254797799740</v>
      </c>
      <c r="C94" s="9">
        <v>96297</v>
      </c>
      <c r="D94" s="10">
        <v>46183.5509027778</v>
      </c>
      <c r="E94" s="11" t="s">
        <v>250</v>
      </c>
      <c r="F94" s="9">
        <v>137.45</v>
      </c>
      <c r="G94" s="9">
        <v>18280.7</v>
      </c>
      <c r="H94" s="9">
        <v>0</v>
      </c>
      <c r="I94" s="9">
        <v>18280.7</v>
      </c>
      <c r="J94" s="9">
        <v>0</v>
      </c>
      <c r="K94" s="9">
        <v>-4998.1</v>
      </c>
      <c r="L94" s="9">
        <v>-37.58</v>
      </c>
      <c r="M94" s="9">
        <v>-4998.1</v>
      </c>
      <c r="N94" s="9">
        <v>26.43</v>
      </c>
      <c r="O94" s="9">
        <v>3515</v>
      </c>
      <c r="P94" s="9">
        <v>70.49</v>
      </c>
      <c r="Q94" s="9">
        <v>9375.04</v>
      </c>
    </row>
    <row r="95" s="1" customFormat="1" ht="14.25" hidden="1" spans="1:17">
      <c r="A95" s="1" t="str">
        <f>VLOOKUP(B95,combinate!A:B,2,FALSE)</f>
        <v>Group A</v>
      </c>
      <c r="B95" s="8">
        <v>254719211217</v>
      </c>
      <c r="C95" s="9">
        <v>433962</v>
      </c>
      <c r="D95" s="10">
        <v>46160.1604282407</v>
      </c>
      <c r="E95" s="12" t="s">
        <v>254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</row>
    <row r="96" s="1" customFormat="1" ht="14.25" hidden="1" spans="1:17">
      <c r="A96" s="1" t="str">
        <f>VLOOKUP(B96,combinate!A:B,2,FALSE)</f>
        <v>Group C</v>
      </c>
      <c r="B96" s="8">
        <v>254759102952</v>
      </c>
      <c r="C96" s="9">
        <v>644686</v>
      </c>
      <c r="D96" s="10">
        <v>46177.7812152778</v>
      </c>
      <c r="E96" s="11" t="s">
        <v>250</v>
      </c>
      <c r="F96" s="9">
        <v>6.62</v>
      </c>
      <c r="G96" s="9">
        <v>881</v>
      </c>
      <c r="H96" s="9">
        <v>0</v>
      </c>
      <c r="I96" s="9">
        <v>881</v>
      </c>
      <c r="J96" s="9">
        <v>0</v>
      </c>
      <c r="K96" s="9">
        <v>285.9</v>
      </c>
      <c r="L96" s="9">
        <v>2.15</v>
      </c>
      <c r="M96" s="9">
        <v>285.9</v>
      </c>
      <c r="N96" s="9">
        <v>2.14</v>
      </c>
      <c r="O96" s="9">
        <v>285</v>
      </c>
      <c r="P96" s="9">
        <v>0</v>
      </c>
      <c r="Q96" s="9">
        <v>0</v>
      </c>
    </row>
    <row r="97" s="1" customFormat="1" ht="14.25" hidden="1" spans="1:17">
      <c r="A97" s="1" t="str">
        <f>VLOOKUP(B97,combinate!A:B,2,FALSE)</f>
        <v>Group A</v>
      </c>
      <c r="B97" s="8">
        <v>254721278181</v>
      </c>
      <c r="C97" s="9">
        <v>1419572</v>
      </c>
      <c r="D97" s="10">
        <v>46183.0749305556</v>
      </c>
      <c r="E97" s="11" t="s">
        <v>250</v>
      </c>
      <c r="F97" s="9">
        <v>0.03</v>
      </c>
      <c r="G97" s="9">
        <v>4.5</v>
      </c>
      <c r="H97" s="9">
        <v>0</v>
      </c>
      <c r="I97" s="9">
        <v>4.5</v>
      </c>
      <c r="J97" s="9">
        <v>0</v>
      </c>
      <c r="K97" s="9">
        <v>4.5</v>
      </c>
      <c r="L97" s="9">
        <v>0.03</v>
      </c>
      <c r="M97" s="9">
        <v>4.5</v>
      </c>
      <c r="N97" s="9">
        <v>0</v>
      </c>
      <c r="O97" s="9">
        <v>0</v>
      </c>
      <c r="P97" s="9">
        <v>0</v>
      </c>
      <c r="Q97" s="9">
        <v>0</v>
      </c>
    </row>
    <row r="98" s="1" customFormat="1" ht="14.25" hidden="1" spans="1:17">
      <c r="A98" s="1" t="str">
        <f>VLOOKUP(B98,combinate!A:B,2,FALSE)</f>
        <v>Group C</v>
      </c>
      <c r="B98" s="8">
        <v>254710260457</v>
      </c>
      <c r="C98" s="9">
        <v>1678886</v>
      </c>
      <c r="D98" s="10">
        <v>46179.9008680556</v>
      </c>
      <c r="E98" s="12" t="s">
        <v>254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</row>
    <row r="99" s="1" customFormat="1" ht="14.25" hidden="1" spans="1:17">
      <c r="A99" s="1" t="str">
        <f>VLOOKUP(B99,combinate!A:B,2,FALSE)</f>
        <v>Group C</v>
      </c>
      <c r="B99" s="8">
        <v>254726084662</v>
      </c>
      <c r="C99" s="9">
        <v>1763577</v>
      </c>
      <c r="D99" s="10">
        <v>46163.647650463</v>
      </c>
      <c r="E99" s="12" t="s">
        <v>254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</row>
    <row r="100" s="1" customFormat="1" ht="14.25" hidden="1" spans="1:17">
      <c r="A100" s="1" t="str">
        <f>VLOOKUP(B100,combinate!A:B,2,FALSE)</f>
        <v>Group C</v>
      </c>
      <c r="B100" s="8">
        <v>254724949758</v>
      </c>
      <c r="C100" s="9">
        <v>2978588</v>
      </c>
      <c r="D100" s="10">
        <v>46180.2648263889</v>
      </c>
      <c r="E100" s="11" t="s">
        <v>250</v>
      </c>
      <c r="F100" s="9">
        <v>6.02</v>
      </c>
      <c r="G100" s="9">
        <v>800</v>
      </c>
      <c r="H100" s="9">
        <v>0</v>
      </c>
      <c r="I100" s="9">
        <v>800</v>
      </c>
      <c r="J100" s="9">
        <v>0</v>
      </c>
      <c r="K100" s="9">
        <v>90</v>
      </c>
      <c r="L100" s="9">
        <v>0.68</v>
      </c>
      <c r="M100" s="9">
        <v>90</v>
      </c>
      <c r="N100" s="9">
        <v>0.71</v>
      </c>
      <c r="O100" s="9">
        <v>95</v>
      </c>
      <c r="P100" s="9">
        <v>0</v>
      </c>
      <c r="Q100" s="9">
        <v>0</v>
      </c>
    </row>
    <row r="101" s="1" customFormat="1" ht="14.25" hidden="1" spans="1:17">
      <c r="A101" s="1" t="str">
        <f>VLOOKUP(B101,combinate!A:B,2,FALSE)</f>
        <v>Group C</v>
      </c>
      <c r="B101" s="8">
        <v>254715001774</v>
      </c>
      <c r="C101" s="9">
        <v>3860016</v>
      </c>
      <c r="D101" s="10">
        <v>46183.0161342593</v>
      </c>
      <c r="E101" s="11" t="s">
        <v>250</v>
      </c>
      <c r="F101" s="9">
        <v>0.08</v>
      </c>
      <c r="G101" s="9">
        <v>10.5</v>
      </c>
      <c r="H101" s="9">
        <v>0</v>
      </c>
      <c r="I101" s="9">
        <v>10.5</v>
      </c>
      <c r="J101" s="9">
        <v>0</v>
      </c>
      <c r="K101" s="9">
        <v>1.76</v>
      </c>
      <c r="L101" s="9">
        <v>0.01</v>
      </c>
      <c r="M101" s="9">
        <v>1.76</v>
      </c>
      <c r="N101" s="9">
        <v>0</v>
      </c>
      <c r="O101" s="9">
        <v>0</v>
      </c>
      <c r="P101" s="9">
        <v>0</v>
      </c>
      <c r="Q101" s="9">
        <v>0</v>
      </c>
    </row>
    <row r="102" s="1" customFormat="1" ht="14.25" hidden="1" spans="1:17">
      <c r="A102" s="1" t="str">
        <f>VLOOKUP(B102,combinate!A:B,2,FALSE)</f>
        <v>Group C</v>
      </c>
      <c r="B102" s="8">
        <v>254704114547</v>
      </c>
      <c r="C102" s="9">
        <v>4612969</v>
      </c>
      <c r="D102" s="10">
        <v>46181.760162037</v>
      </c>
      <c r="E102" s="11" t="s">
        <v>250</v>
      </c>
      <c r="F102" s="9">
        <v>39.01</v>
      </c>
      <c r="G102" s="9">
        <v>5188.3</v>
      </c>
      <c r="H102" s="9">
        <v>3</v>
      </c>
      <c r="I102" s="9">
        <v>5185.3</v>
      </c>
      <c r="J102" s="9">
        <v>-1.59</v>
      </c>
      <c r="K102" s="9">
        <v>1063.5</v>
      </c>
      <c r="L102" s="9">
        <v>7.98</v>
      </c>
      <c r="M102" s="9">
        <v>1061.91</v>
      </c>
      <c r="N102" s="9">
        <v>8.06</v>
      </c>
      <c r="O102" s="9">
        <v>1072.55</v>
      </c>
      <c r="P102" s="9">
        <v>17.89</v>
      </c>
      <c r="Q102" s="9">
        <v>2380.03</v>
      </c>
    </row>
    <row r="103" s="1" customFormat="1" ht="14.25" hidden="1" spans="1:17">
      <c r="A103" s="1" t="str">
        <f>VLOOKUP(B103,combinate!A:B,2,FALSE)</f>
        <v>Group C</v>
      </c>
      <c r="B103" s="8">
        <v>254701900216</v>
      </c>
      <c r="C103" s="9">
        <v>5197539</v>
      </c>
      <c r="D103" s="10">
        <v>46166.2977083333</v>
      </c>
      <c r="E103" s="12" t="s">
        <v>254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</row>
    <row r="104" s="1" customFormat="1" ht="14.25" hidden="1" spans="1:17">
      <c r="A104" s="1" t="str">
        <f>VLOOKUP(B104,combinate!A:B,2,FALSE)</f>
        <v>Group A</v>
      </c>
      <c r="B104" s="8">
        <v>254717954367</v>
      </c>
      <c r="C104" s="9">
        <v>8269662</v>
      </c>
      <c r="D104" s="10">
        <v>46161.7178819444</v>
      </c>
      <c r="E104" s="12" t="s">
        <v>254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</row>
    <row r="105" s="1" customFormat="1" ht="14.25" hidden="1" spans="1:17">
      <c r="A105" s="1" t="str">
        <f>VLOOKUP(B105,combinate!A:B,2,FALSE)</f>
        <v>Group C</v>
      </c>
      <c r="B105" s="8">
        <v>254727994394</v>
      </c>
      <c r="C105" s="9">
        <v>9053786</v>
      </c>
      <c r="D105" s="10">
        <v>46179.734375</v>
      </c>
      <c r="E105" s="11" t="s">
        <v>250</v>
      </c>
      <c r="F105" s="9">
        <v>23.38</v>
      </c>
      <c r="G105" s="9">
        <v>3110</v>
      </c>
      <c r="H105" s="9">
        <v>0</v>
      </c>
      <c r="I105" s="9">
        <v>3110</v>
      </c>
      <c r="J105" s="9">
        <v>0</v>
      </c>
      <c r="K105" s="9">
        <v>1579</v>
      </c>
      <c r="L105" s="9">
        <v>11.87</v>
      </c>
      <c r="M105" s="9">
        <v>1579</v>
      </c>
      <c r="N105" s="9">
        <v>8.27</v>
      </c>
      <c r="O105" s="9">
        <v>1100</v>
      </c>
      <c r="P105" s="9">
        <v>3.76</v>
      </c>
      <c r="Q105" s="9">
        <v>500</v>
      </c>
    </row>
    <row r="106" s="1" customFormat="1" ht="14.25" hidden="1" spans="1:17">
      <c r="A106" s="1" t="str">
        <f>VLOOKUP(B106,combinate!A:B,2,FALSE)</f>
        <v>Group C</v>
      </c>
      <c r="B106" s="8">
        <v>254720585933</v>
      </c>
      <c r="C106" s="9">
        <v>9378669</v>
      </c>
      <c r="D106" s="10">
        <v>46160.735474537</v>
      </c>
      <c r="E106" s="12" t="s">
        <v>254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</row>
    <row r="107" s="1" customFormat="1" ht="14.25" hidden="1" spans="1:17">
      <c r="A107" s="1" t="str">
        <f>VLOOKUP(B107,combinate!A:B,2,FALSE)</f>
        <v>Group A</v>
      </c>
      <c r="B107" s="8">
        <v>254748869140</v>
      </c>
      <c r="C107" s="9">
        <v>9483871</v>
      </c>
      <c r="D107" s="10">
        <v>46166.6309375</v>
      </c>
      <c r="E107" s="12" t="s">
        <v>254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</row>
    <row r="108" s="1" customFormat="1" ht="14.25" hidden="1" spans="1:17">
      <c r="A108" s="1" t="str">
        <f>VLOOKUP(B108,combinate!A:B,2,FALSE)</f>
        <v>Group B</v>
      </c>
      <c r="B108" s="8">
        <v>254729703345</v>
      </c>
      <c r="C108" s="9">
        <v>11507753</v>
      </c>
      <c r="D108" s="10">
        <v>46181.7158796296</v>
      </c>
      <c r="E108" s="11" t="s">
        <v>250</v>
      </c>
      <c r="F108" s="9">
        <v>111.73</v>
      </c>
      <c r="G108" s="9">
        <v>14860.64</v>
      </c>
      <c r="H108" s="9">
        <v>0</v>
      </c>
      <c r="I108" s="9">
        <v>14860.64</v>
      </c>
      <c r="J108" s="9">
        <v>0</v>
      </c>
      <c r="K108" s="9">
        <v>4553.73</v>
      </c>
      <c r="L108" s="9">
        <v>34.24</v>
      </c>
      <c r="M108" s="9">
        <v>4553.73</v>
      </c>
      <c r="N108" s="9">
        <v>34.29</v>
      </c>
      <c r="O108" s="9">
        <v>4560</v>
      </c>
      <c r="P108" s="9">
        <v>0</v>
      </c>
      <c r="Q108" s="9">
        <v>0</v>
      </c>
    </row>
    <row r="109" s="1" customFormat="1" ht="14.25" hidden="1" spans="1:17">
      <c r="A109" s="1" t="str">
        <f>VLOOKUP(B109,combinate!A:B,2,FALSE)</f>
        <v>Group C</v>
      </c>
      <c r="B109" s="8">
        <v>254722725152</v>
      </c>
      <c r="C109" s="9">
        <v>11626547</v>
      </c>
      <c r="D109" s="10">
        <v>46183.9349768519</v>
      </c>
      <c r="E109" s="11" t="s">
        <v>250</v>
      </c>
      <c r="F109" s="9">
        <v>250.31</v>
      </c>
      <c r="G109" s="9">
        <v>33291</v>
      </c>
      <c r="H109" s="9">
        <v>1</v>
      </c>
      <c r="I109" s="9">
        <v>33290</v>
      </c>
      <c r="J109" s="9">
        <v>1</v>
      </c>
      <c r="K109" s="9">
        <v>7808</v>
      </c>
      <c r="L109" s="9">
        <v>58.71</v>
      </c>
      <c r="M109" s="9">
        <v>7809</v>
      </c>
      <c r="N109" s="9">
        <v>71.07</v>
      </c>
      <c r="O109" s="9">
        <v>9452.5</v>
      </c>
      <c r="P109" s="9">
        <v>43.23</v>
      </c>
      <c r="Q109" s="9">
        <v>5750</v>
      </c>
    </row>
    <row r="110" s="1" customFormat="1" ht="14.25" hidden="1" spans="1:17">
      <c r="A110" s="1" t="str">
        <f>VLOOKUP(B110,combinate!A:B,2,FALSE)</f>
        <v>Group A</v>
      </c>
      <c r="B110" s="8">
        <v>254726660315</v>
      </c>
      <c r="C110" s="9">
        <v>11670382</v>
      </c>
      <c r="D110" s="10">
        <v>46179.5445023148</v>
      </c>
      <c r="E110" s="12" t="s">
        <v>254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</row>
    <row r="111" s="1" customFormat="1" ht="14.25" hidden="1" spans="1:17">
      <c r="A111" s="1" t="str">
        <f>VLOOKUP(B111,combinate!A:B,2,FALSE)</f>
        <v>Group C</v>
      </c>
      <c r="B111" s="8">
        <v>254742221530</v>
      </c>
      <c r="C111" s="9">
        <v>11851906</v>
      </c>
      <c r="D111" s="10">
        <v>46162.8512268519</v>
      </c>
      <c r="E111" s="12" t="s">
        <v>254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</row>
    <row r="112" s="1" customFormat="1" ht="14.25" hidden="1" spans="1:17">
      <c r="A112" s="1" t="str">
        <f>VLOOKUP(B112,combinate!A:B,2,FALSE)</f>
        <v>Group C</v>
      </c>
      <c r="B112" s="8">
        <v>254708586321</v>
      </c>
      <c r="C112" s="9">
        <v>13310556</v>
      </c>
      <c r="D112" s="10">
        <v>46178.278125</v>
      </c>
      <c r="E112" s="11" t="s">
        <v>250</v>
      </c>
      <c r="F112" s="9">
        <v>17.14</v>
      </c>
      <c r="G112" s="9">
        <v>2280</v>
      </c>
      <c r="H112" s="9">
        <v>0</v>
      </c>
      <c r="I112" s="9">
        <v>2280</v>
      </c>
      <c r="J112" s="9">
        <v>0</v>
      </c>
      <c r="K112" s="9">
        <v>-796.4</v>
      </c>
      <c r="L112" s="9">
        <v>-5.99</v>
      </c>
      <c r="M112" s="9">
        <v>-796.4</v>
      </c>
      <c r="N112" s="9">
        <v>5.71</v>
      </c>
      <c r="O112" s="9">
        <v>760</v>
      </c>
      <c r="P112" s="9">
        <v>11.15</v>
      </c>
      <c r="Q112" s="9">
        <v>1482.99</v>
      </c>
    </row>
    <row r="113" s="1" customFormat="1" ht="14.25" hidden="1" spans="1:17">
      <c r="A113" s="1" t="str">
        <f>VLOOKUP(B113,combinate!A:B,2,FALSE)</f>
        <v>Group C</v>
      </c>
      <c r="B113" s="8">
        <v>254702505819</v>
      </c>
      <c r="C113" s="9">
        <v>13511999</v>
      </c>
      <c r="D113" s="10">
        <v>46182.5434606482</v>
      </c>
      <c r="E113" s="11" t="s">
        <v>250</v>
      </c>
      <c r="F113" s="9">
        <v>9.93</v>
      </c>
      <c r="G113" s="9">
        <v>1320.5</v>
      </c>
      <c r="H113" s="9">
        <v>0</v>
      </c>
      <c r="I113" s="9">
        <v>1320.5</v>
      </c>
      <c r="J113" s="9">
        <v>0</v>
      </c>
      <c r="K113" s="9">
        <v>470.21</v>
      </c>
      <c r="L113" s="9">
        <v>3.54</v>
      </c>
      <c r="M113" s="9">
        <v>470.21</v>
      </c>
      <c r="N113" s="9">
        <v>5.28</v>
      </c>
      <c r="O113" s="9">
        <v>702.05</v>
      </c>
      <c r="P113" s="9">
        <v>9.86</v>
      </c>
      <c r="Q113" s="9">
        <v>1311.97</v>
      </c>
    </row>
    <row r="114" s="1" customFormat="1" ht="14.25" hidden="1" spans="1:17">
      <c r="A114" s="1" t="str">
        <f>VLOOKUP(B114,combinate!A:B,2,FALSE)</f>
        <v>Group C</v>
      </c>
      <c r="B114" s="8">
        <v>254746963507</v>
      </c>
      <c r="C114" s="9">
        <v>14299057</v>
      </c>
      <c r="D114" s="10">
        <v>46162.7800231481</v>
      </c>
      <c r="E114" s="12" t="s">
        <v>254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</row>
    <row r="115" s="1" customFormat="1" ht="14.25" hidden="1" spans="1:17">
      <c r="A115" s="1" t="str">
        <f>VLOOKUP(B115,combinate!A:B,2,FALSE)</f>
        <v>Group A</v>
      </c>
      <c r="B115" s="8">
        <v>254758884819</v>
      </c>
      <c r="C115" s="9">
        <v>14580612</v>
      </c>
      <c r="D115" s="10">
        <v>46162.9558680556</v>
      </c>
      <c r="E115" s="12" t="s">
        <v>254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</row>
    <row r="116" s="1" customFormat="1" ht="14.25" hidden="1" spans="1:17">
      <c r="A116" s="1" t="str">
        <f>VLOOKUP(B116,combinate!A:B,2,FALSE)</f>
        <v>Group C</v>
      </c>
      <c r="B116" s="8">
        <v>254796670273</v>
      </c>
      <c r="C116" s="9">
        <v>15493949</v>
      </c>
      <c r="D116" s="10">
        <v>46184.2742824074</v>
      </c>
      <c r="E116" s="11" t="s">
        <v>250</v>
      </c>
      <c r="F116" s="9">
        <v>86.06</v>
      </c>
      <c r="G116" s="9">
        <v>11445.63</v>
      </c>
      <c r="H116" s="9">
        <v>7</v>
      </c>
      <c r="I116" s="9">
        <v>11438.63</v>
      </c>
      <c r="J116" s="9">
        <v>7</v>
      </c>
      <c r="K116" s="9">
        <v>537.86</v>
      </c>
      <c r="L116" s="9">
        <v>4.1</v>
      </c>
      <c r="M116" s="9">
        <v>544.86</v>
      </c>
      <c r="N116" s="9">
        <v>19.62</v>
      </c>
      <c r="O116" s="9">
        <v>2609.65</v>
      </c>
      <c r="P116" s="9">
        <v>53.31</v>
      </c>
      <c r="Q116" s="9">
        <v>7089.65</v>
      </c>
    </row>
    <row r="117" s="1" customFormat="1" ht="14.25" hidden="1" spans="1:17">
      <c r="A117" s="1" t="str">
        <f>VLOOKUP(B117,combinate!A:B,2,FALSE)</f>
        <v>Group A</v>
      </c>
      <c r="B117" s="8">
        <v>254718985030</v>
      </c>
      <c r="C117" s="9">
        <v>15540860</v>
      </c>
      <c r="D117" s="10">
        <v>46163.7725231481</v>
      </c>
      <c r="E117" s="12" t="s">
        <v>254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</row>
    <row r="118" s="1" customFormat="1" ht="14.25" hidden="1" spans="1:17">
      <c r="A118" s="1" t="str">
        <f>VLOOKUP(B118,combinate!A:B,2,FALSE)</f>
        <v>Group A</v>
      </c>
      <c r="B118" s="8">
        <v>254790029270</v>
      </c>
      <c r="C118" s="9">
        <v>16927190</v>
      </c>
      <c r="D118" s="10">
        <v>46180.4243055556</v>
      </c>
      <c r="E118" s="12" t="s">
        <v>254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</row>
    <row r="119" s="1" customFormat="1" ht="14.25" hidden="1" spans="1:17">
      <c r="A119" s="1" t="str">
        <f>VLOOKUP(B119,combinate!A:B,2,FALSE)</f>
        <v>Group C</v>
      </c>
      <c r="B119" s="8">
        <v>254710341829</v>
      </c>
      <c r="C119" s="9">
        <v>17077108</v>
      </c>
      <c r="D119" s="10">
        <v>46163.1400347222</v>
      </c>
      <c r="E119" s="12" t="s">
        <v>254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</row>
    <row r="120" s="1" customFormat="1" ht="14.25" hidden="1" spans="1:17">
      <c r="A120" s="1" t="str">
        <f>VLOOKUP(B120,combinate!A:B,2,FALSE)</f>
        <v>Group C</v>
      </c>
      <c r="B120" s="8">
        <v>254792520038</v>
      </c>
      <c r="C120" s="9">
        <v>17189158</v>
      </c>
      <c r="D120" s="10">
        <v>46180.7485185185</v>
      </c>
      <c r="E120" s="12" t="s">
        <v>254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</row>
    <row r="121" s="1" customFormat="1" ht="14.25" hidden="1" spans="1:17">
      <c r="A121" s="1" t="str">
        <f>VLOOKUP(B121,combinate!A:B,2,FALSE)</f>
        <v>Group A</v>
      </c>
      <c r="B121" s="8">
        <v>254798188421</v>
      </c>
      <c r="C121" s="9">
        <v>17226732</v>
      </c>
      <c r="D121" s="10">
        <v>46162.2477546296</v>
      </c>
      <c r="E121" s="12" t="s">
        <v>254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</row>
    <row r="122" s="1" customFormat="1" ht="14.25" hidden="1" spans="1:17">
      <c r="A122" s="1" t="str">
        <f>VLOOKUP(B122,combinate!A:B,2,FALSE)</f>
        <v>Group B</v>
      </c>
      <c r="B122" s="8">
        <v>254794555154</v>
      </c>
      <c r="C122" s="9">
        <v>17781744</v>
      </c>
      <c r="D122" s="10">
        <v>46182.7980324074</v>
      </c>
      <c r="E122" s="11" t="s">
        <v>250</v>
      </c>
      <c r="F122" s="9">
        <v>13.91</v>
      </c>
      <c r="G122" s="9">
        <v>1850</v>
      </c>
      <c r="H122" s="9">
        <v>32</v>
      </c>
      <c r="I122" s="9">
        <v>1818</v>
      </c>
      <c r="J122" s="9">
        <v>32</v>
      </c>
      <c r="K122" s="9">
        <v>-200.52</v>
      </c>
      <c r="L122" s="9">
        <v>-1.27</v>
      </c>
      <c r="M122" s="9">
        <v>-168.52</v>
      </c>
      <c r="N122" s="9">
        <v>4.01</v>
      </c>
      <c r="O122" s="9">
        <v>533.9</v>
      </c>
      <c r="P122" s="9">
        <v>6.72</v>
      </c>
      <c r="Q122" s="9">
        <v>894.39</v>
      </c>
    </row>
    <row r="123" s="1" customFormat="1" ht="14.25" hidden="1" spans="1:17">
      <c r="A123" s="1" t="str">
        <f>VLOOKUP(B123,combinate!A:B,2,FALSE)</f>
        <v>Group C</v>
      </c>
      <c r="B123" s="8">
        <v>254757685331</v>
      </c>
      <c r="C123" s="9">
        <v>18779629</v>
      </c>
      <c r="D123" s="10">
        <v>46181.7018055556</v>
      </c>
      <c r="E123" s="11" t="s">
        <v>250</v>
      </c>
      <c r="F123" s="9">
        <v>295.32</v>
      </c>
      <c r="G123" s="9">
        <v>39277.58</v>
      </c>
      <c r="H123" s="9">
        <v>0</v>
      </c>
      <c r="I123" s="9">
        <v>39277.58</v>
      </c>
      <c r="J123" s="9">
        <v>0</v>
      </c>
      <c r="K123" s="9">
        <v>3795.23</v>
      </c>
      <c r="L123" s="9">
        <v>28.54</v>
      </c>
      <c r="M123" s="9">
        <v>3795.23</v>
      </c>
      <c r="N123" s="9">
        <v>55.68</v>
      </c>
      <c r="O123" s="9">
        <v>7405.25</v>
      </c>
      <c r="P123" s="9">
        <v>45.83</v>
      </c>
      <c r="Q123" s="9">
        <v>6095.83</v>
      </c>
    </row>
    <row r="124" s="1" customFormat="1" ht="14.25" hidden="1" spans="1:17">
      <c r="A124" s="1" t="str">
        <f>VLOOKUP(B124,combinate!A:B,2,FALSE)</f>
        <v>Group B</v>
      </c>
      <c r="B124" s="8">
        <v>254790562854</v>
      </c>
      <c r="C124" s="9">
        <v>19828865</v>
      </c>
      <c r="D124" s="10">
        <v>46178.7059953704</v>
      </c>
      <c r="E124" s="11" t="s">
        <v>250</v>
      </c>
      <c r="F124" s="9">
        <v>0.09</v>
      </c>
      <c r="G124" s="9">
        <v>12</v>
      </c>
      <c r="H124" s="9">
        <v>0</v>
      </c>
      <c r="I124" s="9">
        <v>12</v>
      </c>
      <c r="J124" s="9">
        <v>0</v>
      </c>
      <c r="K124" s="9">
        <v>2.8</v>
      </c>
      <c r="L124" s="9">
        <v>0.02</v>
      </c>
      <c r="M124" s="9">
        <v>2.8</v>
      </c>
      <c r="N124" s="9">
        <v>0</v>
      </c>
      <c r="O124" s="9">
        <v>0</v>
      </c>
      <c r="P124" s="9">
        <v>0</v>
      </c>
      <c r="Q124" s="9">
        <v>0</v>
      </c>
    </row>
    <row r="125" s="1" customFormat="1" ht="14.25" hidden="1" spans="1:17">
      <c r="A125" s="1" t="str">
        <f>VLOOKUP(B125,combinate!A:B,2,FALSE)</f>
        <v>Group A</v>
      </c>
      <c r="B125" s="8">
        <v>254720396271</v>
      </c>
      <c r="C125" s="9">
        <v>20051721</v>
      </c>
      <c r="D125" s="10">
        <v>46163.4947337963</v>
      </c>
      <c r="E125" s="12" t="s">
        <v>254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</row>
    <row r="126" s="1" customFormat="1" ht="14.25" hidden="1" spans="1:17">
      <c r="A126" s="1" t="str">
        <f>VLOOKUP(B126,combinate!A:B,2,FALSE)</f>
        <v>Group C</v>
      </c>
      <c r="B126" s="8">
        <v>254794281959</v>
      </c>
      <c r="C126" s="9">
        <v>20997317</v>
      </c>
      <c r="D126" s="10">
        <v>46166.2148263889</v>
      </c>
      <c r="E126" s="12" t="s">
        <v>254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</row>
    <row r="127" s="1" customFormat="1" ht="14.25" hidden="1" spans="1:17">
      <c r="A127" s="1" t="str">
        <f>VLOOKUP(B127,combinate!A:B,2,FALSE)</f>
        <v>Group C</v>
      </c>
      <c r="B127" s="8">
        <v>254780156928</v>
      </c>
      <c r="C127" s="9">
        <v>21179238</v>
      </c>
      <c r="D127" s="10">
        <v>46183.554849537</v>
      </c>
      <c r="E127" s="11" t="s">
        <v>250</v>
      </c>
      <c r="F127" s="9">
        <v>0.74</v>
      </c>
      <c r="G127" s="9">
        <v>98.75</v>
      </c>
      <c r="H127" s="9">
        <v>0</v>
      </c>
      <c r="I127" s="9">
        <v>98.75</v>
      </c>
      <c r="J127" s="9">
        <v>0</v>
      </c>
      <c r="K127" s="9">
        <v>80.75</v>
      </c>
      <c r="L127" s="9">
        <v>0.61</v>
      </c>
      <c r="M127" s="9">
        <v>80.75</v>
      </c>
      <c r="N127" s="9">
        <v>0.61</v>
      </c>
      <c r="O127" s="9">
        <v>80.75</v>
      </c>
      <c r="P127" s="9">
        <v>0</v>
      </c>
      <c r="Q127" s="9">
        <v>0</v>
      </c>
    </row>
    <row r="128" s="1" customFormat="1" ht="14.25" hidden="1" spans="1:17">
      <c r="A128" s="1" t="str">
        <f>VLOOKUP(B128,combinate!A:B,2,FALSE)</f>
        <v>Group A</v>
      </c>
      <c r="B128" s="8">
        <v>254117580706</v>
      </c>
      <c r="C128" s="9">
        <v>21622971</v>
      </c>
      <c r="D128" s="10">
        <v>46184.2870833333</v>
      </c>
      <c r="E128" s="11" t="s">
        <v>250</v>
      </c>
      <c r="F128" s="9">
        <v>72.19</v>
      </c>
      <c r="G128" s="9">
        <v>9601</v>
      </c>
      <c r="H128" s="9">
        <v>0</v>
      </c>
      <c r="I128" s="9">
        <v>9601</v>
      </c>
      <c r="J128" s="9">
        <v>0</v>
      </c>
      <c r="K128" s="9">
        <v>3195.25</v>
      </c>
      <c r="L128" s="9">
        <v>24.02</v>
      </c>
      <c r="M128" s="9">
        <v>3195.25</v>
      </c>
      <c r="N128" s="9">
        <v>24.02</v>
      </c>
      <c r="O128" s="9">
        <v>3194.85</v>
      </c>
      <c r="P128" s="9">
        <v>0</v>
      </c>
      <c r="Q128" s="9">
        <v>0</v>
      </c>
    </row>
    <row r="129" s="1" customFormat="1" ht="14.25" hidden="1" spans="1:17">
      <c r="A129" s="1" t="str">
        <f>VLOOKUP(B129,combinate!A:B,2,FALSE)</f>
        <v>Group C</v>
      </c>
      <c r="B129" s="8">
        <v>254798147287</v>
      </c>
      <c r="C129" s="9">
        <v>21631277</v>
      </c>
      <c r="D129" s="10">
        <v>46163.2043287037</v>
      </c>
      <c r="E129" s="12" t="s">
        <v>254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</row>
    <row r="130" s="1" customFormat="1" ht="14.25" hidden="1" spans="1:17">
      <c r="A130" s="1" t="str">
        <f>VLOOKUP(B130,combinate!A:B,2,FALSE)</f>
        <v>Group C</v>
      </c>
      <c r="B130" s="8">
        <v>254717831976</v>
      </c>
      <c r="C130" s="9">
        <v>21702878</v>
      </c>
      <c r="D130" s="10">
        <v>46163.2749652778</v>
      </c>
      <c r="E130" s="12" t="s">
        <v>254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</row>
    <row r="131" s="1" customFormat="1" ht="14.25" hidden="1" spans="1:17">
      <c r="A131" s="1" t="str">
        <f>VLOOKUP(B131,combinate!A:B,2,FALSE)</f>
        <v>Group A</v>
      </c>
      <c r="B131" s="8">
        <v>254707025433</v>
      </c>
      <c r="C131" s="9">
        <v>21941060</v>
      </c>
      <c r="D131" s="10">
        <v>46160.6783912037</v>
      </c>
      <c r="E131" s="12" t="s">
        <v>254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</row>
    <row r="132" s="1" customFormat="1" ht="14.25" hidden="1" spans="1:17">
      <c r="A132" s="1" t="str">
        <f>VLOOKUP(B132,combinate!A:B,2,FALSE)</f>
        <v>Group C</v>
      </c>
      <c r="B132" s="8">
        <v>254119623455</v>
      </c>
      <c r="C132" s="9">
        <v>22053319</v>
      </c>
      <c r="D132" s="10">
        <v>46162.6482175926</v>
      </c>
      <c r="E132" s="12" t="s">
        <v>254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</row>
    <row r="133" s="1" customFormat="1" ht="14.25" hidden="1" spans="1:17">
      <c r="A133" s="1" t="str">
        <f>VLOOKUP(B133,combinate!A:B,2,FALSE)</f>
        <v>Group A</v>
      </c>
      <c r="B133" s="8">
        <v>254704177773</v>
      </c>
      <c r="C133" s="9">
        <v>22174682</v>
      </c>
      <c r="D133" s="10">
        <v>46184.0438078704</v>
      </c>
      <c r="E133" s="12" t="s">
        <v>254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</row>
    <row r="134" s="1" customFormat="1" ht="14.25" hidden="1" spans="1:17">
      <c r="A134" s="1" t="str">
        <f>VLOOKUP(B134,combinate!A:B,2,FALSE)</f>
        <v>Group C</v>
      </c>
      <c r="B134" s="8">
        <v>254797129216</v>
      </c>
      <c r="C134" s="9">
        <v>22219358</v>
      </c>
      <c r="D134" s="10">
        <v>46162.4053472222</v>
      </c>
      <c r="E134" s="12" t="s">
        <v>254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</row>
    <row r="135" s="1" customFormat="1" ht="14.25" hidden="1" spans="1:17">
      <c r="A135" s="1" t="str">
        <f>VLOOKUP(B135,combinate!A:B,2,FALSE)</f>
        <v>Group A</v>
      </c>
      <c r="B135" s="8">
        <v>254118389347</v>
      </c>
      <c r="C135" s="9">
        <v>22263010</v>
      </c>
      <c r="D135" s="10">
        <v>46161.3953472222</v>
      </c>
      <c r="E135" s="12" t="s">
        <v>254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</row>
    <row r="136" s="1" customFormat="1" ht="14.25" hidden="1" spans="1:17">
      <c r="A136" s="1" t="str">
        <f>VLOOKUP(B136,combinate!A:B,2,FALSE)</f>
        <v>Group B</v>
      </c>
      <c r="B136" s="8">
        <v>254119811061</v>
      </c>
      <c r="C136" s="9">
        <v>22438443</v>
      </c>
      <c r="D136" s="10">
        <v>46184.3388425926</v>
      </c>
      <c r="E136" s="11" t="s">
        <v>250</v>
      </c>
      <c r="F136" s="9">
        <v>4.06</v>
      </c>
      <c r="G136" s="9">
        <v>540</v>
      </c>
      <c r="H136" s="9">
        <v>0</v>
      </c>
      <c r="I136" s="9">
        <v>540</v>
      </c>
      <c r="J136" s="9">
        <v>0</v>
      </c>
      <c r="K136" s="9">
        <v>396.1</v>
      </c>
      <c r="L136" s="9">
        <v>2.98</v>
      </c>
      <c r="M136" s="9">
        <v>396.1</v>
      </c>
      <c r="N136" s="9">
        <v>3.04</v>
      </c>
      <c r="O136" s="9">
        <v>404.7</v>
      </c>
      <c r="P136" s="9">
        <v>0</v>
      </c>
      <c r="Q136" s="9">
        <v>0</v>
      </c>
    </row>
    <row r="137" s="1" customFormat="1" ht="14.25" hidden="1" spans="1:17">
      <c r="A137" s="1" t="str">
        <f>VLOOKUP(B137,combinate!A:B,2,FALSE)</f>
        <v>Group A</v>
      </c>
      <c r="B137" s="8">
        <v>254743861151</v>
      </c>
      <c r="C137" s="9">
        <v>22504431</v>
      </c>
      <c r="D137" s="10">
        <v>46166.4942592593</v>
      </c>
      <c r="E137" s="12" t="s">
        <v>254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</row>
    <row r="138" s="1" customFormat="1" ht="14.25" hidden="1" spans="1:17">
      <c r="A138" s="1" t="str">
        <f>VLOOKUP(B138,combinate!A:B,2,FALSE)</f>
        <v>Group A</v>
      </c>
      <c r="B138" s="8">
        <v>254791677041</v>
      </c>
      <c r="C138" s="9">
        <v>22584100</v>
      </c>
      <c r="D138" s="10">
        <v>46179.695462963</v>
      </c>
      <c r="E138" s="12" t="s">
        <v>254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</row>
    <row r="139" s="1" customFormat="1" ht="14.25" hidden="1" spans="1:17">
      <c r="A139" s="1" t="str">
        <f>VLOOKUP(B139,combinate!A:B,2,FALSE)</f>
        <v>Group A</v>
      </c>
      <c r="B139" s="8">
        <v>254711376243</v>
      </c>
      <c r="C139" s="9">
        <v>22687641</v>
      </c>
      <c r="D139" s="10">
        <v>46166.8976851852</v>
      </c>
      <c r="E139" s="12" t="s">
        <v>254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</row>
    <row r="140" s="1" customFormat="1" ht="14.25" hidden="1" spans="1:17">
      <c r="A140" s="1" t="str">
        <f>VLOOKUP(B140,combinate!A:B,2,FALSE)</f>
        <v>Group C</v>
      </c>
      <c r="B140" s="8">
        <v>254716905083</v>
      </c>
      <c r="C140" s="9">
        <v>22700989</v>
      </c>
      <c r="D140" s="10">
        <v>46161.5213078704</v>
      </c>
      <c r="E140" s="12" t="s">
        <v>254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</row>
    <row r="141" s="1" customFormat="1" ht="14.25" spans="1:17">
      <c r="A141" s="1" t="str">
        <f>VLOOKUP(B141,combinate!A:B,2,FALSE)</f>
        <v>Group A</v>
      </c>
      <c r="B141" s="8">
        <v>254113500353</v>
      </c>
      <c r="C141" s="9">
        <v>22747351</v>
      </c>
      <c r="D141" s="10">
        <v>46184.2511342593</v>
      </c>
      <c r="E141" s="11" t="s">
        <v>250</v>
      </c>
      <c r="F141" s="9">
        <v>9237.82</v>
      </c>
      <c r="G141" s="9">
        <v>1228630</v>
      </c>
      <c r="H141" s="9">
        <v>0</v>
      </c>
      <c r="I141" s="9">
        <v>1228630</v>
      </c>
      <c r="J141" s="9">
        <v>0</v>
      </c>
      <c r="K141" s="9">
        <v>144530</v>
      </c>
      <c r="L141" s="9">
        <v>1086.69</v>
      </c>
      <c r="M141" s="9">
        <v>144530</v>
      </c>
      <c r="N141" s="9">
        <v>724.06</v>
      </c>
      <c r="O141" s="9">
        <v>96300</v>
      </c>
      <c r="P141" s="9">
        <v>0</v>
      </c>
      <c r="Q141" s="9">
        <v>0</v>
      </c>
    </row>
    <row r="142" s="1" customFormat="1" ht="14.25" hidden="1" spans="1:17">
      <c r="A142" s="1" t="str">
        <f>VLOOKUP(B142,combinate!A:B,2,FALSE)</f>
        <v>Group C</v>
      </c>
      <c r="B142" s="8">
        <v>254725741927</v>
      </c>
      <c r="C142" s="9">
        <v>22906849</v>
      </c>
      <c r="D142" s="10">
        <v>46182.8325</v>
      </c>
      <c r="E142" s="11" t="s">
        <v>250</v>
      </c>
      <c r="F142" s="9">
        <v>43.19</v>
      </c>
      <c r="G142" s="9">
        <v>5744</v>
      </c>
      <c r="H142" s="9">
        <v>0</v>
      </c>
      <c r="I142" s="9">
        <v>5744</v>
      </c>
      <c r="J142" s="9">
        <v>0</v>
      </c>
      <c r="K142" s="9">
        <v>1241.49</v>
      </c>
      <c r="L142" s="9">
        <v>9.33</v>
      </c>
      <c r="M142" s="9">
        <v>1241.49</v>
      </c>
      <c r="N142" s="9">
        <v>9.29</v>
      </c>
      <c r="O142" s="9">
        <v>1235</v>
      </c>
      <c r="P142" s="9">
        <v>0</v>
      </c>
      <c r="Q142" s="9">
        <v>0</v>
      </c>
    </row>
    <row r="143" s="1" customFormat="1" ht="14.25" hidden="1" spans="1:17">
      <c r="A143" s="1" t="str">
        <f>VLOOKUP(B143,combinate!A:B,2,FALSE)</f>
        <v>Group C</v>
      </c>
      <c r="B143" s="8">
        <v>254741975583</v>
      </c>
      <c r="C143" s="9">
        <v>22928467</v>
      </c>
      <c r="D143" s="10">
        <v>46161.0751967593</v>
      </c>
      <c r="E143" s="12" t="s">
        <v>254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</row>
    <row r="144" s="1" customFormat="1" ht="14.25" hidden="1" spans="1:17">
      <c r="A144" s="1" t="str">
        <f>VLOOKUP(B144,combinate!A:B,2,FALSE)</f>
        <v>Group A</v>
      </c>
      <c r="B144" s="8">
        <v>254140621618</v>
      </c>
      <c r="C144" s="9">
        <v>22930222</v>
      </c>
      <c r="D144" s="10">
        <v>46162.2842476852</v>
      </c>
      <c r="E144" s="12" t="s">
        <v>254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</row>
    <row r="145" s="1" customFormat="1" ht="14.25" hidden="1" spans="1:17">
      <c r="A145" s="1" t="str">
        <f>VLOOKUP(B145,combinate!A:B,2,FALSE)</f>
        <v>Group A</v>
      </c>
      <c r="B145" s="8">
        <v>254719770787</v>
      </c>
      <c r="C145" s="9">
        <v>443771</v>
      </c>
      <c r="D145" s="10">
        <v>46182.525150463</v>
      </c>
      <c r="E145" s="11" t="s">
        <v>250</v>
      </c>
      <c r="F145" s="9">
        <v>18.08</v>
      </c>
      <c r="G145" s="9">
        <v>2405</v>
      </c>
      <c r="H145" s="9">
        <v>0</v>
      </c>
      <c r="I145" s="9">
        <v>2405</v>
      </c>
      <c r="J145" s="9">
        <v>0</v>
      </c>
      <c r="K145" s="9">
        <v>-355</v>
      </c>
      <c r="L145" s="9">
        <v>-2.67</v>
      </c>
      <c r="M145" s="9">
        <v>-355</v>
      </c>
      <c r="N145" s="9">
        <v>2.86</v>
      </c>
      <c r="O145" s="9">
        <v>380</v>
      </c>
      <c r="P145" s="9">
        <v>5.25</v>
      </c>
      <c r="Q145" s="9">
        <v>697.68</v>
      </c>
    </row>
    <row r="146" s="1" customFormat="1" ht="14.25" hidden="1" spans="1:17">
      <c r="A146" s="1" t="str">
        <f>VLOOKUP(B146,combinate!A:B,2,FALSE)</f>
        <v>Group B</v>
      </c>
      <c r="B146" s="8">
        <v>254798956567</v>
      </c>
      <c r="C146" s="9">
        <v>2395945</v>
      </c>
      <c r="D146" s="10">
        <v>46182.363599537</v>
      </c>
      <c r="E146" s="12" t="s">
        <v>254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</row>
    <row r="147" s="1" customFormat="1" ht="14.25" hidden="1" spans="1:17">
      <c r="A147" s="1" t="str">
        <f>VLOOKUP(B147,combinate!A:B,2,FALSE)</f>
        <v>Group A</v>
      </c>
      <c r="B147" s="8">
        <v>254727994988</v>
      </c>
      <c r="C147" s="9">
        <v>4534010</v>
      </c>
      <c r="D147" s="10">
        <v>46178.811400463</v>
      </c>
      <c r="E147" s="11" t="s">
        <v>250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0.07</v>
      </c>
      <c r="O147" s="9">
        <v>9.5</v>
      </c>
      <c r="P147" s="9">
        <v>0</v>
      </c>
      <c r="Q147" s="9">
        <v>0</v>
      </c>
    </row>
    <row r="148" s="1" customFormat="1" ht="14.25" hidden="1" spans="1:17">
      <c r="A148" s="1" t="str">
        <f>VLOOKUP(B148,combinate!A:B,2,FALSE)</f>
        <v>Group C</v>
      </c>
      <c r="B148" s="8">
        <v>254708851808</v>
      </c>
      <c r="C148" s="9">
        <v>4555267</v>
      </c>
      <c r="D148" s="10">
        <v>46182.5890509259</v>
      </c>
      <c r="E148" s="11" t="s">
        <v>250</v>
      </c>
      <c r="F148" s="9">
        <v>93.38</v>
      </c>
      <c r="G148" s="9">
        <v>12420</v>
      </c>
      <c r="H148" s="9">
        <v>2900</v>
      </c>
      <c r="I148" s="9">
        <v>9520</v>
      </c>
      <c r="J148" s="9">
        <v>-2900</v>
      </c>
      <c r="K148" s="9">
        <v>3922.8</v>
      </c>
      <c r="L148" s="9">
        <v>7.69</v>
      </c>
      <c r="M148" s="9">
        <v>1022.8</v>
      </c>
      <c r="N148" s="9">
        <v>46.43</v>
      </c>
      <c r="O148" s="9">
        <v>6175</v>
      </c>
      <c r="P148" s="9">
        <v>37.71</v>
      </c>
      <c r="Q148" s="9">
        <v>5015.48</v>
      </c>
    </row>
    <row r="149" s="1" customFormat="1" ht="14.25" hidden="1" spans="1:17">
      <c r="A149" s="1" t="str">
        <f>VLOOKUP(B149,combinate!A:B,2,FALSE)</f>
        <v>Group A</v>
      </c>
      <c r="B149" s="8">
        <v>254722484393</v>
      </c>
      <c r="C149" s="9">
        <v>7890230</v>
      </c>
      <c r="D149" s="10">
        <v>46160.4811458333</v>
      </c>
      <c r="E149" s="12" t="s">
        <v>254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</row>
    <row r="150" s="1" customFormat="1" ht="14.25" hidden="1" spans="1:17">
      <c r="A150" s="1" t="str">
        <f>VLOOKUP(B150,combinate!A:B,2,FALSE)</f>
        <v>Group A</v>
      </c>
      <c r="B150" s="8">
        <v>254111933428</v>
      </c>
      <c r="C150" s="9">
        <v>9709070</v>
      </c>
      <c r="D150" s="10">
        <v>46163.5628703704</v>
      </c>
      <c r="E150" s="12" t="s">
        <v>254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</row>
    <row r="151" s="1" customFormat="1" ht="14.25" hidden="1" spans="1:17">
      <c r="A151" s="1" t="str">
        <f>VLOOKUP(B151,combinate!A:B,2,FALSE)</f>
        <v>Group A</v>
      </c>
      <c r="B151" s="8">
        <v>254713891297</v>
      </c>
      <c r="C151" s="9">
        <v>9972020</v>
      </c>
      <c r="D151" s="10">
        <v>46179.3595601852</v>
      </c>
      <c r="E151" s="12" t="s">
        <v>254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</row>
    <row r="152" s="1" customFormat="1" ht="14.25" hidden="1" spans="1:17">
      <c r="A152" s="1" t="str">
        <f>VLOOKUP(B152,combinate!A:B,2,FALSE)</f>
        <v>Group A</v>
      </c>
      <c r="B152" s="8">
        <v>254791592530</v>
      </c>
      <c r="C152" s="9">
        <v>10345400</v>
      </c>
      <c r="D152" s="10">
        <v>46166.8052777778</v>
      </c>
      <c r="E152" s="12" t="s">
        <v>254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</row>
    <row r="153" s="1" customFormat="1" ht="14.25" hidden="1" spans="1:17">
      <c r="A153" s="1" t="str">
        <f>VLOOKUP(B153,combinate!A:B,2,FALSE)</f>
        <v>Group B</v>
      </c>
      <c r="B153" s="8">
        <v>254718961931</v>
      </c>
      <c r="C153" s="9">
        <v>10685853</v>
      </c>
      <c r="D153" s="10">
        <v>46180.4175231481</v>
      </c>
      <c r="E153" s="11" t="s">
        <v>250</v>
      </c>
      <c r="F153" s="9">
        <v>0.35</v>
      </c>
      <c r="G153" s="9">
        <v>47</v>
      </c>
      <c r="H153" s="9">
        <v>47</v>
      </c>
      <c r="I153" s="9">
        <v>0</v>
      </c>
      <c r="J153" s="9">
        <v>47</v>
      </c>
      <c r="K153" s="9">
        <v>0</v>
      </c>
      <c r="L153" s="9">
        <v>0.35</v>
      </c>
      <c r="M153" s="9">
        <v>47</v>
      </c>
      <c r="N153" s="9">
        <v>0.36</v>
      </c>
      <c r="O153" s="9">
        <v>47.5</v>
      </c>
      <c r="P153" s="9">
        <v>0</v>
      </c>
      <c r="Q153" s="9">
        <v>0</v>
      </c>
    </row>
    <row r="154" s="1" customFormat="1" ht="14.25" hidden="1" spans="1:17">
      <c r="A154" s="1" t="str">
        <f>VLOOKUP(B154,combinate!A:B,2,FALSE)</f>
        <v>Group C</v>
      </c>
      <c r="B154" s="8">
        <v>254719233282</v>
      </c>
      <c r="C154" s="9">
        <v>13366999</v>
      </c>
      <c r="D154" s="10">
        <v>46182.6345486111</v>
      </c>
      <c r="E154" s="12" t="s">
        <v>254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</row>
    <row r="155" s="1" customFormat="1" ht="14.25" hidden="1" spans="1:17">
      <c r="A155" s="1" t="str">
        <f>VLOOKUP(B155,combinate!A:B,2,FALSE)</f>
        <v>Group A</v>
      </c>
      <c r="B155" s="8">
        <v>254717713292</v>
      </c>
      <c r="C155" s="9">
        <v>14243242</v>
      </c>
      <c r="D155" s="10">
        <v>46161.3198032407</v>
      </c>
      <c r="E155" s="12" t="s">
        <v>254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</row>
    <row r="156" s="1" customFormat="1" ht="14.25" hidden="1" spans="1:17">
      <c r="A156" s="1" t="str">
        <f>VLOOKUP(B156,combinate!A:B,2,FALSE)</f>
        <v>Group C</v>
      </c>
      <c r="B156" s="8">
        <v>254701620426</v>
      </c>
      <c r="C156" s="9">
        <v>14519156</v>
      </c>
      <c r="D156" s="10">
        <v>46160.3462152778</v>
      </c>
      <c r="E156" s="12" t="s">
        <v>254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</row>
    <row r="157" s="1" customFormat="1" ht="14.25" hidden="1" spans="1:17">
      <c r="A157" s="1" t="str">
        <f>VLOOKUP(B157,combinate!A:B,2,FALSE)</f>
        <v>Group C</v>
      </c>
      <c r="B157" s="8">
        <v>254706246179</v>
      </c>
      <c r="C157" s="9">
        <v>15568718</v>
      </c>
      <c r="D157" s="10">
        <v>46166.1521643518</v>
      </c>
      <c r="E157" s="12" t="s">
        <v>254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</row>
    <row r="158" s="1" customFormat="1" ht="14.25" hidden="1" spans="1:17">
      <c r="A158" s="1" t="str">
        <f>VLOOKUP(B158,combinate!A:B,2,FALSE)</f>
        <v>Group C</v>
      </c>
      <c r="B158" s="8">
        <v>254706341406</v>
      </c>
      <c r="C158" s="9">
        <v>16410149</v>
      </c>
      <c r="D158" s="10">
        <v>46183.9057986111</v>
      </c>
      <c r="E158" s="11" t="s">
        <v>250</v>
      </c>
      <c r="F158" s="9">
        <v>117.11</v>
      </c>
      <c r="G158" s="9">
        <v>15575.6</v>
      </c>
      <c r="H158" s="9">
        <v>0</v>
      </c>
      <c r="I158" s="9">
        <v>15575.6</v>
      </c>
      <c r="J158" s="9">
        <v>0</v>
      </c>
      <c r="K158" s="9">
        <v>5452.5</v>
      </c>
      <c r="L158" s="9">
        <v>41</v>
      </c>
      <c r="M158" s="9">
        <v>5452.5</v>
      </c>
      <c r="N158" s="9">
        <v>22.95</v>
      </c>
      <c r="O158" s="9">
        <v>3052.35</v>
      </c>
      <c r="P158" s="9">
        <v>0</v>
      </c>
      <c r="Q158" s="9">
        <v>0</v>
      </c>
    </row>
    <row r="159" s="1" customFormat="1" ht="14.25" hidden="1" spans="1:17">
      <c r="A159" s="1" t="str">
        <f>VLOOKUP(B159,combinate!A:B,2,FALSE)</f>
        <v>Group A</v>
      </c>
      <c r="B159" s="8">
        <v>254722872210</v>
      </c>
      <c r="C159" s="9">
        <v>16589860</v>
      </c>
      <c r="D159" s="10">
        <v>46161.7600462963</v>
      </c>
      <c r="E159" s="12" t="s">
        <v>254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</row>
    <row r="160" s="1" customFormat="1" ht="14.25" hidden="1" spans="1:17">
      <c r="A160" s="1" t="str">
        <f>VLOOKUP(B160,combinate!A:B,2,FALSE)</f>
        <v>Group C</v>
      </c>
      <c r="B160" s="8">
        <v>254757379930</v>
      </c>
      <c r="C160" s="9">
        <v>16670456</v>
      </c>
      <c r="D160" s="10">
        <v>46163.4843171296</v>
      </c>
      <c r="E160" s="12" t="s">
        <v>254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</row>
    <row r="161" s="1" customFormat="1" ht="14.25" hidden="1" spans="1:17">
      <c r="A161" s="1" t="str">
        <f>VLOOKUP(B161,combinate!A:B,2,FALSE)</f>
        <v>Group C</v>
      </c>
      <c r="B161" s="8">
        <v>254797423692</v>
      </c>
      <c r="C161" s="9">
        <v>16951287</v>
      </c>
      <c r="D161" s="10">
        <v>46166.4925115741</v>
      </c>
      <c r="E161" s="12" t="s">
        <v>254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</row>
    <row r="162" s="1" customFormat="1" ht="14.25" hidden="1" spans="1:17">
      <c r="A162" s="1" t="str">
        <f>VLOOKUP(B162,combinate!A:B,2,FALSE)</f>
        <v>Group A</v>
      </c>
      <c r="B162" s="8">
        <v>254710211285</v>
      </c>
      <c r="C162" s="9">
        <v>17271401</v>
      </c>
      <c r="D162" s="10">
        <v>46166.7475231482</v>
      </c>
      <c r="E162" s="12" t="s">
        <v>254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</row>
    <row r="163" s="1" customFormat="1" ht="14.25" spans="1:17">
      <c r="A163" s="1" t="str">
        <f>VLOOKUP(B163,combinate!A:B,2,FALSE)</f>
        <v>Group C</v>
      </c>
      <c r="B163" s="8">
        <v>254726677517</v>
      </c>
      <c r="C163" s="9">
        <v>19708736</v>
      </c>
      <c r="D163" s="10">
        <v>46184.0645949074</v>
      </c>
      <c r="E163" s="11" t="s">
        <v>250</v>
      </c>
      <c r="F163" s="9">
        <v>522.56</v>
      </c>
      <c r="G163" s="9">
        <v>69500</v>
      </c>
      <c r="H163" s="9">
        <v>0</v>
      </c>
      <c r="I163" s="9">
        <v>69500</v>
      </c>
      <c r="J163" s="9">
        <v>0</v>
      </c>
      <c r="K163" s="9">
        <v>-3920</v>
      </c>
      <c r="L163" s="9">
        <v>-29.47</v>
      </c>
      <c r="M163" s="9">
        <v>-3920</v>
      </c>
      <c r="N163" s="9">
        <v>37.59</v>
      </c>
      <c r="O163" s="9">
        <v>5000</v>
      </c>
      <c r="P163" s="9">
        <v>225.56</v>
      </c>
      <c r="Q163" s="9">
        <v>30000</v>
      </c>
    </row>
    <row r="164" s="1" customFormat="1" ht="14.25" hidden="1" spans="1:17">
      <c r="A164" s="1" t="str">
        <f>VLOOKUP(B164,combinate!A:B,2,FALSE)</f>
        <v>Group A</v>
      </c>
      <c r="B164" s="8">
        <v>254712530713</v>
      </c>
      <c r="C164" s="9">
        <v>19992051</v>
      </c>
      <c r="D164" s="10">
        <v>46183.6462962963</v>
      </c>
      <c r="E164" s="11" t="s">
        <v>250</v>
      </c>
      <c r="F164" s="9">
        <v>41.09</v>
      </c>
      <c r="G164" s="9">
        <v>5465</v>
      </c>
      <c r="H164" s="9">
        <v>0</v>
      </c>
      <c r="I164" s="9">
        <v>5465</v>
      </c>
      <c r="J164" s="9">
        <v>0</v>
      </c>
      <c r="K164" s="9">
        <v>867</v>
      </c>
      <c r="L164" s="9">
        <v>6.52</v>
      </c>
      <c r="M164" s="9">
        <v>867</v>
      </c>
      <c r="N164" s="9">
        <v>10.54</v>
      </c>
      <c r="O164" s="9">
        <v>1401.25</v>
      </c>
      <c r="P164" s="9">
        <v>3.38</v>
      </c>
      <c r="Q164" s="9">
        <v>450</v>
      </c>
    </row>
    <row r="165" s="1" customFormat="1" ht="14.25" hidden="1" spans="1:17">
      <c r="A165" s="1" t="str">
        <f>VLOOKUP(B165,combinate!A:B,2,FALSE)</f>
        <v>Group C</v>
      </c>
      <c r="B165" s="8">
        <v>254701540610</v>
      </c>
      <c r="C165" s="9">
        <v>20412677</v>
      </c>
      <c r="D165" s="10">
        <v>46183.8710069444</v>
      </c>
      <c r="E165" s="12" t="s">
        <v>254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</row>
    <row r="166" s="1" customFormat="1" ht="14.25" hidden="1" spans="1:17">
      <c r="A166" s="1" t="str">
        <f>VLOOKUP(B166,combinate!A:B,2,FALSE)</f>
        <v>Group C</v>
      </c>
      <c r="B166" s="8">
        <v>254727778939</v>
      </c>
      <c r="C166" s="9">
        <v>20543179</v>
      </c>
      <c r="D166" s="10">
        <v>46163.7855555556</v>
      </c>
      <c r="E166" s="12" t="s">
        <v>254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</row>
    <row r="167" s="1" customFormat="1" ht="14.25" hidden="1" spans="1:17">
      <c r="A167" s="1" t="str">
        <f>VLOOKUP(B167,combinate!A:B,2,FALSE)</f>
        <v>Group A</v>
      </c>
      <c r="B167" s="8">
        <v>254743664199</v>
      </c>
      <c r="C167" s="9">
        <v>20556731</v>
      </c>
      <c r="D167" s="10">
        <v>46182.284525463</v>
      </c>
      <c r="E167" s="12" t="s">
        <v>254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</row>
    <row r="168" s="1" customFormat="1" ht="14.25" hidden="1" spans="1:17">
      <c r="A168" s="1" t="str">
        <f>VLOOKUP(B168,combinate!A:B,2,FALSE)</f>
        <v>Group B</v>
      </c>
      <c r="B168" s="8">
        <v>254701121160</v>
      </c>
      <c r="C168" s="9">
        <v>20560484</v>
      </c>
      <c r="D168" s="10">
        <v>46183.7390856482</v>
      </c>
      <c r="E168" s="11" t="s">
        <v>250</v>
      </c>
      <c r="F168" s="9">
        <v>390.08</v>
      </c>
      <c r="G168" s="9">
        <v>51880</v>
      </c>
      <c r="H168" s="9">
        <v>0</v>
      </c>
      <c r="I168" s="9">
        <v>51880</v>
      </c>
      <c r="J168" s="9">
        <v>0</v>
      </c>
      <c r="K168" s="9">
        <v>-528</v>
      </c>
      <c r="L168" s="9">
        <v>-3.97</v>
      </c>
      <c r="M168" s="9">
        <v>-528</v>
      </c>
      <c r="N168" s="9">
        <v>39.09</v>
      </c>
      <c r="O168" s="9">
        <v>5198.4</v>
      </c>
      <c r="P168" s="9">
        <v>40</v>
      </c>
      <c r="Q168" s="9">
        <v>5320</v>
      </c>
    </row>
    <row r="169" s="1" customFormat="1" ht="14.25" hidden="1" spans="1:17">
      <c r="A169" s="1" t="str">
        <f>VLOOKUP(B169,combinate!A:B,2,FALSE)</f>
        <v>Group A</v>
      </c>
      <c r="B169" s="8">
        <v>254791350676</v>
      </c>
      <c r="C169" s="9">
        <v>22610</v>
      </c>
      <c r="D169" s="10">
        <v>46182.5583449074</v>
      </c>
      <c r="E169" s="11" t="s">
        <v>250</v>
      </c>
      <c r="F169" s="9">
        <v>37.43</v>
      </c>
      <c r="G169" s="9">
        <v>4978</v>
      </c>
      <c r="H169" s="9">
        <v>0</v>
      </c>
      <c r="I169" s="9">
        <v>4978</v>
      </c>
      <c r="J169" s="9">
        <v>0</v>
      </c>
      <c r="K169" s="9">
        <v>211.48</v>
      </c>
      <c r="L169" s="9">
        <v>1.59</v>
      </c>
      <c r="M169" s="9">
        <v>211.48</v>
      </c>
      <c r="N169" s="9">
        <v>1.58</v>
      </c>
      <c r="O169" s="9">
        <v>209.95</v>
      </c>
      <c r="P169" s="9">
        <v>0</v>
      </c>
      <c r="Q169" s="9">
        <v>0</v>
      </c>
    </row>
    <row r="170" s="1" customFormat="1" ht="14.25" hidden="1" spans="1:17">
      <c r="A170" s="1" t="str">
        <f>VLOOKUP(B170,combinate!A:B,2,FALSE)</f>
        <v>Group C</v>
      </c>
      <c r="B170" s="8">
        <v>254726654069</v>
      </c>
      <c r="C170" s="9">
        <v>372119</v>
      </c>
      <c r="D170" s="10">
        <v>46166.4798148148</v>
      </c>
      <c r="E170" s="12" t="s">
        <v>254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</row>
    <row r="171" s="1" customFormat="1" ht="14.25" hidden="1" spans="1:17">
      <c r="A171" s="1" t="str">
        <f>VLOOKUP(B171,combinate!A:B,2,FALSE)</f>
        <v>Group B</v>
      </c>
      <c r="B171" s="8">
        <v>254722570452</v>
      </c>
      <c r="C171" s="9">
        <v>1905083</v>
      </c>
      <c r="D171" s="10">
        <v>46182.7338773148</v>
      </c>
      <c r="E171" s="11" t="s">
        <v>250</v>
      </c>
      <c r="F171" s="9">
        <v>9.81</v>
      </c>
      <c r="G171" s="9">
        <v>1305</v>
      </c>
      <c r="H171" s="9">
        <v>18</v>
      </c>
      <c r="I171" s="9">
        <v>1287</v>
      </c>
      <c r="J171" s="9">
        <v>18</v>
      </c>
      <c r="K171" s="9">
        <v>530.5</v>
      </c>
      <c r="L171" s="9">
        <v>4.12</v>
      </c>
      <c r="M171" s="9">
        <v>548.5</v>
      </c>
      <c r="N171" s="9">
        <v>3</v>
      </c>
      <c r="O171" s="9">
        <v>399</v>
      </c>
      <c r="P171" s="9">
        <v>0</v>
      </c>
      <c r="Q171" s="9">
        <v>0</v>
      </c>
    </row>
    <row r="172" s="1" customFormat="1" ht="14.25" hidden="1" spans="1:17">
      <c r="A172" s="1" t="str">
        <f>VLOOKUP(B172,combinate!A:B,2,FALSE)</f>
        <v>Group A</v>
      </c>
      <c r="B172" s="8">
        <v>254718180196</v>
      </c>
      <c r="C172" s="9">
        <v>2147321</v>
      </c>
      <c r="D172" s="10">
        <v>46166.7260185185</v>
      </c>
      <c r="E172" s="12" t="s">
        <v>254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</row>
    <row r="173" s="1" customFormat="1" ht="14.25" hidden="1" spans="1:17">
      <c r="A173" s="1" t="str">
        <f>VLOOKUP(B173,combinate!A:B,2,FALSE)</f>
        <v>Group C</v>
      </c>
      <c r="B173" s="8">
        <v>254726804772</v>
      </c>
      <c r="C173" s="9">
        <v>2442779</v>
      </c>
      <c r="D173" s="10">
        <v>46161.2319675926</v>
      </c>
      <c r="E173" s="12" t="s">
        <v>254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</row>
    <row r="174" s="1" customFormat="1" ht="14.25" hidden="1" spans="1:17">
      <c r="A174" s="1" t="str">
        <f>VLOOKUP(B174,combinate!A:B,2,FALSE)</f>
        <v>Group A</v>
      </c>
      <c r="B174" s="8">
        <v>254715675230</v>
      </c>
      <c r="C174" s="9">
        <v>2902971</v>
      </c>
      <c r="D174" s="10">
        <v>46163.6675462963</v>
      </c>
      <c r="E174" s="12" t="s">
        <v>254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</row>
    <row r="175" s="1" customFormat="1" ht="14.25" spans="1:17">
      <c r="A175" s="1" t="str">
        <f>VLOOKUP(B175,combinate!A:B,2,FALSE)</f>
        <v>Group C</v>
      </c>
      <c r="B175" s="8">
        <v>254713311489</v>
      </c>
      <c r="C175" s="9">
        <v>2958669</v>
      </c>
      <c r="D175" s="10">
        <v>46177.8097916667</v>
      </c>
      <c r="E175" s="11" t="s">
        <v>250</v>
      </c>
      <c r="F175" s="9">
        <v>2346.28</v>
      </c>
      <c r="G175" s="9">
        <v>312055</v>
      </c>
      <c r="H175" s="9">
        <v>0</v>
      </c>
      <c r="I175" s="9">
        <v>312055</v>
      </c>
      <c r="J175" s="9">
        <v>0</v>
      </c>
      <c r="K175" s="9">
        <v>9188.12</v>
      </c>
      <c r="L175" s="9">
        <v>69.08</v>
      </c>
      <c r="M175" s="9">
        <v>9188.12</v>
      </c>
      <c r="N175" s="9">
        <v>185.21</v>
      </c>
      <c r="O175" s="9">
        <v>24633.5</v>
      </c>
      <c r="P175" s="9">
        <v>110.53</v>
      </c>
      <c r="Q175" s="9">
        <v>14700</v>
      </c>
    </row>
    <row r="176" s="1" customFormat="1" ht="14.25" hidden="1" spans="1:17">
      <c r="A176" s="1" t="str">
        <f>VLOOKUP(B176,combinate!A:B,2,FALSE)</f>
        <v>Group C</v>
      </c>
      <c r="B176" s="8">
        <v>254701247018</v>
      </c>
      <c r="C176" s="9">
        <v>3173117</v>
      </c>
      <c r="D176" s="10">
        <v>46183.7830092593</v>
      </c>
      <c r="E176" s="11" t="s">
        <v>250</v>
      </c>
      <c r="F176" s="9">
        <v>3.98</v>
      </c>
      <c r="G176" s="9">
        <v>530</v>
      </c>
      <c r="H176" s="9">
        <v>0</v>
      </c>
      <c r="I176" s="9">
        <v>530</v>
      </c>
      <c r="J176" s="9">
        <v>0</v>
      </c>
      <c r="K176" s="9">
        <v>-104.1</v>
      </c>
      <c r="L176" s="9">
        <v>-0.78</v>
      </c>
      <c r="M176" s="9">
        <v>-104.1</v>
      </c>
      <c r="N176" s="9">
        <v>1.29</v>
      </c>
      <c r="O176" s="9">
        <v>171</v>
      </c>
      <c r="P176" s="9">
        <v>1.43</v>
      </c>
      <c r="Q176" s="9">
        <v>190.03</v>
      </c>
    </row>
    <row r="177" s="1" customFormat="1" ht="14.25" hidden="1" spans="1:17">
      <c r="A177" s="1" t="str">
        <f>VLOOKUP(B177,combinate!A:B,2,FALSE)</f>
        <v>Group A</v>
      </c>
      <c r="B177" s="8">
        <v>254792037353</v>
      </c>
      <c r="C177" s="9">
        <v>3932362</v>
      </c>
      <c r="D177" s="10">
        <v>46181.7878935185</v>
      </c>
      <c r="E177" s="12" t="s">
        <v>254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</row>
    <row r="178" s="1" customFormat="1" ht="14.25" hidden="1" spans="1:17">
      <c r="A178" s="1" t="str">
        <f>VLOOKUP(B178,combinate!A:B,2,FALSE)</f>
        <v>Group B</v>
      </c>
      <c r="B178" s="8">
        <v>254768556223</v>
      </c>
      <c r="C178" s="9">
        <v>4596634</v>
      </c>
      <c r="D178" s="10">
        <v>46175.7225578704</v>
      </c>
      <c r="E178" s="12" t="s">
        <v>254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</row>
    <row r="179" s="1" customFormat="1" ht="14.25" hidden="1" spans="1:17">
      <c r="A179" s="1" t="str">
        <f>VLOOKUP(B179,combinate!A:B,2,FALSE)</f>
        <v>Group A</v>
      </c>
      <c r="B179" s="8">
        <v>254746569776</v>
      </c>
      <c r="C179" s="9">
        <v>8327961</v>
      </c>
      <c r="D179" s="10">
        <v>46160.7878356481</v>
      </c>
      <c r="E179" s="12" t="s">
        <v>254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</row>
    <row r="180" s="1" customFormat="1" ht="14.25" hidden="1" spans="1:17">
      <c r="A180" s="1" t="str">
        <f>VLOOKUP(B180,combinate!A:B,2,FALSE)</f>
        <v>Group A</v>
      </c>
      <c r="B180" s="8">
        <v>254115340046</v>
      </c>
      <c r="C180" s="9">
        <v>8786540</v>
      </c>
      <c r="D180" s="10">
        <v>46176.9108680556</v>
      </c>
      <c r="E180" s="12" t="s">
        <v>254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</row>
    <row r="181" s="1" customFormat="1" ht="14.25" hidden="1" spans="1:17">
      <c r="A181" s="1" t="str">
        <f>VLOOKUP(B181,combinate!A:B,2,FALSE)</f>
        <v>Group A</v>
      </c>
      <c r="B181" s="8">
        <v>254706383103</v>
      </c>
      <c r="C181" s="9">
        <v>10152922</v>
      </c>
      <c r="D181" s="10">
        <v>46162.9522800926</v>
      </c>
      <c r="E181" s="12" t="s">
        <v>254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</row>
    <row r="182" s="1" customFormat="1" ht="14.25" hidden="1" spans="1:17">
      <c r="A182" s="1" t="str">
        <f>VLOOKUP(B182,combinate!A:B,2,FALSE)</f>
        <v>Group A</v>
      </c>
      <c r="B182" s="8">
        <v>254110861850</v>
      </c>
      <c r="C182" s="9">
        <v>11373861</v>
      </c>
      <c r="D182" s="10">
        <v>46162.8411574074</v>
      </c>
      <c r="E182" s="12" t="s">
        <v>254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</row>
    <row r="183" s="1" customFormat="1" ht="14.25" hidden="1" spans="1:17">
      <c r="A183" s="1" t="str">
        <f>VLOOKUP(B183,combinate!A:B,2,FALSE)</f>
        <v>Group C</v>
      </c>
      <c r="B183" s="8">
        <v>254728310933</v>
      </c>
      <c r="C183" s="9">
        <v>11594879</v>
      </c>
      <c r="D183" s="10">
        <v>46183.512025463</v>
      </c>
      <c r="E183" s="11" t="s">
        <v>250</v>
      </c>
      <c r="F183" s="9">
        <v>1.05</v>
      </c>
      <c r="G183" s="9">
        <v>140</v>
      </c>
      <c r="H183" s="9">
        <v>100</v>
      </c>
      <c r="I183" s="9">
        <v>40</v>
      </c>
      <c r="J183" s="9">
        <v>45.26</v>
      </c>
      <c r="K183" s="9">
        <v>40</v>
      </c>
      <c r="L183" s="9">
        <v>0.64</v>
      </c>
      <c r="M183" s="9">
        <v>85.26</v>
      </c>
      <c r="N183" s="9">
        <v>1.07</v>
      </c>
      <c r="O183" s="9">
        <v>142.5</v>
      </c>
      <c r="P183" s="9">
        <v>0</v>
      </c>
      <c r="Q183" s="9">
        <v>0</v>
      </c>
    </row>
    <row r="184" s="1" customFormat="1" ht="14.25" hidden="1" spans="1:17">
      <c r="A184" s="1" t="str">
        <f>VLOOKUP(B184,combinate!A:B,2,FALSE)</f>
        <v>Group C</v>
      </c>
      <c r="B184" s="8">
        <v>254728137546</v>
      </c>
      <c r="C184" s="9">
        <v>12128499</v>
      </c>
      <c r="D184" s="10">
        <v>46183.5222569444</v>
      </c>
      <c r="E184" s="11" t="s">
        <v>250</v>
      </c>
      <c r="F184" s="9">
        <v>20</v>
      </c>
      <c r="G184" s="9">
        <v>2660</v>
      </c>
      <c r="H184" s="9">
        <v>0</v>
      </c>
      <c r="I184" s="9">
        <v>2660</v>
      </c>
      <c r="J184" s="9">
        <v>0</v>
      </c>
      <c r="K184" s="9">
        <v>625.6</v>
      </c>
      <c r="L184" s="9">
        <v>4.7</v>
      </c>
      <c r="M184" s="9">
        <v>625.6</v>
      </c>
      <c r="N184" s="9">
        <v>4.71</v>
      </c>
      <c r="O184" s="9">
        <v>627</v>
      </c>
      <c r="P184" s="9">
        <v>0</v>
      </c>
      <c r="Q184" s="9">
        <v>0</v>
      </c>
    </row>
    <row r="185" s="1" customFormat="1" ht="14.25" hidden="1" spans="1:17">
      <c r="A185" s="1" t="str">
        <f>VLOOKUP(B185,combinate!A:B,2,FALSE)</f>
        <v>Group A</v>
      </c>
      <c r="B185" s="8">
        <v>254703325859</v>
      </c>
      <c r="C185" s="9">
        <v>12450521</v>
      </c>
      <c r="D185" s="10">
        <v>46183.7871990741</v>
      </c>
      <c r="E185" s="11" t="s">
        <v>250</v>
      </c>
      <c r="F185" s="9">
        <v>0.74</v>
      </c>
      <c r="G185" s="9">
        <v>98</v>
      </c>
      <c r="H185" s="9">
        <v>0</v>
      </c>
      <c r="I185" s="9">
        <v>98</v>
      </c>
      <c r="J185" s="9">
        <v>0</v>
      </c>
      <c r="K185" s="9">
        <v>98</v>
      </c>
      <c r="L185" s="9">
        <v>0.74</v>
      </c>
      <c r="M185" s="9">
        <v>98</v>
      </c>
      <c r="N185" s="9">
        <v>0.71</v>
      </c>
      <c r="O185" s="9">
        <v>95</v>
      </c>
      <c r="P185" s="9">
        <v>0</v>
      </c>
      <c r="Q185" s="9">
        <v>0</v>
      </c>
    </row>
    <row r="186" s="1" customFormat="1" ht="14.25" hidden="1" spans="1:17">
      <c r="A186" s="1" t="str">
        <f>VLOOKUP(B186,combinate!A:B,2,FALSE)</f>
        <v>Group B</v>
      </c>
      <c r="B186" s="8">
        <v>254112104238</v>
      </c>
      <c r="C186" s="9">
        <v>13103844</v>
      </c>
      <c r="D186" s="10">
        <v>46177.3238425926</v>
      </c>
      <c r="E186" s="12" t="s">
        <v>254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</row>
    <row r="187" s="1" customFormat="1" ht="14.25" hidden="1" spans="1:17">
      <c r="A187" s="1" t="str">
        <f>VLOOKUP(B187,combinate!A:B,2,FALSE)</f>
        <v>Group C</v>
      </c>
      <c r="B187" s="8">
        <v>254720712908</v>
      </c>
      <c r="C187" s="9">
        <v>13177867</v>
      </c>
      <c r="D187" s="10">
        <v>46177.5705671296</v>
      </c>
      <c r="E187" s="11" t="s">
        <v>250</v>
      </c>
      <c r="F187" s="9">
        <v>2.04</v>
      </c>
      <c r="G187" s="9">
        <v>271</v>
      </c>
      <c r="H187" s="9">
        <v>0</v>
      </c>
      <c r="I187" s="9">
        <v>271</v>
      </c>
      <c r="J187" s="9">
        <v>0</v>
      </c>
      <c r="K187" s="9">
        <v>157.89</v>
      </c>
      <c r="L187" s="9">
        <v>1.19</v>
      </c>
      <c r="M187" s="9">
        <v>157.89</v>
      </c>
      <c r="N187" s="9">
        <v>1.14</v>
      </c>
      <c r="O187" s="9">
        <v>152</v>
      </c>
      <c r="P187" s="9">
        <v>0</v>
      </c>
      <c r="Q187" s="9">
        <v>0</v>
      </c>
    </row>
    <row r="188" s="1" customFormat="1" ht="14.25" hidden="1" spans="1:17">
      <c r="A188" s="1" t="str">
        <f>VLOOKUP(B188,combinate!A:B,2,FALSE)</f>
        <v>Group C</v>
      </c>
      <c r="B188" s="8">
        <v>254700403580</v>
      </c>
      <c r="C188" s="9">
        <v>13938449</v>
      </c>
      <c r="D188" s="10">
        <v>46179.8851967593</v>
      </c>
      <c r="E188" s="11" t="s">
        <v>250</v>
      </c>
      <c r="F188" s="9">
        <v>15.05</v>
      </c>
      <c r="G188" s="9">
        <v>2001.73</v>
      </c>
      <c r="H188" s="9">
        <v>0</v>
      </c>
      <c r="I188" s="9">
        <v>2001.73</v>
      </c>
      <c r="J188" s="9">
        <v>0</v>
      </c>
      <c r="K188" s="9">
        <v>568.8</v>
      </c>
      <c r="L188" s="9">
        <v>4.28</v>
      </c>
      <c r="M188" s="9">
        <v>568.8</v>
      </c>
      <c r="N188" s="9">
        <v>7.07</v>
      </c>
      <c r="O188" s="9">
        <v>940.5</v>
      </c>
      <c r="P188" s="9">
        <v>3.98</v>
      </c>
      <c r="Q188" s="9">
        <v>528.74</v>
      </c>
    </row>
    <row r="189" s="1" customFormat="1" ht="14.25" hidden="1" spans="1:17">
      <c r="A189" s="1" t="str">
        <f>VLOOKUP(B189,combinate!A:B,2,FALSE)</f>
        <v>Group A</v>
      </c>
      <c r="B189" s="8">
        <v>254727012847</v>
      </c>
      <c r="C189" s="9">
        <v>14146882</v>
      </c>
      <c r="D189" s="10">
        <v>46162.6481365741</v>
      </c>
      <c r="E189" s="12" t="s">
        <v>254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</row>
    <row r="190" s="1" customFormat="1" ht="14.25" hidden="1" spans="1:17">
      <c r="A190" s="1" t="str">
        <f>VLOOKUP(B190,combinate!A:B,2,FALSE)</f>
        <v>Group C</v>
      </c>
      <c r="B190" s="8">
        <v>254768814065</v>
      </c>
      <c r="C190" s="9">
        <v>15005707</v>
      </c>
      <c r="D190" s="10">
        <v>46166.8882986111</v>
      </c>
      <c r="E190" s="12" t="s">
        <v>254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  <c r="P190" s="9">
        <v>0</v>
      </c>
      <c r="Q190" s="9">
        <v>0</v>
      </c>
    </row>
    <row r="191" s="1" customFormat="1" ht="14.25" hidden="1" spans="1:17">
      <c r="A191" s="1" t="str">
        <f>VLOOKUP(B191,combinate!A:B,2,FALSE)</f>
        <v>Group A</v>
      </c>
      <c r="B191" s="8">
        <v>254748159116</v>
      </c>
      <c r="C191" s="9">
        <v>15838840</v>
      </c>
      <c r="D191" s="10">
        <v>46163.8771064815</v>
      </c>
      <c r="E191" s="12" t="s">
        <v>254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</row>
    <row r="192" s="1" customFormat="1" ht="14.25" hidden="1" spans="1:17">
      <c r="A192" s="1" t="str">
        <f>VLOOKUP(B192,combinate!A:B,2,FALSE)</f>
        <v>Group A</v>
      </c>
      <c r="B192" s="8">
        <v>254718543425</v>
      </c>
      <c r="C192" s="9">
        <v>16316152</v>
      </c>
      <c r="D192" s="10">
        <v>46161.6333564815</v>
      </c>
      <c r="E192" s="12" t="s">
        <v>254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</row>
    <row r="193" s="1" customFormat="1" ht="14.25" hidden="1" spans="1:17">
      <c r="A193" s="1" t="str">
        <f>VLOOKUP(B193,combinate!A:B,2,FALSE)</f>
        <v>Group B</v>
      </c>
      <c r="B193" s="8">
        <v>254702807077</v>
      </c>
      <c r="C193" s="9">
        <v>16962065</v>
      </c>
      <c r="D193" s="10">
        <v>46161.7430208333</v>
      </c>
      <c r="E193" s="12" t="s">
        <v>254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</row>
    <row r="194" s="1" customFormat="1" ht="14.25" hidden="1" spans="1:17">
      <c r="A194" s="1" t="str">
        <f>VLOOKUP(B194,combinate!A:B,2,FALSE)</f>
        <v>Group A</v>
      </c>
      <c r="B194" s="8">
        <v>254769164317</v>
      </c>
      <c r="C194" s="9">
        <v>17027140</v>
      </c>
      <c r="D194" s="10">
        <v>46160.514837963</v>
      </c>
      <c r="E194" s="12" t="s">
        <v>254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</row>
    <row r="195" s="1" customFormat="1" ht="14.25" hidden="1" spans="1:17">
      <c r="A195" s="1" t="str">
        <f>VLOOKUP(B195,combinate!A:B,2,FALSE)</f>
        <v>Group B</v>
      </c>
      <c r="B195" s="8">
        <v>254748713590</v>
      </c>
      <c r="C195" s="9">
        <v>17184743</v>
      </c>
      <c r="D195" s="10">
        <v>46179.6203240741</v>
      </c>
      <c r="E195" s="12" t="s">
        <v>254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</row>
    <row r="196" s="1" customFormat="1" ht="14.25" hidden="1" spans="1:17">
      <c r="A196" s="1" t="str">
        <f>VLOOKUP(B196,combinate!A:B,2,FALSE)</f>
        <v>Group C</v>
      </c>
      <c r="B196" s="8">
        <v>254797827050</v>
      </c>
      <c r="C196" s="9">
        <v>17540059</v>
      </c>
      <c r="D196" s="10">
        <v>46178.5813657407</v>
      </c>
      <c r="E196" s="12" t="s">
        <v>254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</row>
    <row r="197" s="1" customFormat="1" ht="14.25" hidden="1" spans="1:17">
      <c r="A197" s="1" t="str">
        <f>VLOOKUP(B197,combinate!A:B,2,FALSE)</f>
        <v>Group B</v>
      </c>
      <c r="B197" s="8">
        <v>254724121209</v>
      </c>
      <c r="C197" s="9">
        <v>19462453</v>
      </c>
      <c r="D197" s="10">
        <v>46160.1567476852</v>
      </c>
      <c r="E197" s="12" t="s">
        <v>254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</row>
    <row r="198" s="1" customFormat="1" ht="14.25" hidden="1" spans="1:17">
      <c r="A198" s="1" t="str">
        <f>VLOOKUP(B198,combinate!A:B,2,FALSE)</f>
        <v>Group A</v>
      </c>
      <c r="B198" s="8">
        <v>254116513295</v>
      </c>
      <c r="C198" s="9">
        <v>19637522</v>
      </c>
      <c r="D198" s="10">
        <v>46162.2365277778</v>
      </c>
      <c r="E198" s="12" t="s">
        <v>254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</row>
    <row r="199" s="1" customFormat="1" ht="14.25" hidden="1" spans="1:17">
      <c r="A199" s="1" t="str">
        <f>VLOOKUP(B199,combinate!A:B,2,FALSE)</f>
        <v>Group C</v>
      </c>
      <c r="B199" s="8">
        <v>254112579930</v>
      </c>
      <c r="C199" s="9">
        <v>19939269</v>
      </c>
      <c r="D199" s="10">
        <v>46183.6228240741</v>
      </c>
      <c r="E199" s="11" t="s">
        <v>250</v>
      </c>
      <c r="F199" s="9">
        <v>114.19</v>
      </c>
      <c r="G199" s="9">
        <v>15186.9</v>
      </c>
      <c r="H199" s="9">
        <v>1</v>
      </c>
      <c r="I199" s="9">
        <v>15185.9</v>
      </c>
      <c r="J199" s="9">
        <v>1</v>
      </c>
      <c r="K199" s="9">
        <v>5430.3</v>
      </c>
      <c r="L199" s="9">
        <v>40.84</v>
      </c>
      <c r="M199" s="9">
        <v>5431.3</v>
      </c>
      <c r="N199" s="9">
        <v>47.64</v>
      </c>
      <c r="O199" s="9">
        <v>6336.5</v>
      </c>
      <c r="P199" s="9">
        <v>27.07</v>
      </c>
      <c r="Q199" s="9">
        <v>3600</v>
      </c>
    </row>
    <row r="200" s="1" customFormat="1" ht="14.25" hidden="1" spans="1:17">
      <c r="A200" s="1" t="str">
        <f>VLOOKUP(B200,combinate!A:B,2,FALSE)</f>
        <v>Group A</v>
      </c>
      <c r="B200" s="8">
        <v>254112165622</v>
      </c>
      <c r="C200" s="9">
        <v>20328682</v>
      </c>
      <c r="D200" s="10">
        <v>46183.8462731481</v>
      </c>
      <c r="E200" s="11" t="s">
        <v>250</v>
      </c>
      <c r="F200" s="9">
        <v>1</v>
      </c>
      <c r="G200" s="9">
        <v>133</v>
      </c>
      <c r="H200" s="9">
        <v>0</v>
      </c>
      <c r="I200" s="9">
        <v>133</v>
      </c>
      <c r="J200" s="9">
        <v>0</v>
      </c>
      <c r="K200" s="9">
        <v>20.6</v>
      </c>
      <c r="L200" s="9">
        <v>0.15</v>
      </c>
      <c r="M200" s="9">
        <v>20.6</v>
      </c>
      <c r="N200" s="9">
        <v>0.14</v>
      </c>
      <c r="O200" s="9">
        <v>19</v>
      </c>
      <c r="P200" s="9">
        <v>0</v>
      </c>
      <c r="Q200" s="9">
        <v>0</v>
      </c>
    </row>
    <row r="201" s="1" customFormat="1" ht="14.25" hidden="1" spans="1:17">
      <c r="A201" s="1" t="str">
        <f>VLOOKUP(B201,combinate!A:B,2,FALSE)</f>
        <v>Group C</v>
      </c>
      <c r="B201" s="8">
        <v>254726758397</v>
      </c>
      <c r="C201" s="9">
        <v>20458486</v>
      </c>
      <c r="D201" s="10">
        <v>46160.4272222222</v>
      </c>
      <c r="E201" s="12" t="s">
        <v>254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v>0</v>
      </c>
    </row>
    <row r="202" s="1" customFormat="1" ht="14.25" hidden="1" spans="1:17">
      <c r="A202" s="1" t="str">
        <f>VLOOKUP(B202,combinate!A:B,2,FALSE)</f>
        <v>Group C</v>
      </c>
      <c r="B202" s="8">
        <v>254724659459</v>
      </c>
      <c r="C202" s="9">
        <v>20594978</v>
      </c>
      <c r="D202" s="10">
        <v>46180.8386689815</v>
      </c>
      <c r="E202" s="11" t="s">
        <v>250</v>
      </c>
      <c r="F202" s="9">
        <v>1.65</v>
      </c>
      <c r="G202" s="9">
        <v>220</v>
      </c>
      <c r="H202" s="9">
        <v>0</v>
      </c>
      <c r="I202" s="9">
        <v>220</v>
      </c>
      <c r="J202" s="9">
        <v>0</v>
      </c>
      <c r="K202" s="9">
        <v>-173.9</v>
      </c>
      <c r="L202" s="9">
        <v>-1.31</v>
      </c>
      <c r="M202" s="9">
        <v>-173.9</v>
      </c>
      <c r="N202" s="9">
        <v>0.34</v>
      </c>
      <c r="O202" s="9">
        <v>44.65</v>
      </c>
      <c r="P202" s="9">
        <v>2.68</v>
      </c>
      <c r="Q202" s="9">
        <v>356.59</v>
      </c>
    </row>
    <row r="203" s="1" customFormat="1" ht="14.25" hidden="1" spans="1:17">
      <c r="A203" s="1" t="str">
        <f>VLOOKUP(B203,combinate!A:B,2,FALSE)</f>
        <v>Group C</v>
      </c>
      <c r="B203" s="8">
        <v>254768601766</v>
      </c>
      <c r="C203" s="9">
        <v>20848257</v>
      </c>
      <c r="D203" s="10">
        <v>46161.5938541667</v>
      </c>
      <c r="E203" s="12" t="s">
        <v>254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  <c r="P203" s="9">
        <v>0</v>
      </c>
      <c r="Q203" s="9">
        <v>0</v>
      </c>
    </row>
    <row r="204" s="1" customFormat="1" ht="14.25" hidden="1" spans="1:17">
      <c r="A204" s="1" t="str">
        <f>VLOOKUP(B204,combinate!A:B,2,FALSE)</f>
        <v>Group C</v>
      </c>
      <c r="B204" s="8">
        <v>254798946247</v>
      </c>
      <c r="C204" s="9">
        <v>21299267</v>
      </c>
      <c r="D204" s="10">
        <v>46182.8564699074</v>
      </c>
      <c r="E204" s="11" t="s">
        <v>250</v>
      </c>
      <c r="F204" s="9">
        <v>2.4</v>
      </c>
      <c r="G204" s="9">
        <v>319.44</v>
      </c>
      <c r="H204" s="9">
        <v>0</v>
      </c>
      <c r="I204" s="9">
        <v>319.44</v>
      </c>
      <c r="J204" s="9">
        <v>0</v>
      </c>
      <c r="K204" s="9">
        <v>127.3</v>
      </c>
      <c r="L204" s="9">
        <v>0.96</v>
      </c>
      <c r="M204" s="9">
        <v>127.3</v>
      </c>
      <c r="N204" s="9">
        <v>0.96</v>
      </c>
      <c r="O204" s="9">
        <v>127.3</v>
      </c>
      <c r="P204" s="9">
        <v>0</v>
      </c>
      <c r="Q204" s="9">
        <v>0</v>
      </c>
    </row>
    <row r="205" s="1" customFormat="1" ht="14.25" hidden="1" spans="1:17">
      <c r="A205" s="1" t="str">
        <f>VLOOKUP(B205,combinate!A:B,2,FALSE)</f>
        <v>Group B</v>
      </c>
      <c r="B205" s="8">
        <v>254799489964</v>
      </c>
      <c r="C205" s="9">
        <v>21638743</v>
      </c>
      <c r="D205" s="10">
        <v>46184.4021412037</v>
      </c>
      <c r="E205" s="11" t="s">
        <v>250</v>
      </c>
      <c r="F205" s="9">
        <v>2.27</v>
      </c>
      <c r="G205" s="9">
        <v>302</v>
      </c>
      <c r="H205" s="9">
        <v>0</v>
      </c>
      <c r="I205" s="9">
        <v>302</v>
      </c>
      <c r="J205" s="9">
        <v>0</v>
      </c>
      <c r="K205" s="9">
        <v>140.1</v>
      </c>
      <c r="L205" s="9">
        <v>1.05</v>
      </c>
      <c r="M205" s="9">
        <v>140.1</v>
      </c>
      <c r="N205" s="9">
        <v>1.06</v>
      </c>
      <c r="O205" s="9">
        <v>140.6</v>
      </c>
      <c r="P205" s="9">
        <v>0</v>
      </c>
      <c r="Q205" s="9">
        <v>0</v>
      </c>
    </row>
    <row r="206" s="1" customFormat="1" ht="14.25" hidden="1" spans="1:17">
      <c r="A206" s="1" t="str">
        <f>VLOOKUP(B206,combinate!A:B,2,FALSE)</f>
        <v>Group B</v>
      </c>
      <c r="B206" s="8">
        <v>254140232432</v>
      </c>
      <c r="C206" s="9">
        <v>21690193</v>
      </c>
      <c r="D206" s="10">
        <v>46182.3691203704</v>
      </c>
      <c r="E206" s="11" t="s">
        <v>250</v>
      </c>
      <c r="F206" s="9">
        <v>18.25</v>
      </c>
      <c r="G206" s="9">
        <v>2427.07</v>
      </c>
      <c r="H206" s="9">
        <v>0</v>
      </c>
      <c r="I206" s="9">
        <v>2427.07</v>
      </c>
      <c r="J206" s="9">
        <v>0</v>
      </c>
      <c r="K206" s="9">
        <v>-49.77</v>
      </c>
      <c r="L206" s="9">
        <v>-0.37</v>
      </c>
      <c r="M206" s="9">
        <v>-49.77</v>
      </c>
      <c r="N206" s="9">
        <v>2.64</v>
      </c>
      <c r="O206" s="9">
        <v>351.5</v>
      </c>
      <c r="P206" s="9">
        <v>2.81</v>
      </c>
      <c r="Q206" s="9">
        <v>373.21</v>
      </c>
    </row>
    <row r="207" s="1" customFormat="1" ht="14.25" hidden="1" spans="1:17">
      <c r="A207" s="1" t="str">
        <f>VLOOKUP(B207,combinate!A:B,2,FALSE)</f>
        <v>Group C</v>
      </c>
      <c r="B207" s="8">
        <v>254717684125</v>
      </c>
      <c r="C207" s="9">
        <v>21826536</v>
      </c>
      <c r="D207" s="10">
        <v>46184.4080555556</v>
      </c>
      <c r="E207" s="11" t="s">
        <v>250</v>
      </c>
      <c r="F207" s="9">
        <v>4.11</v>
      </c>
      <c r="G207" s="9">
        <v>546.76</v>
      </c>
      <c r="H207" s="9">
        <v>0</v>
      </c>
      <c r="I207" s="9">
        <v>546.76</v>
      </c>
      <c r="J207" s="9">
        <v>0</v>
      </c>
      <c r="K207" s="9">
        <v>326.94</v>
      </c>
      <c r="L207" s="9">
        <v>2.46</v>
      </c>
      <c r="M207" s="9">
        <v>326.94</v>
      </c>
      <c r="N207" s="9">
        <v>2.46</v>
      </c>
      <c r="O207" s="9">
        <v>326.8</v>
      </c>
      <c r="P207" s="9">
        <v>3.19</v>
      </c>
      <c r="Q207" s="9">
        <v>423.93</v>
      </c>
    </row>
    <row r="208" s="1" customFormat="1" ht="14.25" hidden="1" spans="1:17">
      <c r="A208" s="1" t="str">
        <f>VLOOKUP(B208,combinate!A:B,2,FALSE)</f>
        <v>Group C</v>
      </c>
      <c r="B208" s="8">
        <v>254721137123</v>
      </c>
      <c r="C208" s="9">
        <v>21987049</v>
      </c>
      <c r="D208" s="10">
        <v>46182.4360416667</v>
      </c>
      <c r="E208" s="11" t="s">
        <v>250</v>
      </c>
      <c r="F208" s="9">
        <v>1.5</v>
      </c>
      <c r="G208" s="9">
        <v>200</v>
      </c>
      <c r="H208" s="9">
        <v>0</v>
      </c>
      <c r="I208" s="9">
        <v>200</v>
      </c>
      <c r="J208" s="9">
        <v>0</v>
      </c>
      <c r="K208" s="9">
        <v>160</v>
      </c>
      <c r="L208" s="9">
        <v>1.2</v>
      </c>
      <c r="M208" s="9">
        <v>160</v>
      </c>
      <c r="N208" s="9">
        <v>1.21</v>
      </c>
      <c r="O208" s="9">
        <v>161.5</v>
      </c>
      <c r="P208" s="9">
        <v>0</v>
      </c>
      <c r="Q208" s="9">
        <v>0</v>
      </c>
    </row>
    <row r="209" s="1" customFormat="1" ht="14.25" hidden="1" spans="1:17">
      <c r="A209" s="1" t="str">
        <f>VLOOKUP(B209,combinate!A:B,2,FALSE)</f>
        <v>Group A</v>
      </c>
      <c r="B209" s="8">
        <v>254729897749</v>
      </c>
      <c r="C209" s="9">
        <v>22023130</v>
      </c>
      <c r="D209" s="10">
        <v>46183.9004976852</v>
      </c>
      <c r="E209" s="12" t="s">
        <v>254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</row>
    <row r="210" s="1" customFormat="1" ht="14.25" hidden="1" spans="1:17">
      <c r="A210" s="1" t="str">
        <f>VLOOKUP(B210,combinate!A:B,2,FALSE)</f>
        <v>Group A</v>
      </c>
      <c r="B210" s="8">
        <v>254110836813</v>
      </c>
      <c r="C210" s="9">
        <v>22042351</v>
      </c>
      <c r="D210" s="10">
        <v>46183.2871875</v>
      </c>
      <c r="E210" s="12" t="s">
        <v>254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</row>
    <row r="211" s="1" customFormat="1" ht="14.25" hidden="1" spans="1:17">
      <c r="A211" s="1" t="str">
        <f>VLOOKUP(B211,combinate!A:B,2,FALSE)</f>
        <v>Group A</v>
      </c>
      <c r="B211" s="8">
        <v>254718571705</v>
      </c>
      <c r="C211" s="9">
        <v>22076041</v>
      </c>
      <c r="D211" s="10">
        <v>46160.3216666667</v>
      </c>
      <c r="E211" s="12" t="s">
        <v>254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</row>
    <row r="212" s="1" customFormat="1" ht="14.25" hidden="1" spans="1:17">
      <c r="A212" s="1" t="str">
        <f>VLOOKUP(B212,combinate!A:B,2,FALSE)</f>
        <v>Group B</v>
      </c>
      <c r="B212" s="8">
        <v>254799880457</v>
      </c>
      <c r="C212" s="9">
        <v>22296784</v>
      </c>
      <c r="D212" s="10">
        <v>46176.3194791667</v>
      </c>
      <c r="E212" s="12" t="s">
        <v>254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</row>
    <row r="213" s="1" customFormat="1" ht="14.25" hidden="1" spans="1:17">
      <c r="A213" s="1" t="str">
        <f>VLOOKUP(B213,combinate!A:B,2,FALSE)</f>
        <v>Group C</v>
      </c>
      <c r="B213" s="8">
        <v>254728781109</v>
      </c>
      <c r="C213" s="9">
        <v>22304688</v>
      </c>
      <c r="D213" s="10">
        <v>46184.2199421296</v>
      </c>
      <c r="E213" s="11" t="s">
        <v>250</v>
      </c>
      <c r="F213" s="9">
        <v>1.3</v>
      </c>
      <c r="G213" s="9">
        <v>173</v>
      </c>
      <c r="H213" s="9">
        <v>0</v>
      </c>
      <c r="I213" s="9">
        <v>173</v>
      </c>
      <c r="J213" s="9">
        <v>0</v>
      </c>
      <c r="K213" s="9">
        <v>42.44</v>
      </c>
      <c r="L213" s="9">
        <v>0.32</v>
      </c>
      <c r="M213" s="9">
        <v>42.44</v>
      </c>
      <c r="N213" s="9">
        <v>0.32</v>
      </c>
      <c r="O213" s="9">
        <v>42.75</v>
      </c>
      <c r="P213" s="9">
        <v>0</v>
      </c>
      <c r="Q213" s="9">
        <v>0</v>
      </c>
    </row>
    <row r="214" s="1" customFormat="1" ht="14.25" hidden="1" spans="1:17">
      <c r="A214" s="1" t="str">
        <f>VLOOKUP(B214,combinate!A:B,2,FALSE)</f>
        <v>Group C</v>
      </c>
      <c r="B214" s="8">
        <v>254721445299</v>
      </c>
      <c r="C214" s="9">
        <v>22351927</v>
      </c>
      <c r="D214" s="10">
        <v>46166.1408912037</v>
      </c>
      <c r="E214" s="12" t="s">
        <v>254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</row>
    <row r="215" s="1" customFormat="1" ht="14.25" hidden="1" spans="1:17">
      <c r="A215" s="1" t="str">
        <f>VLOOKUP(B215,combinate!A:B,2,FALSE)</f>
        <v>Group B</v>
      </c>
      <c r="B215" s="8">
        <v>254140928434</v>
      </c>
      <c r="C215" s="9">
        <v>22354975</v>
      </c>
      <c r="D215" s="10">
        <v>46160.5154513889</v>
      </c>
      <c r="E215" s="12" t="s">
        <v>254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</row>
    <row r="216" s="1" customFormat="1" ht="14.25" hidden="1" spans="1:17">
      <c r="A216" s="1" t="str">
        <f>VLOOKUP(B216,combinate!A:B,2,FALSE)</f>
        <v>Group C</v>
      </c>
      <c r="B216" s="8">
        <v>254715059069</v>
      </c>
      <c r="C216" s="9">
        <v>22501388</v>
      </c>
      <c r="D216" s="10">
        <v>46160.8412152778</v>
      </c>
      <c r="E216" s="12" t="s">
        <v>254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</row>
    <row r="217" s="1" customFormat="1" ht="14.25" hidden="1" spans="1:17">
      <c r="A217" s="1" t="str">
        <f>VLOOKUP(B217,combinate!A:B,2,FALSE)</f>
        <v>Group C</v>
      </c>
      <c r="B217" s="8">
        <v>254754125780</v>
      </c>
      <c r="C217" s="9">
        <v>22590546</v>
      </c>
      <c r="D217" s="10">
        <v>46166.5789467593</v>
      </c>
      <c r="E217" s="12" t="s">
        <v>254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</row>
    <row r="218" s="1" customFormat="1" ht="14.25" hidden="1" spans="1:17">
      <c r="A218" s="1" t="str">
        <f>VLOOKUP(B218,combinate!A:B,2,FALSE)</f>
        <v>Group A</v>
      </c>
      <c r="B218" s="8">
        <v>254117718477</v>
      </c>
      <c r="C218" s="9">
        <v>22618420</v>
      </c>
      <c r="D218" s="10">
        <v>46166.7816898148</v>
      </c>
      <c r="E218" s="12" t="s">
        <v>254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</row>
    <row r="219" s="1" customFormat="1" ht="14.25" hidden="1" spans="1:17">
      <c r="A219" s="1" t="str">
        <f>VLOOKUP(B219,combinate!A:B,2,FALSE)</f>
        <v>Group A</v>
      </c>
      <c r="B219" s="8">
        <v>254797909034</v>
      </c>
      <c r="C219" s="9">
        <v>22639362</v>
      </c>
      <c r="D219" s="10">
        <v>46162.563900463</v>
      </c>
      <c r="E219" s="12" t="s">
        <v>254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</row>
    <row r="220" s="1" customFormat="1" ht="14.25" hidden="1" spans="1:17">
      <c r="A220" s="1" t="str">
        <f>VLOOKUP(B220,combinate!A:B,2,FALSE)</f>
        <v>Group C</v>
      </c>
      <c r="B220" s="8">
        <v>254703582991</v>
      </c>
      <c r="C220" s="9">
        <v>22679109</v>
      </c>
      <c r="D220" s="10">
        <v>46162.6153125</v>
      </c>
      <c r="E220" s="12" t="s">
        <v>254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</row>
    <row r="221" s="1" customFormat="1" ht="14.25" hidden="1" spans="1:17">
      <c r="A221" s="1" t="str">
        <f>VLOOKUP(B221,combinate!A:B,2,FALSE)</f>
        <v>Group B</v>
      </c>
      <c r="B221" s="8">
        <v>254795758864</v>
      </c>
      <c r="C221" s="9">
        <v>22815593</v>
      </c>
      <c r="D221" s="10">
        <v>46161.5658101852</v>
      </c>
      <c r="E221" s="12" t="s">
        <v>254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</row>
    <row r="222" s="1" customFormat="1" ht="14.25" hidden="1" spans="1:17">
      <c r="A222" s="1" t="str">
        <f>VLOOKUP(B222,combinate!A:B,2,FALSE)</f>
        <v>Group A</v>
      </c>
      <c r="B222" s="8">
        <v>254141464090</v>
      </c>
      <c r="C222" s="9">
        <v>22818880</v>
      </c>
      <c r="D222" s="10">
        <v>46180.6698842593</v>
      </c>
      <c r="E222" s="11" t="s">
        <v>250</v>
      </c>
      <c r="F222" s="9">
        <v>5.19</v>
      </c>
      <c r="G222" s="9">
        <v>690.62</v>
      </c>
      <c r="H222" s="9">
        <v>0</v>
      </c>
      <c r="I222" s="9">
        <v>690.62</v>
      </c>
      <c r="J222" s="9">
        <v>0</v>
      </c>
      <c r="K222" s="9">
        <v>187.76</v>
      </c>
      <c r="L222" s="9">
        <v>1.41</v>
      </c>
      <c r="M222" s="9">
        <v>187.76</v>
      </c>
      <c r="N222" s="9">
        <v>1.39</v>
      </c>
      <c r="O222" s="9">
        <v>185.25</v>
      </c>
      <c r="P222" s="9">
        <v>0</v>
      </c>
      <c r="Q222" s="9">
        <v>0</v>
      </c>
    </row>
    <row r="223" s="1" customFormat="1" ht="14.25" hidden="1" spans="1:17">
      <c r="A223" s="1" t="str">
        <f>VLOOKUP(B223,combinate!A:B,2,FALSE)</f>
        <v>Group C</v>
      </c>
      <c r="B223" s="8">
        <v>254704074497</v>
      </c>
      <c r="C223" s="9">
        <v>74656</v>
      </c>
      <c r="D223" s="10">
        <v>46183.7625694444</v>
      </c>
      <c r="E223" s="11" t="s">
        <v>250</v>
      </c>
      <c r="F223" s="9">
        <v>286.3</v>
      </c>
      <c r="G223" s="9">
        <v>38078</v>
      </c>
      <c r="H223" s="9">
        <v>17</v>
      </c>
      <c r="I223" s="9">
        <v>38061</v>
      </c>
      <c r="J223" s="9">
        <v>17</v>
      </c>
      <c r="K223" s="9">
        <v>5442.2</v>
      </c>
      <c r="L223" s="9">
        <v>41.05</v>
      </c>
      <c r="M223" s="9">
        <v>5459.2</v>
      </c>
      <c r="N223" s="9">
        <v>41.07</v>
      </c>
      <c r="O223" s="9">
        <v>5462.5</v>
      </c>
      <c r="P223" s="9">
        <v>0</v>
      </c>
      <c r="Q223" s="9">
        <v>0</v>
      </c>
    </row>
    <row r="224" s="1" customFormat="1" ht="14.25" hidden="1" spans="1:17">
      <c r="A224" s="1" t="str">
        <f>VLOOKUP(B224,combinate!A:B,2,FALSE)</f>
        <v>Group C</v>
      </c>
      <c r="B224" s="8">
        <v>254798424729</v>
      </c>
      <c r="C224" s="9">
        <v>1907556</v>
      </c>
      <c r="D224" s="10">
        <v>46184.2549305556</v>
      </c>
      <c r="E224" s="11" t="s">
        <v>250</v>
      </c>
      <c r="F224" s="9">
        <v>9.91</v>
      </c>
      <c r="G224" s="9">
        <v>1318</v>
      </c>
      <c r="H224" s="9">
        <v>0</v>
      </c>
      <c r="I224" s="9">
        <v>1318</v>
      </c>
      <c r="J224" s="9">
        <v>0</v>
      </c>
      <c r="K224" s="9">
        <v>263.12</v>
      </c>
      <c r="L224" s="9">
        <v>1.98</v>
      </c>
      <c r="M224" s="9">
        <v>263.12</v>
      </c>
      <c r="N224" s="9">
        <v>1.98</v>
      </c>
      <c r="O224" s="9">
        <v>263.15</v>
      </c>
      <c r="P224" s="9">
        <v>0</v>
      </c>
      <c r="Q224" s="9">
        <v>0</v>
      </c>
    </row>
    <row r="225" s="1" customFormat="1" ht="14.25" hidden="1" spans="1:17">
      <c r="A225" s="1" t="str">
        <f>VLOOKUP(B225,combinate!A:B,2,FALSE)</f>
        <v>Group C</v>
      </c>
      <c r="B225" s="8">
        <v>254714241197</v>
      </c>
      <c r="C225" s="9">
        <v>2026166</v>
      </c>
      <c r="D225" s="10">
        <v>46184.4369328704</v>
      </c>
      <c r="E225" s="11" t="s">
        <v>250</v>
      </c>
      <c r="F225" s="9">
        <v>21.44</v>
      </c>
      <c r="G225" s="9">
        <v>2852</v>
      </c>
      <c r="H225" s="9">
        <v>52</v>
      </c>
      <c r="I225" s="9">
        <v>2800</v>
      </c>
      <c r="J225" s="9">
        <v>8.57</v>
      </c>
      <c r="K225" s="9">
        <v>-1451</v>
      </c>
      <c r="L225" s="9">
        <v>-10.85</v>
      </c>
      <c r="M225" s="9">
        <v>-1442.43</v>
      </c>
      <c r="N225" s="9">
        <v>5.71</v>
      </c>
      <c r="O225" s="9">
        <v>760</v>
      </c>
      <c r="P225" s="9">
        <v>25.23</v>
      </c>
      <c r="Q225" s="9">
        <v>3356.1</v>
      </c>
    </row>
    <row r="226" s="1" customFormat="1" ht="14.25" hidden="1" spans="1:17">
      <c r="A226" s="1" t="str">
        <f>VLOOKUP(B226,combinate!A:B,2,FALSE)</f>
        <v>Group A</v>
      </c>
      <c r="B226" s="8">
        <v>254707829195</v>
      </c>
      <c r="C226" s="9">
        <v>3021851</v>
      </c>
      <c r="D226" s="10">
        <v>46177.0102546296</v>
      </c>
      <c r="E226" s="12" t="s">
        <v>254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  <c r="O226" s="9">
        <v>0</v>
      </c>
      <c r="P226" s="9">
        <v>0</v>
      </c>
      <c r="Q226" s="9">
        <v>0</v>
      </c>
    </row>
    <row r="227" s="1" customFormat="1" ht="14.25" hidden="1" spans="1:17">
      <c r="A227" s="1" t="str">
        <f>VLOOKUP(B227,combinate!A:B,2,FALSE)</f>
        <v>Group A</v>
      </c>
      <c r="B227" s="8">
        <v>254717222699</v>
      </c>
      <c r="C227" s="9">
        <v>4721870</v>
      </c>
      <c r="D227" s="10">
        <v>46180.5101967593</v>
      </c>
      <c r="E227" s="11" t="s">
        <v>250</v>
      </c>
      <c r="F227" s="9">
        <v>2.78</v>
      </c>
      <c r="G227" s="9">
        <v>370</v>
      </c>
      <c r="H227" s="9">
        <v>0</v>
      </c>
      <c r="I227" s="9">
        <v>370</v>
      </c>
      <c r="J227" s="9">
        <v>0</v>
      </c>
      <c r="K227" s="9">
        <v>370</v>
      </c>
      <c r="L227" s="9">
        <v>2.78</v>
      </c>
      <c r="M227" s="9">
        <v>370</v>
      </c>
      <c r="N227" s="9">
        <v>2.79</v>
      </c>
      <c r="O227" s="9">
        <v>370.5</v>
      </c>
      <c r="P227" s="9">
        <v>0</v>
      </c>
      <c r="Q227" s="9">
        <v>0</v>
      </c>
    </row>
    <row r="228" s="1" customFormat="1" ht="14.25" hidden="1" spans="1:17">
      <c r="A228" s="1" t="str">
        <f>VLOOKUP(B228,combinate!A:B,2,FALSE)</f>
        <v>Group B</v>
      </c>
      <c r="B228" s="8">
        <v>254723768567</v>
      </c>
      <c r="C228" s="9">
        <v>6267145</v>
      </c>
      <c r="D228" s="10">
        <v>46181.7344907407</v>
      </c>
      <c r="E228" s="12" t="s">
        <v>254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</row>
    <row r="229" s="1" customFormat="1" ht="14.25" hidden="1" spans="1:17">
      <c r="A229" s="1" t="str">
        <f>VLOOKUP(B229,combinate!A:B,2,FALSE)</f>
        <v>Group C</v>
      </c>
      <c r="B229" s="8">
        <v>254729377037</v>
      </c>
      <c r="C229" s="9">
        <v>9694198</v>
      </c>
      <c r="D229" s="10">
        <v>46180.2657407407</v>
      </c>
      <c r="E229" s="11" t="s">
        <v>250</v>
      </c>
      <c r="F229" s="9">
        <v>0.07</v>
      </c>
      <c r="G229" s="9">
        <v>9.74</v>
      </c>
      <c r="H229" s="9">
        <v>0</v>
      </c>
      <c r="I229" s="9">
        <v>9.74</v>
      </c>
      <c r="J229" s="9">
        <v>0</v>
      </c>
      <c r="K229" s="9">
        <v>2.47</v>
      </c>
      <c r="L229" s="9">
        <v>0.02</v>
      </c>
      <c r="M229" s="9">
        <v>2.47</v>
      </c>
      <c r="N229" s="9">
        <v>0</v>
      </c>
      <c r="O229" s="9">
        <v>0</v>
      </c>
      <c r="P229" s="9">
        <v>0</v>
      </c>
      <c r="Q229" s="9">
        <v>0</v>
      </c>
    </row>
    <row r="230" s="1" customFormat="1" ht="14.25" hidden="1" spans="1:17">
      <c r="A230" s="1" t="str">
        <f>VLOOKUP(B230,combinate!A:B,2,FALSE)</f>
        <v>Group B</v>
      </c>
      <c r="B230" s="8">
        <v>254745099697</v>
      </c>
      <c r="C230" s="9">
        <v>11698003</v>
      </c>
      <c r="D230" s="10">
        <v>46179.2072800926</v>
      </c>
      <c r="E230" s="11" t="s">
        <v>250</v>
      </c>
      <c r="F230" s="9">
        <v>39.59</v>
      </c>
      <c r="G230" s="9">
        <v>5265</v>
      </c>
      <c r="H230" s="9">
        <v>0</v>
      </c>
      <c r="I230" s="9">
        <v>5265</v>
      </c>
      <c r="J230" s="9">
        <v>0</v>
      </c>
      <c r="K230" s="9">
        <v>-161.8</v>
      </c>
      <c r="L230" s="9">
        <v>-1.22</v>
      </c>
      <c r="M230" s="9">
        <v>-161.8</v>
      </c>
      <c r="N230" s="9">
        <v>3.21</v>
      </c>
      <c r="O230" s="9">
        <v>427.5</v>
      </c>
      <c r="P230" s="9">
        <v>5.42</v>
      </c>
      <c r="Q230" s="9">
        <v>721.15</v>
      </c>
    </row>
    <row r="231" s="1" customFormat="1" ht="14.25" hidden="1" spans="1:17">
      <c r="A231" s="1" t="str">
        <f>VLOOKUP(B231,combinate!A:B,2,FALSE)</f>
        <v>Group A</v>
      </c>
      <c r="B231" s="8">
        <v>254702569649</v>
      </c>
      <c r="C231" s="9">
        <v>11930770</v>
      </c>
      <c r="D231" s="10">
        <v>46183.6995023148</v>
      </c>
      <c r="E231" s="12" t="s">
        <v>254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</row>
    <row r="232" s="1" customFormat="1" ht="14.25" hidden="1" spans="1:17">
      <c r="A232" s="1" t="str">
        <f>VLOOKUP(B232,combinate!A:B,2,FALSE)</f>
        <v>Group C</v>
      </c>
      <c r="B232" s="8">
        <v>254743793450</v>
      </c>
      <c r="C232" s="9">
        <v>12404157</v>
      </c>
      <c r="D232" s="10">
        <v>46162.7956712963</v>
      </c>
      <c r="E232" s="12" t="s">
        <v>254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</row>
    <row r="233" s="1" customFormat="1" ht="14.25" hidden="1" spans="1:17">
      <c r="A233" s="1" t="str">
        <f>VLOOKUP(B233,combinate!A:B,2,FALSE)</f>
        <v>Group B</v>
      </c>
      <c r="B233" s="8">
        <v>254791831059</v>
      </c>
      <c r="C233" s="9">
        <v>12631773</v>
      </c>
      <c r="D233" s="10">
        <v>46183.6396412037</v>
      </c>
      <c r="E233" s="12" t="s">
        <v>254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0</v>
      </c>
    </row>
    <row r="234" s="1" customFormat="1" ht="14.25" hidden="1" spans="1:17">
      <c r="A234" s="1" t="str">
        <f>VLOOKUP(B234,combinate!A:B,2,FALSE)</f>
        <v>Group B</v>
      </c>
      <c r="B234" s="8">
        <v>254725145245</v>
      </c>
      <c r="C234" s="9">
        <v>12715854</v>
      </c>
      <c r="D234" s="10">
        <v>46161.5118402778</v>
      </c>
      <c r="E234" s="12" t="s">
        <v>254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</row>
    <row r="235" s="1" customFormat="1" ht="14.25" hidden="1" spans="1:17">
      <c r="A235" s="1" t="str">
        <f>VLOOKUP(B235,combinate!A:B,2,FALSE)</f>
        <v>Group C</v>
      </c>
      <c r="B235" s="8">
        <v>254708525873</v>
      </c>
      <c r="C235" s="9">
        <v>13042248</v>
      </c>
      <c r="D235" s="10">
        <v>46184.357662037</v>
      </c>
      <c r="E235" s="11" t="s">
        <v>250</v>
      </c>
      <c r="F235" s="9">
        <v>58.82</v>
      </c>
      <c r="G235" s="9">
        <v>7822.9</v>
      </c>
      <c r="H235" s="9">
        <v>0</v>
      </c>
      <c r="I235" s="9">
        <v>7822.9</v>
      </c>
      <c r="J235" s="9">
        <v>0</v>
      </c>
      <c r="K235" s="9">
        <v>-945.1</v>
      </c>
      <c r="L235" s="9">
        <v>-7.11</v>
      </c>
      <c r="M235" s="9">
        <v>-945.1</v>
      </c>
      <c r="N235" s="9">
        <v>2.36</v>
      </c>
      <c r="O235" s="9">
        <v>313.5</v>
      </c>
      <c r="P235" s="9">
        <v>45.11</v>
      </c>
      <c r="Q235" s="9">
        <v>6000</v>
      </c>
    </row>
    <row r="236" s="1" customFormat="1" ht="14.25" hidden="1" spans="1:17">
      <c r="A236" s="1" t="str">
        <f>VLOOKUP(B236,combinate!A:B,2,FALSE)</f>
        <v>Group C</v>
      </c>
      <c r="B236" s="8">
        <v>254702852061</v>
      </c>
      <c r="C236" s="9">
        <v>13429247</v>
      </c>
      <c r="D236" s="10">
        <v>46181.5102893518</v>
      </c>
      <c r="E236" s="11" t="s">
        <v>250</v>
      </c>
      <c r="F236" s="9">
        <v>0.68</v>
      </c>
      <c r="G236" s="9">
        <v>90</v>
      </c>
      <c r="H236" s="9">
        <v>0</v>
      </c>
      <c r="I236" s="9">
        <v>90</v>
      </c>
      <c r="J236" s="9">
        <v>0</v>
      </c>
      <c r="K236" s="9">
        <v>54</v>
      </c>
      <c r="L236" s="9">
        <v>0.41</v>
      </c>
      <c r="M236" s="9">
        <v>54</v>
      </c>
      <c r="N236" s="9">
        <v>0.43</v>
      </c>
      <c r="O236" s="9">
        <v>57</v>
      </c>
      <c r="P236" s="9">
        <v>0</v>
      </c>
      <c r="Q236" s="9">
        <v>0</v>
      </c>
    </row>
    <row r="237" s="1" customFormat="1" ht="14.25" hidden="1" spans="1:17">
      <c r="A237" s="1" t="str">
        <f>VLOOKUP(B237,combinate!A:B,2,FALSE)</f>
        <v>Group C</v>
      </c>
      <c r="B237" s="8">
        <v>254706649300</v>
      </c>
      <c r="C237" s="9">
        <v>13631238</v>
      </c>
      <c r="D237" s="10">
        <v>46182.6621412037</v>
      </c>
      <c r="E237" s="11" t="s">
        <v>250</v>
      </c>
      <c r="F237" s="9">
        <v>0.02</v>
      </c>
      <c r="G237" s="9">
        <v>2.55</v>
      </c>
      <c r="H237" s="9">
        <v>0</v>
      </c>
      <c r="I237" s="9">
        <v>2.55</v>
      </c>
      <c r="J237" s="9">
        <v>0</v>
      </c>
      <c r="K237" s="9">
        <v>2.55</v>
      </c>
      <c r="L237" s="9">
        <v>0.02</v>
      </c>
      <c r="M237" s="9">
        <v>2.55</v>
      </c>
      <c r="N237" s="9">
        <v>0.71</v>
      </c>
      <c r="O237" s="9">
        <v>95</v>
      </c>
      <c r="P237" s="9">
        <v>0</v>
      </c>
      <c r="Q237" s="9">
        <v>0</v>
      </c>
    </row>
    <row r="238" s="1" customFormat="1" ht="14.25" hidden="1" spans="1:17">
      <c r="A238" s="1" t="str">
        <f>VLOOKUP(B238,combinate!A:B,2,FALSE)</f>
        <v>Group C</v>
      </c>
      <c r="B238" s="8">
        <v>254716885985</v>
      </c>
      <c r="C238" s="9">
        <v>13635548</v>
      </c>
      <c r="D238" s="10">
        <v>46183.7050578704</v>
      </c>
      <c r="E238" s="12" t="s">
        <v>254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</row>
    <row r="239" s="1" customFormat="1" ht="14.25" hidden="1" spans="1:17">
      <c r="A239" s="1" t="str">
        <f>VLOOKUP(B239,combinate!A:B,2,FALSE)</f>
        <v>Group A</v>
      </c>
      <c r="B239" s="8">
        <v>254792495599</v>
      </c>
      <c r="C239" s="9">
        <v>14221742</v>
      </c>
      <c r="D239" s="10">
        <v>46160.8398958333</v>
      </c>
      <c r="E239" s="12" t="s">
        <v>254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</row>
    <row r="240" s="1" customFormat="1" ht="14.25" hidden="1" spans="1:17">
      <c r="A240" s="1" t="str">
        <f>VLOOKUP(B240,combinate!A:B,2,FALSE)</f>
        <v>Group C</v>
      </c>
      <c r="B240" s="8">
        <v>254716051052</v>
      </c>
      <c r="C240" s="9">
        <v>15246959</v>
      </c>
      <c r="D240" s="10">
        <v>46181.8554398148</v>
      </c>
      <c r="E240" s="11" t="s">
        <v>250</v>
      </c>
      <c r="F240" s="9">
        <v>17.82</v>
      </c>
      <c r="G240" s="9">
        <v>2370</v>
      </c>
      <c r="H240" s="9">
        <v>0</v>
      </c>
      <c r="I240" s="9">
        <v>2370</v>
      </c>
      <c r="J240" s="9">
        <v>0</v>
      </c>
      <c r="K240" s="9">
        <v>452.3</v>
      </c>
      <c r="L240" s="9">
        <v>3.4</v>
      </c>
      <c r="M240" s="9">
        <v>452.3</v>
      </c>
      <c r="N240" s="9">
        <v>3.57</v>
      </c>
      <c r="O240" s="9">
        <v>475</v>
      </c>
      <c r="P240" s="9">
        <v>0</v>
      </c>
      <c r="Q240" s="9">
        <v>0</v>
      </c>
    </row>
    <row r="241" s="1" customFormat="1" ht="14.25" hidden="1" spans="1:17">
      <c r="A241" s="1" t="str">
        <f>VLOOKUP(B241,combinate!A:B,2,FALSE)</f>
        <v>Group C</v>
      </c>
      <c r="B241" s="8">
        <v>254746375146</v>
      </c>
      <c r="C241" s="9">
        <v>17578427</v>
      </c>
      <c r="D241" s="10">
        <v>46183.4410069444</v>
      </c>
      <c r="E241" s="11" t="s">
        <v>250</v>
      </c>
      <c r="F241" s="9">
        <v>1.35</v>
      </c>
      <c r="G241" s="9">
        <v>179.81</v>
      </c>
      <c r="H241" s="9">
        <v>0</v>
      </c>
      <c r="I241" s="9">
        <v>179.81</v>
      </c>
      <c r="J241" s="9">
        <v>0</v>
      </c>
      <c r="K241" s="9">
        <v>48.13</v>
      </c>
      <c r="L241" s="9">
        <v>0.36</v>
      </c>
      <c r="M241" s="9">
        <v>48.13</v>
      </c>
      <c r="N241" s="9">
        <v>0.36</v>
      </c>
      <c r="O241" s="9">
        <v>47.5</v>
      </c>
      <c r="P241" s="9">
        <v>0</v>
      </c>
      <c r="Q241" s="9">
        <v>0</v>
      </c>
    </row>
    <row r="242" s="1" customFormat="1" ht="14.25" hidden="1" spans="1:17">
      <c r="A242" s="1" t="str">
        <f>VLOOKUP(B242,combinate!A:B,2,FALSE)</f>
        <v>Group C</v>
      </c>
      <c r="B242" s="8">
        <v>254724063616</v>
      </c>
      <c r="C242" s="9">
        <v>18684898</v>
      </c>
      <c r="D242" s="10">
        <v>46182.8353935185</v>
      </c>
      <c r="E242" s="11" t="s">
        <v>250</v>
      </c>
      <c r="F242" s="9">
        <v>82.66</v>
      </c>
      <c r="G242" s="9">
        <v>10994</v>
      </c>
      <c r="H242" s="9">
        <v>0</v>
      </c>
      <c r="I242" s="9">
        <v>10994</v>
      </c>
      <c r="J242" s="9">
        <v>0</v>
      </c>
      <c r="K242" s="9">
        <v>162.13</v>
      </c>
      <c r="L242" s="9">
        <v>1.22</v>
      </c>
      <c r="M242" s="9">
        <v>162.13</v>
      </c>
      <c r="N242" s="9">
        <v>7.91</v>
      </c>
      <c r="O242" s="9">
        <v>1051.65</v>
      </c>
      <c r="P242" s="9">
        <v>8.43</v>
      </c>
      <c r="Q242" s="9">
        <v>1121.61</v>
      </c>
    </row>
    <row r="243" s="1" customFormat="1" ht="14.25" hidden="1" spans="1:17">
      <c r="A243" s="1" t="str">
        <f>VLOOKUP(B243,combinate!A:B,2,FALSE)</f>
        <v>Group B</v>
      </c>
      <c r="B243" s="8">
        <v>254115604060</v>
      </c>
      <c r="C243" s="9">
        <v>18904233</v>
      </c>
      <c r="D243" s="10">
        <v>46183.5375925926</v>
      </c>
      <c r="E243" s="11" t="s">
        <v>250</v>
      </c>
      <c r="F243" s="9">
        <v>0.71</v>
      </c>
      <c r="G243" s="9">
        <v>95</v>
      </c>
      <c r="H243" s="9">
        <v>95</v>
      </c>
      <c r="I243" s="9">
        <v>0</v>
      </c>
      <c r="J243" s="9">
        <v>95</v>
      </c>
      <c r="K243" s="9">
        <v>0</v>
      </c>
      <c r="L243" s="9">
        <v>0.71</v>
      </c>
      <c r="M243" s="9">
        <v>95</v>
      </c>
      <c r="N243" s="9">
        <v>0.71</v>
      </c>
      <c r="O243" s="9">
        <v>95</v>
      </c>
      <c r="P243" s="9">
        <v>0</v>
      </c>
      <c r="Q243" s="9">
        <v>0</v>
      </c>
    </row>
    <row r="244" s="1" customFormat="1" ht="14.25" hidden="1" spans="1:17">
      <c r="A244" s="1" t="str">
        <f>VLOOKUP(B244,combinate!A:B,2,FALSE)</f>
        <v>Group C</v>
      </c>
      <c r="B244" s="8">
        <v>254792568727</v>
      </c>
      <c r="C244" s="9">
        <v>18989997</v>
      </c>
      <c r="D244" s="10">
        <v>46176.8135648148</v>
      </c>
      <c r="E244" s="12" t="s">
        <v>254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</row>
    <row r="245" s="1" customFormat="1" ht="14.25" hidden="1" spans="1:17">
      <c r="A245" s="1" t="str">
        <f>VLOOKUP(B245,combinate!A:B,2,FALSE)</f>
        <v>Group C</v>
      </c>
      <c r="B245" s="8">
        <v>254702338333</v>
      </c>
      <c r="C245" s="9">
        <v>19165987</v>
      </c>
      <c r="D245" s="10">
        <v>46163.5659259259</v>
      </c>
      <c r="E245" s="12" t="s">
        <v>254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</row>
    <row r="246" s="1" customFormat="1" ht="14.25" hidden="1" spans="1:17">
      <c r="A246" s="1" t="str">
        <f>VLOOKUP(B246,combinate!A:B,2,FALSE)</f>
        <v>Group A</v>
      </c>
      <c r="B246" s="8">
        <v>254711541119</v>
      </c>
      <c r="C246" s="9">
        <v>19469131</v>
      </c>
      <c r="D246" s="10">
        <v>46166.9180208333</v>
      </c>
      <c r="E246" s="12" t="s">
        <v>254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</row>
    <row r="247" s="1" customFormat="1" ht="14.25" hidden="1" spans="1:17">
      <c r="A247" s="1" t="str">
        <f>VLOOKUP(B247,combinate!A:B,2,FALSE)</f>
        <v>Group A</v>
      </c>
      <c r="B247" s="8">
        <v>254712905066</v>
      </c>
      <c r="C247" s="9">
        <v>19698011</v>
      </c>
      <c r="D247" s="10">
        <v>46181.401875</v>
      </c>
      <c r="E247" s="11" t="s">
        <v>250</v>
      </c>
      <c r="F247" s="9">
        <v>20.71</v>
      </c>
      <c r="G247" s="9">
        <v>2754</v>
      </c>
      <c r="H247" s="9">
        <v>105</v>
      </c>
      <c r="I247" s="9">
        <v>2649</v>
      </c>
      <c r="J247" s="9">
        <v>105</v>
      </c>
      <c r="K247" s="9">
        <v>-11.53</v>
      </c>
      <c r="L247" s="9">
        <v>0.7</v>
      </c>
      <c r="M247" s="9">
        <v>93.47</v>
      </c>
      <c r="N247" s="9">
        <v>0.71</v>
      </c>
      <c r="O247" s="9">
        <v>94.05</v>
      </c>
      <c r="P247" s="9">
        <v>0</v>
      </c>
      <c r="Q247" s="9">
        <v>0</v>
      </c>
    </row>
    <row r="248" s="1" customFormat="1" ht="14.25" hidden="1" spans="1:17">
      <c r="A248" s="1" t="str">
        <f>VLOOKUP(B248,combinate!A:B,2,FALSE)</f>
        <v>Group C</v>
      </c>
      <c r="B248" s="8">
        <v>254729353693</v>
      </c>
      <c r="C248" s="9">
        <v>20698447</v>
      </c>
      <c r="D248" s="10">
        <v>46184.2956712963</v>
      </c>
      <c r="E248" s="12" t="s">
        <v>254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</row>
    <row r="249" s="1" customFormat="1" ht="14.25" hidden="1" spans="1:17">
      <c r="A249" s="1" t="str">
        <f>VLOOKUP(B249,combinate!A:B,2,FALSE)</f>
        <v>Group B</v>
      </c>
      <c r="B249" s="8">
        <v>254716949656</v>
      </c>
      <c r="C249" s="9">
        <v>136643</v>
      </c>
      <c r="D249" s="10">
        <v>46182.6165046296</v>
      </c>
      <c r="E249" s="11" t="s">
        <v>250</v>
      </c>
      <c r="F249" s="9">
        <v>156.11</v>
      </c>
      <c r="G249" s="9">
        <v>20762</v>
      </c>
      <c r="H249" s="9">
        <v>0</v>
      </c>
      <c r="I249" s="9">
        <v>20762</v>
      </c>
      <c r="J249" s="9">
        <v>0</v>
      </c>
      <c r="K249" s="9">
        <v>257</v>
      </c>
      <c r="L249" s="9">
        <v>1.93</v>
      </c>
      <c r="M249" s="9">
        <v>257</v>
      </c>
      <c r="N249" s="9">
        <v>1.71</v>
      </c>
      <c r="O249" s="9">
        <v>228</v>
      </c>
      <c r="P249" s="9">
        <v>7.52</v>
      </c>
      <c r="Q249" s="9">
        <v>1000</v>
      </c>
    </row>
    <row r="250" s="1" customFormat="1" ht="14.25" hidden="1" spans="1:17">
      <c r="A250" s="1" t="str">
        <f>VLOOKUP(B250,combinate!A:B,2,FALSE)</f>
        <v>Group C</v>
      </c>
      <c r="B250" s="8">
        <v>254724647993</v>
      </c>
      <c r="C250" s="9">
        <v>155346</v>
      </c>
      <c r="D250" s="10">
        <v>46183.5662615741</v>
      </c>
      <c r="E250" s="12" t="s">
        <v>254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</row>
    <row r="251" s="1" customFormat="1" ht="14.25" hidden="1" spans="1:17">
      <c r="A251" s="1" t="str">
        <f>VLOOKUP(B251,combinate!A:B,2,FALSE)</f>
        <v>Group A</v>
      </c>
      <c r="B251" s="8">
        <v>254768286644</v>
      </c>
      <c r="C251" s="9">
        <v>180792</v>
      </c>
      <c r="D251" s="10">
        <v>46178.8306944444</v>
      </c>
      <c r="E251" s="12" t="s">
        <v>254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</row>
    <row r="252" s="1" customFormat="1" ht="14.25" hidden="1" spans="1:17">
      <c r="A252" s="1" t="str">
        <f>VLOOKUP(B252,combinate!A:B,2,FALSE)</f>
        <v>Group A</v>
      </c>
      <c r="B252" s="8">
        <v>254722925809</v>
      </c>
      <c r="C252" s="9">
        <v>3272020</v>
      </c>
      <c r="D252" s="10">
        <v>46166.5790277778</v>
      </c>
      <c r="E252" s="12" t="s">
        <v>254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</row>
    <row r="253" s="1" customFormat="1" ht="14.25" hidden="1" spans="1:17">
      <c r="A253" s="1" t="str">
        <f>VLOOKUP(B253,combinate!A:B,2,FALSE)</f>
        <v>Group A</v>
      </c>
      <c r="B253" s="8">
        <v>254703581163</v>
      </c>
      <c r="C253" s="9">
        <v>8093860</v>
      </c>
      <c r="D253" s="10">
        <v>46160.7042476852</v>
      </c>
      <c r="E253" s="12" t="s">
        <v>254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</row>
    <row r="254" s="1" customFormat="1" ht="14.25" hidden="1" spans="1:17">
      <c r="A254" s="1" t="str">
        <f>VLOOKUP(B254,combinate!A:B,2,FALSE)</f>
        <v>Group C</v>
      </c>
      <c r="B254" s="8">
        <v>254796736840</v>
      </c>
      <c r="C254" s="9">
        <v>9020047</v>
      </c>
      <c r="D254" s="10">
        <v>46166.6180208333</v>
      </c>
      <c r="E254" s="12" t="s">
        <v>254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</row>
    <row r="255" s="1" customFormat="1" ht="14.25" hidden="1" spans="1:17">
      <c r="A255" s="1" t="str">
        <f>VLOOKUP(B255,combinate!A:B,2,FALSE)</f>
        <v>Group C</v>
      </c>
      <c r="B255" s="8">
        <v>254722607267</v>
      </c>
      <c r="C255" s="9">
        <v>10532186</v>
      </c>
      <c r="D255" s="10">
        <v>46183.5036689815</v>
      </c>
      <c r="E255" s="12" t="s">
        <v>254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</row>
    <row r="256" s="1" customFormat="1" ht="14.25" hidden="1" spans="1:17">
      <c r="A256" s="1" t="str">
        <f>VLOOKUP(B256,combinate!A:B,2,FALSE)</f>
        <v>Group C</v>
      </c>
      <c r="B256" s="8">
        <v>254759734083</v>
      </c>
      <c r="C256" s="9">
        <v>11139746</v>
      </c>
      <c r="D256" s="10">
        <v>46177.688125</v>
      </c>
      <c r="E256" s="12" t="s">
        <v>254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</row>
    <row r="257" s="1" customFormat="1" ht="14.25" hidden="1" spans="1:17">
      <c r="A257" s="1" t="str">
        <f>VLOOKUP(B257,combinate!A:B,2,FALSE)</f>
        <v>Group C</v>
      </c>
      <c r="B257" s="8">
        <v>254759515564</v>
      </c>
      <c r="C257" s="9">
        <v>12855236</v>
      </c>
      <c r="D257" s="10">
        <v>46181.8446180556</v>
      </c>
      <c r="E257" s="11" t="s">
        <v>250</v>
      </c>
      <c r="F257" s="9">
        <v>68.83</v>
      </c>
      <c r="G257" s="9">
        <v>9155</v>
      </c>
      <c r="H257" s="9">
        <v>15</v>
      </c>
      <c r="I257" s="9">
        <v>9140</v>
      </c>
      <c r="J257" s="9">
        <v>15</v>
      </c>
      <c r="K257" s="9">
        <v>4252.8</v>
      </c>
      <c r="L257" s="9">
        <v>32.09</v>
      </c>
      <c r="M257" s="9">
        <v>4267.8</v>
      </c>
      <c r="N257" s="9">
        <v>28.57</v>
      </c>
      <c r="O257" s="9">
        <v>3800</v>
      </c>
      <c r="P257" s="9">
        <v>15.04</v>
      </c>
      <c r="Q257" s="9">
        <v>2000</v>
      </c>
    </row>
    <row r="258" s="1" customFormat="1" ht="14.25" hidden="1" spans="1:17">
      <c r="A258" s="1" t="str">
        <f>VLOOKUP(B258,combinate!A:B,2,FALSE)</f>
        <v>Group A</v>
      </c>
      <c r="B258" s="8">
        <v>254790760108</v>
      </c>
      <c r="C258" s="9">
        <v>13147420</v>
      </c>
      <c r="D258" s="10">
        <v>46163.3762615741</v>
      </c>
      <c r="E258" s="12" t="s">
        <v>254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</row>
    <row r="259" s="1" customFormat="1" ht="14.25" hidden="1" spans="1:17">
      <c r="A259" s="1" t="str">
        <f>VLOOKUP(B259,combinate!A:B,2,FALSE)</f>
        <v>Group C</v>
      </c>
      <c r="B259" s="8">
        <v>254723352202</v>
      </c>
      <c r="C259" s="9">
        <v>13374659</v>
      </c>
      <c r="D259" s="10">
        <v>46179.6396064815</v>
      </c>
      <c r="E259" s="11" t="s">
        <v>250</v>
      </c>
      <c r="F259" s="9">
        <v>6.19</v>
      </c>
      <c r="G259" s="9">
        <v>823.81</v>
      </c>
      <c r="H259" s="9">
        <v>0</v>
      </c>
      <c r="I259" s="9">
        <v>823.81</v>
      </c>
      <c r="J259" s="9">
        <v>0</v>
      </c>
      <c r="K259" s="9">
        <v>307.5</v>
      </c>
      <c r="L259" s="9">
        <v>2.31</v>
      </c>
      <c r="M259" s="9">
        <v>307.5</v>
      </c>
      <c r="N259" s="9">
        <v>2.24</v>
      </c>
      <c r="O259" s="9">
        <v>298.3</v>
      </c>
      <c r="P259" s="9">
        <v>0</v>
      </c>
      <c r="Q259" s="9">
        <v>0</v>
      </c>
    </row>
    <row r="260" s="1" customFormat="1" ht="14.25" hidden="1" spans="1:17">
      <c r="A260" s="1" t="str">
        <f>VLOOKUP(B260,combinate!A:B,2,FALSE)</f>
        <v>Group C</v>
      </c>
      <c r="B260" s="8">
        <v>254719333455</v>
      </c>
      <c r="C260" s="9">
        <v>13574627</v>
      </c>
      <c r="D260" s="10">
        <v>46163.7399305556</v>
      </c>
      <c r="E260" s="12" t="s">
        <v>254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</row>
    <row r="261" s="1" customFormat="1" ht="14.25" hidden="1" spans="1:17">
      <c r="A261" s="1" t="str">
        <f>VLOOKUP(B261,combinate!A:B,2,FALSE)</f>
        <v>Group C</v>
      </c>
      <c r="B261" s="8">
        <v>254713968708</v>
      </c>
      <c r="C261" s="9">
        <v>13987176</v>
      </c>
      <c r="D261" s="10">
        <v>46184.3625694444</v>
      </c>
      <c r="E261" s="11" t="s">
        <v>250</v>
      </c>
      <c r="F261" s="9">
        <v>174.03</v>
      </c>
      <c r="G261" s="9">
        <v>23145.75</v>
      </c>
      <c r="H261" s="9">
        <v>2</v>
      </c>
      <c r="I261" s="9">
        <v>23143.75</v>
      </c>
      <c r="J261" s="9">
        <v>2</v>
      </c>
      <c r="K261" s="9">
        <v>2265.15</v>
      </c>
      <c r="L261" s="9">
        <v>17.05</v>
      </c>
      <c r="M261" s="9">
        <v>2267.15</v>
      </c>
      <c r="N261" s="9">
        <v>28.96</v>
      </c>
      <c r="O261" s="9">
        <v>3852.25</v>
      </c>
      <c r="P261" s="9">
        <v>16.84</v>
      </c>
      <c r="Q261" s="9">
        <v>2239.6</v>
      </c>
    </row>
    <row r="262" s="1" customFormat="1" ht="14.25" hidden="1" spans="1:17">
      <c r="A262" s="1" t="str">
        <f>VLOOKUP(B262,combinate!A:B,2,FALSE)</f>
        <v>Group C</v>
      </c>
      <c r="B262" s="8">
        <v>254793964079</v>
      </c>
      <c r="C262" s="9">
        <v>14667218</v>
      </c>
      <c r="D262" s="10">
        <v>46161.6733796296</v>
      </c>
      <c r="E262" s="12" t="s">
        <v>254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</row>
    <row r="263" s="1" customFormat="1" ht="14.25" hidden="1" spans="1:17">
      <c r="A263" s="1" t="str">
        <f>VLOOKUP(B263,combinate!A:B,2,FALSE)</f>
        <v>Group C</v>
      </c>
      <c r="B263" s="8">
        <v>254114737055</v>
      </c>
      <c r="C263" s="9">
        <v>14748248</v>
      </c>
      <c r="D263" s="10">
        <v>46184.2371527778</v>
      </c>
      <c r="E263" s="11" t="s">
        <v>250</v>
      </c>
      <c r="F263" s="9">
        <v>79.5</v>
      </c>
      <c r="G263" s="9">
        <v>10574</v>
      </c>
      <c r="H263" s="9">
        <v>178</v>
      </c>
      <c r="I263" s="9">
        <v>10396</v>
      </c>
      <c r="J263" s="9">
        <v>178</v>
      </c>
      <c r="K263" s="9">
        <v>-140.36</v>
      </c>
      <c r="L263" s="9">
        <v>0.28</v>
      </c>
      <c r="M263" s="9">
        <v>37.64</v>
      </c>
      <c r="N263" s="9">
        <v>21.07</v>
      </c>
      <c r="O263" s="9">
        <v>2802.5</v>
      </c>
      <c r="P263" s="9">
        <v>26.32</v>
      </c>
      <c r="Q263" s="9">
        <v>3500</v>
      </c>
    </row>
    <row r="264" s="1" customFormat="1" ht="14.25" hidden="1" spans="1:17">
      <c r="A264" s="1" t="str">
        <f>VLOOKUP(B264,combinate!A:B,2,FALSE)</f>
        <v>Group A</v>
      </c>
      <c r="B264" s="8">
        <v>254720220843</v>
      </c>
      <c r="C264" s="9">
        <v>15703530</v>
      </c>
      <c r="D264" s="10">
        <v>46183.7987152778</v>
      </c>
      <c r="E264" s="11" t="s">
        <v>250</v>
      </c>
      <c r="F264" s="9">
        <v>91.07</v>
      </c>
      <c r="G264" s="9">
        <v>12112</v>
      </c>
      <c r="H264" s="9">
        <v>0</v>
      </c>
      <c r="I264" s="9">
        <v>12112</v>
      </c>
      <c r="J264" s="9">
        <v>0</v>
      </c>
      <c r="K264" s="9">
        <v>3992.8</v>
      </c>
      <c r="L264" s="9">
        <v>30.02</v>
      </c>
      <c r="M264" s="9">
        <v>3992.8</v>
      </c>
      <c r="N264" s="9">
        <v>30</v>
      </c>
      <c r="O264" s="9">
        <v>3990</v>
      </c>
      <c r="P264" s="9">
        <v>0</v>
      </c>
      <c r="Q264" s="9">
        <v>0</v>
      </c>
    </row>
    <row r="265" s="1" customFormat="1" ht="14.25" hidden="1" spans="1:17">
      <c r="A265" s="1" t="str">
        <f>VLOOKUP(B265,combinate!A:B,2,FALSE)</f>
        <v>Group C</v>
      </c>
      <c r="B265" s="8">
        <v>254725697311</v>
      </c>
      <c r="C265" s="9">
        <v>15831728</v>
      </c>
      <c r="D265" s="10">
        <v>46180.7654513889</v>
      </c>
      <c r="E265" s="11" t="s">
        <v>250</v>
      </c>
      <c r="F265" s="9">
        <v>1.27</v>
      </c>
      <c r="G265" s="9">
        <v>168.5</v>
      </c>
      <c r="H265" s="9">
        <v>140</v>
      </c>
      <c r="I265" s="9">
        <v>28.5</v>
      </c>
      <c r="J265" s="9">
        <v>66.45</v>
      </c>
      <c r="K265" s="9">
        <v>28.5</v>
      </c>
      <c r="L265" s="9">
        <v>0.71</v>
      </c>
      <c r="M265" s="9">
        <v>94.95</v>
      </c>
      <c r="N265" s="9">
        <v>0.71</v>
      </c>
      <c r="O265" s="9">
        <v>95</v>
      </c>
      <c r="P265" s="9">
        <v>0</v>
      </c>
      <c r="Q265" s="9">
        <v>0</v>
      </c>
    </row>
    <row r="266" s="1" customFormat="1" ht="14.25" hidden="1" spans="1:17">
      <c r="A266" s="1" t="str">
        <f>VLOOKUP(B266,combinate!A:B,2,FALSE)</f>
        <v>Group C</v>
      </c>
      <c r="B266" s="8">
        <v>254707200525</v>
      </c>
      <c r="C266" s="9">
        <v>16742578</v>
      </c>
      <c r="D266" s="10">
        <v>46162.7829166667</v>
      </c>
      <c r="E266" s="12" t="s">
        <v>254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0</v>
      </c>
    </row>
    <row r="267" s="1" customFormat="1" ht="14.25" hidden="1" spans="1:17">
      <c r="A267" s="1" t="str">
        <f>VLOOKUP(B267,combinate!A:B,2,FALSE)</f>
        <v>Group C</v>
      </c>
      <c r="B267" s="8">
        <v>254702723630</v>
      </c>
      <c r="C267" s="9">
        <v>16937348</v>
      </c>
      <c r="D267" s="10">
        <v>46183.8892824074</v>
      </c>
      <c r="E267" s="11" t="s">
        <v>250</v>
      </c>
      <c r="F267" s="9">
        <v>6.92</v>
      </c>
      <c r="G267" s="9">
        <v>920</v>
      </c>
      <c r="H267" s="9">
        <v>0</v>
      </c>
      <c r="I267" s="9">
        <v>920</v>
      </c>
      <c r="J267" s="9">
        <v>0</v>
      </c>
      <c r="K267" s="9">
        <v>-180</v>
      </c>
      <c r="L267" s="9">
        <v>-1.35</v>
      </c>
      <c r="M267" s="9">
        <v>-180</v>
      </c>
      <c r="N267" s="9">
        <v>4.64</v>
      </c>
      <c r="O267" s="9">
        <v>617.5</v>
      </c>
      <c r="P267" s="9">
        <v>10.41</v>
      </c>
      <c r="Q267" s="9">
        <v>1384.99</v>
      </c>
    </row>
    <row r="268" s="1" customFormat="1" ht="14.25" hidden="1" spans="1:17">
      <c r="A268" s="1" t="str">
        <f>VLOOKUP(B268,combinate!A:B,2,FALSE)</f>
        <v>Group A</v>
      </c>
      <c r="B268" s="8">
        <v>254790886261</v>
      </c>
      <c r="C268" s="9">
        <v>16963612</v>
      </c>
      <c r="D268" s="10">
        <v>46181.6015740741</v>
      </c>
      <c r="E268" s="12" t="s">
        <v>254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9">
        <v>0</v>
      </c>
      <c r="Q268" s="9">
        <v>0</v>
      </c>
    </row>
    <row r="269" s="1" customFormat="1" ht="14.25" hidden="1" spans="1:17">
      <c r="A269" s="1" t="str">
        <f>VLOOKUP(B269,combinate!A:B,2,FALSE)</f>
        <v>Group C</v>
      </c>
      <c r="B269" s="8">
        <v>254728324788</v>
      </c>
      <c r="C269" s="9">
        <v>18080549</v>
      </c>
      <c r="D269" s="10">
        <v>46160.0569560185</v>
      </c>
      <c r="E269" s="12" t="s">
        <v>254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</row>
    <row r="270" s="1" customFormat="1" ht="14.25" hidden="1" spans="1:17">
      <c r="A270" s="1" t="str">
        <f>VLOOKUP(B270,combinate!A:B,2,FALSE)</f>
        <v>Group B</v>
      </c>
      <c r="B270" s="8">
        <v>254726866965</v>
      </c>
      <c r="C270" s="9">
        <v>19281053</v>
      </c>
      <c r="D270" s="10">
        <v>46179.7505439815</v>
      </c>
      <c r="E270" s="11" t="s">
        <v>250</v>
      </c>
      <c r="F270" s="9">
        <v>5.91</v>
      </c>
      <c r="G270" s="9">
        <v>786</v>
      </c>
      <c r="H270" s="9">
        <v>0</v>
      </c>
      <c r="I270" s="9">
        <v>786</v>
      </c>
      <c r="J270" s="9">
        <v>0</v>
      </c>
      <c r="K270" s="9">
        <v>93.6</v>
      </c>
      <c r="L270" s="9">
        <v>0.7</v>
      </c>
      <c r="M270" s="9">
        <v>93.6</v>
      </c>
      <c r="N270" s="9">
        <v>0.71</v>
      </c>
      <c r="O270" s="9">
        <v>95</v>
      </c>
      <c r="P270" s="9">
        <v>0</v>
      </c>
      <c r="Q270" s="9">
        <v>0</v>
      </c>
    </row>
    <row r="271" s="1" customFormat="1" ht="14.25" hidden="1" spans="1:17">
      <c r="A271" s="1" t="str">
        <f>VLOOKUP(B271,combinate!A:B,2,FALSE)</f>
        <v>Group A</v>
      </c>
      <c r="B271" s="8">
        <v>254119283097</v>
      </c>
      <c r="C271" s="9">
        <v>20485172</v>
      </c>
      <c r="D271" s="10">
        <v>46162.467962963</v>
      </c>
      <c r="E271" s="12" t="s">
        <v>254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</row>
    <row r="272" s="1" customFormat="1" ht="14.25" hidden="1" spans="1:17">
      <c r="A272" s="1" t="str">
        <f>VLOOKUP(B272,combinate!A:B,2,FALSE)</f>
        <v>Group A</v>
      </c>
      <c r="B272" s="8">
        <v>254721217410</v>
      </c>
      <c r="C272" s="9">
        <v>20744481</v>
      </c>
      <c r="D272" s="10">
        <v>46181.2987731481</v>
      </c>
      <c r="E272" s="12" t="s">
        <v>254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</row>
    <row r="273" s="1" customFormat="1" ht="14.25" hidden="1" spans="1:17">
      <c r="A273" s="1" t="str">
        <f>VLOOKUP(B273,combinate!A:B,2,FALSE)</f>
        <v>Group A</v>
      </c>
      <c r="B273" s="8">
        <v>254757917406</v>
      </c>
      <c r="C273" s="9">
        <v>28640</v>
      </c>
      <c r="D273" s="10">
        <v>46183.5678240741</v>
      </c>
      <c r="E273" s="11" t="s">
        <v>250</v>
      </c>
      <c r="F273" s="9">
        <v>34.57</v>
      </c>
      <c r="G273" s="9">
        <v>4598</v>
      </c>
      <c r="H273" s="9">
        <v>0</v>
      </c>
      <c r="I273" s="9">
        <v>4598</v>
      </c>
      <c r="J273" s="9">
        <v>0</v>
      </c>
      <c r="K273" s="9">
        <v>-78</v>
      </c>
      <c r="L273" s="9">
        <v>-0.59</v>
      </c>
      <c r="M273" s="9">
        <v>-78</v>
      </c>
      <c r="N273" s="9">
        <v>2.57</v>
      </c>
      <c r="O273" s="9">
        <v>342</v>
      </c>
      <c r="P273" s="9">
        <v>2.9</v>
      </c>
      <c r="Q273" s="9">
        <v>385.11</v>
      </c>
    </row>
    <row r="274" s="1" customFormat="1" ht="14.25" hidden="1" spans="1:17">
      <c r="A274" s="1" t="str">
        <f>VLOOKUP(B274,combinate!A:B,2,FALSE)</f>
        <v>Group C</v>
      </c>
      <c r="B274" s="8">
        <v>254792542857</v>
      </c>
      <c r="C274" s="9">
        <v>670937</v>
      </c>
      <c r="D274" s="10">
        <v>46183.6851041667</v>
      </c>
      <c r="E274" s="11" t="s">
        <v>250</v>
      </c>
      <c r="F274" s="9">
        <v>88.72</v>
      </c>
      <c r="G274" s="9">
        <v>11799.69</v>
      </c>
      <c r="H274" s="9">
        <v>0</v>
      </c>
      <c r="I274" s="9">
        <v>11799.69</v>
      </c>
      <c r="J274" s="9">
        <v>0</v>
      </c>
      <c r="K274" s="9">
        <v>182.39</v>
      </c>
      <c r="L274" s="9">
        <v>1.37</v>
      </c>
      <c r="M274" s="9">
        <v>182.39</v>
      </c>
      <c r="N274" s="9">
        <v>1.37</v>
      </c>
      <c r="O274" s="9">
        <v>182.4</v>
      </c>
      <c r="P274" s="9">
        <v>0</v>
      </c>
      <c r="Q274" s="9">
        <v>0</v>
      </c>
    </row>
    <row r="275" s="1" customFormat="1" ht="14.25" hidden="1" spans="1:17">
      <c r="A275" s="1" t="str">
        <f>VLOOKUP(B275,combinate!A:B,2,FALSE)</f>
        <v>Group A</v>
      </c>
      <c r="B275" s="8">
        <v>254793055517</v>
      </c>
      <c r="C275" s="9">
        <v>1140950</v>
      </c>
      <c r="D275" s="10">
        <v>46182.3332986111</v>
      </c>
      <c r="E275" s="11" t="s">
        <v>250</v>
      </c>
      <c r="F275" s="9">
        <v>226.77</v>
      </c>
      <c r="G275" s="9">
        <v>30160</v>
      </c>
      <c r="H275" s="9">
        <v>0</v>
      </c>
      <c r="I275" s="9">
        <v>30160</v>
      </c>
      <c r="J275" s="9">
        <v>0</v>
      </c>
      <c r="K275" s="9">
        <v>4940</v>
      </c>
      <c r="L275" s="9">
        <v>37.14</v>
      </c>
      <c r="M275" s="9">
        <v>4940</v>
      </c>
      <c r="N275" s="9">
        <v>37.14</v>
      </c>
      <c r="O275" s="9">
        <v>4940</v>
      </c>
      <c r="P275" s="9">
        <v>0</v>
      </c>
      <c r="Q275" s="9">
        <v>0</v>
      </c>
    </row>
    <row r="276" s="1" customFormat="1" ht="14.25" hidden="1" spans="1:17">
      <c r="A276" s="1" t="str">
        <f>VLOOKUP(B276,combinate!A:B,2,FALSE)</f>
        <v>Group C</v>
      </c>
      <c r="B276" s="8">
        <v>254720338385</v>
      </c>
      <c r="C276" s="9">
        <v>2656548</v>
      </c>
      <c r="D276" s="10">
        <v>46180.4616435185</v>
      </c>
      <c r="E276" s="11" t="s">
        <v>250</v>
      </c>
      <c r="F276" s="9">
        <v>57.36</v>
      </c>
      <c r="G276" s="9">
        <v>7629.06</v>
      </c>
      <c r="H276" s="9">
        <v>0</v>
      </c>
      <c r="I276" s="9">
        <v>7629.06</v>
      </c>
      <c r="J276" s="9">
        <v>0</v>
      </c>
      <c r="K276" s="9">
        <v>-3792.7</v>
      </c>
      <c r="L276" s="9">
        <v>-28.52</v>
      </c>
      <c r="M276" s="9">
        <v>-3792.7</v>
      </c>
      <c r="N276" s="9">
        <v>23.34</v>
      </c>
      <c r="O276" s="9">
        <v>3104.6</v>
      </c>
      <c r="P276" s="9">
        <v>49.39</v>
      </c>
      <c r="Q276" s="9">
        <v>6568.86</v>
      </c>
    </row>
    <row r="277" s="1" customFormat="1" ht="14.25" hidden="1" spans="1:17">
      <c r="A277" s="1" t="str">
        <f>VLOOKUP(B277,combinate!A:B,2,FALSE)</f>
        <v>Group A</v>
      </c>
      <c r="B277" s="8">
        <v>254716282794</v>
      </c>
      <c r="C277" s="9">
        <v>3420571</v>
      </c>
      <c r="D277" s="10">
        <v>46166.9508796296</v>
      </c>
      <c r="E277" s="12" t="s">
        <v>254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</row>
    <row r="278" s="1" customFormat="1" ht="14.25" hidden="1" spans="1:17">
      <c r="A278" s="1" t="str">
        <f>VLOOKUP(B278,combinate!A:B,2,FALSE)</f>
        <v>Group A</v>
      </c>
      <c r="B278" s="8">
        <v>254723936569</v>
      </c>
      <c r="C278" s="9">
        <v>4979980</v>
      </c>
      <c r="D278" s="10">
        <v>46160.6693171296</v>
      </c>
      <c r="E278" s="12" t="s">
        <v>254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  <c r="O278" s="9">
        <v>0</v>
      </c>
      <c r="P278" s="9">
        <v>0</v>
      </c>
      <c r="Q278" s="9">
        <v>0</v>
      </c>
    </row>
    <row r="279" s="1" customFormat="1" ht="14.25" hidden="1" spans="1:17">
      <c r="A279" s="1" t="str">
        <f>VLOOKUP(B279,combinate!A:B,2,FALSE)</f>
        <v>Group C</v>
      </c>
      <c r="B279" s="8">
        <v>254758894643</v>
      </c>
      <c r="C279" s="9">
        <v>9189327</v>
      </c>
      <c r="D279" s="10">
        <v>46182.0402314815</v>
      </c>
      <c r="E279" s="12" t="s">
        <v>254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0</v>
      </c>
      <c r="O279" s="9">
        <v>0</v>
      </c>
      <c r="P279" s="9">
        <v>0</v>
      </c>
      <c r="Q279" s="9">
        <v>0</v>
      </c>
    </row>
    <row r="280" s="1" customFormat="1" ht="14.25" hidden="1" spans="1:17">
      <c r="A280" s="1" t="str">
        <f>VLOOKUP(B280,combinate!A:B,2,FALSE)</f>
        <v>Group C</v>
      </c>
      <c r="B280" s="8">
        <v>254725706520</v>
      </c>
      <c r="C280" s="9">
        <v>9402236</v>
      </c>
      <c r="D280" s="10">
        <v>46182.7034490741</v>
      </c>
      <c r="E280" s="11" t="s">
        <v>250</v>
      </c>
      <c r="F280" s="9">
        <v>11.62</v>
      </c>
      <c r="G280" s="9">
        <v>1546</v>
      </c>
      <c r="H280" s="9">
        <v>0</v>
      </c>
      <c r="I280" s="9">
        <v>1546</v>
      </c>
      <c r="J280" s="9">
        <v>0</v>
      </c>
      <c r="K280" s="9">
        <v>371</v>
      </c>
      <c r="L280" s="9">
        <v>2.79</v>
      </c>
      <c r="M280" s="9">
        <v>371</v>
      </c>
      <c r="N280" s="9">
        <v>2.86</v>
      </c>
      <c r="O280" s="9">
        <v>380</v>
      </c>
      <c r="P280" s="9">
        <v>0</v>
      </c>
      <c r="Q280" s="9">
        <v>0</v>
      </c>
    </row>
    <row r="281" s="1" customFormat="1" ht="14.25" hidden="1" spans="1:17">
      <c r="A281" s="1" t="str">
        <f>VLOOKUP(B281,combinate!A:B,2,FALSE)</f>
        <v>Group C</v>
      </c>
      <c r="B281" s="8">
        <v>254758320025</v>
      </c>
      <c r="C281" s="9">
        <v>9439666</v>
      </c>
      <c r="D281" s="10">
        <v>46162.6378356482</v>
      </c>
      <c r="E281" s="12" t="s">
        <v>254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</row>
    <row r="282" s="1" customFormat="1" ht="14.25" hidden="1" spans="1:17">
      <c r="A282" s="1" t="str">
        <f>VLOOKUP(B282,combinate!A:B,2,FALSE)</f>
        <v>Group B</v>
      </c>
      <c r="B282" s="8">
        <v>254707788557</v>
      </c>
      <c r="C282" s="9">
        <v>12823043</v>
      </c>
      <c r="D282" s="10">
        <v>46183.115462963</v>
      </c>
      <c r="E282" s="11" t="s">
        <v>250</v>
      </c>
      <c r="F282" s="9">
        <v>0.02</v>
      </c>
      <c r="G282" s="9">
        <v>2.1</v>
      </c>
      <c r="H282" s="9">
        <v>0</v>
      </c>
      <c r="I282" s="9">
        <v>2.1</v>
      </c>
      <c r="J282" s="9">
        <v>0</v>
      </c>
      <c r="K282" s="9">
        <v>0.7</v>
      </c>
      <c r="L282" s="9">
        <v>0.01</v>
      </c>
      <c r="M282" s="9">
        <v>0.7</v>
      </c>
      <c r="N282" s="9">
        <v>0</v>
      </c>
      <c r="O282" s="9">
        <v>0</v>
      </c>
      <c r="P282" s="9">
        <v>0</v>
      </c>
      <c r="Q282" s="9">
        <v>0</v>
      </c>
    </row>
    <row r="283" s="1" customFormat="1" ht="14.25" hidden="1" spans="1:17">
      <c r="A283" s="1" t="str">
        <f>VLOOKUP(B283,combinate!A:B,2,FALSE)</f>
        <v>Group C</v>
      </c>
      <c r="B283" s="8">
        <v>254704372262</v>
      </c>
      <c r="C283" s="9">
        <v>13221199</v>
      </c>
      <c r="D283" s="10">
        <v>46183.8893518519</v>
      </c>
      <c r="E283" s="11" t="s">
        <v>250</v>
      </c>
      <c r="F283" s="9">
        <v>437.39</v>
      </c>
      <c r="G283" s="9">
        <v>58172.49</v>
      </c>
      <c r="H283" s="9">
        <v>0</v>
      </c>
      <c r="I283" s="9">
        <v>58172.49</v>
      </c>
      <c r="J283" s="9">
        <v>0</v>
      </c>
      <c r="K283" s="9">
        <v>-1314.51</v>
      </c>
      <c r="L283" s="9">
        <v>-9.88</v>
      </c>
      <c r="M283" s="9">
        <v>-1314.51</v>
      </c>
      <c r="N283" s="9">
        <v>118.05</v>
      </c>
      <c r="O283" s="9">
        <v>15700</v>
      </c>
      <c r="P283" s="9">
        <v>345.93</v>
      </c>
      <c r="Q283" s="9">
        <v>46009</v>
      </c>
    </row>
    <row r="284" s="1" customFormat="1" ht="14.25" hidden="1" spans="1:17">
      <c r="A284" s="1" t="str">
        <f>VLOOKUP(B284,combinate!A:B,2,FALSE)</f>
        <v>Group C</v>
      </c>
      <c r="B284" s="8">
        <v>254768553963</v>
      </c>
      <c r="C284" s="9">
        <v>13298408</v>
      </c>
      <c r="D284" s="10">
        <v>46183.6780902778</v>
      </c>
      <c r="E284" s="12" t="s">
        <v>254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  <c r="O284" s="9">
        <v>0</v>
      </c>
      <c r="P284" s="9">
        <v>0</v>
      </c>
      <c r="Q284" s="9">
        <v>0</v>
      </c>
    </row>
    <row r="285" s="1" customFormat="1" ht="14.25" hidden="1" spans="1:17">
      <c r="A285" s="1" t="str">
        <f>VLOOKUP(B285,combinate!A:B,2,FALSE)</f>
        <v>Group A</v>
      </c>
      <c r="B285" s="8">
        <v>254726479727</v>
      </c>
      <c r="C285" s="9">
        <v>16230890</v>
      </c>
      <c r="D285" s="10">
        <v>46160.3988657407</v>
      </c>
      <c r="E285" s="12" t="s">
        <v>254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</row>
    <row r="286" s="1" customFormat="1" ht="14.25" hidden="1" spans="1:17">
      <c r="A286" s="1" t="str">
        <f>VLOOKUP(B286,combinate!A:B,2,FALSE)</f>
        <v>Group A</v>
      </c>
      <c r="B286" s="8">
        <v>254703148756</v>
      </c>
      <c r="C286" s="9">
        <v>16326602</v>
      </c>
      <c r="D286" s="10">
        <v>46163.4229166667</v>
      </c>
      <c r="E286" s="12" t="s">
        <v>254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</row>
    <row r="287" s="1" customFormat="1" ht="14.25" hidden="1" spans="1:17">
      <c r="A287" s="1" t="str">
        <f>VLOOKUP(B287,combinate!A:B,2,FALSE)</f>
        <v>Group C</v>
      </c>
      <c r="B287" s="8">
        <v>254746615116</v>
      </c>
      <c r="C287" s="9">
        <v>16871416</v>
      </c>
      <c r="D287" s="10">
        <v>46162.309849537</v>
      </c>
      <c r="E287" s="12" t="s">
        <v>254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</row>
    <row r="288" s="1" customFormat="1" ht="14.25" hidden="1" spans="1:17">
      <c r="A288" s="1" t="str">
        <f>VLOOKUP(B288,combinate!A:B,2,FALSE)</f>
        <v>Group C</v>
      </c>
      <c r="B288" s="8">
        <v>254741763894</v>
      </c>
      <c r="C288" s="9">
        <v>17602818</v>
      </c>
      <c r="D288" s="10">
        <v>46163.3852662037</v>
      </c>
      <c r="E288" s="12" t="s">
        <v>254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0</v>
      </c>
      <c r="P288" s="9">
        <v>0</v>
      </c>
      <c r="Q288" s="9">
        <v>0</v>
      </c>
    </row>
    <row r="289" s="1" customFormat="1" ht="14.25" hidden="1" spans="1:17">
      <c r="A289" s="1" t="str">
        <f>VLOOKUP(B289,combinate!A:B,2,FALSE)</f>
        <v>Group C</v>
      </c>
      <c r="B289" s="8">
        <v>254117010052</v>
      </c>
      <c r="C289" s="9">
        <v>18131309</v>
      </c>
      <c r="D289" s="10">
        <v>46161.128900463</v>
      </c>
      <c r="E289" s="12" t="s">
        <v>254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</row>
    <row r="290" s="1" customFormat="1" ht="14.25" hidden="1" spans="1:17">
      <c r="A290" s="1" t="str">
        <f>VLOOKUP(B290,combinate!A:B,2,FALSE)</f>
        <v>Group A</v>
      </c>
      <c r="B290" s="8">
        <v>254743456689</v>
      </c>
      <c r="C290" s="9">
        <v>18490251</v>
      </c>
      <c r="D290" s="10">
        <v>46162.5449074074</v>
      </c>
      <c r="E290" s="12" t="s">
        <v>254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</row>
    <row r="291" s="1" customFormat="1" ht="14.25" hidden="1" spans="1:17">
      <c r="A291" s="1" t="str">
        <f>VLOOKUP(B291,combinate!A:B,2,FALSE)</f>
        <v>Group C</v>
      </c>
      <c r="B291" s="8">
        <v>254725779914</v>
      </c>
      <c r="C291" s="9">
        <v>19591817</v>
      </c>
      <c r="D291" s="10">
        <v>46162.3531828704</v>
      </c>
      <c r="E291" s="12" t="s">
        <v>254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</row>
    <row r="292" s="1" customFormat="1" ht="14.25" hidden="1" spans="1:17">
      <c r="A292" s="1" t="str">
        <f>VLOOKUP(B292,combinate!A:B,2,FALSE)</f>
        <v>Group B</v>
      </c>
      <c r="B292" s="8">
        <v>254720685154</v>
      </c>
      <c r="C292" s="9">
        <v>19959684</v>
      </c>
      <c r="D292" s="10">
        <v>46182.7360763889</v>
      </c>
      <c r="E292" s="12" t="s">
        <v>254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</row>
    <row r="293" s="1" customFormat="1" ht="14.25" hidden="1" spans="1:17">
      <c r="A293" s="1" t="str">
        <f>VLOOKUP(B293,combinate!A:B,2,FALSE)</f>
        <v>Group C</v>
      </c>
      <c r="B293" s="8">
        <v>254741428917</v>
      </c>
      <c r="C293" s="9">
        <v>20339157</v>
      </c>
      <c r="D293" s="10">
        <v>46162.2227314815</v>
      </c>
      <c r="E293" s="12" t="s">
        <v>254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  <c r="O293" s="9">
        <v>0</v>
      </c>
      <c r="P293" s="9">
        <v>0</v>
      </c>
      <c r="Q293" s="9">
        <v>0</v>
      </c>
    </row>
    <row r="294" s="1" customFormat="1" ht="14.25" hidden="1" spans="1:17">
      <c r="A294" s="1" t="str">
        <f>VLOOKUP(B294,combinate!A:B,2,FALSE)</f>
        <v>Group C</v>
      </c>
      <c r="B294" s="8">
        <v>254794094609</v>
      </c>
      <c r="C294" s="9">
        <v>20531889</v>
      </c>
      <c r="D294" s="10">
        <v>46160.7061226852</v>
      </c>
      <c r="E294" s="12" t="s">
        <v>254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9">
        <v>0</v>
      </c>
      <c r="P294" s="9">
        <v>0</v>
      </c>
      <c r="Q294" s="9">
        <v>0</v>
      </c>
    </row>
    <row r="295" s="1" customFormat="1" ht="14.25" hidden="1" spans="1:17">
      <c r="A295" s="1" t="str">
        <f>VLOOKUP(B295,combinate!A:B,2,FALSE)</f>
        <v>Group C</v>
      </c>
      <c r="B295" s="8">
        <v>254796716200</v>
      </c>
      <c r="C295" s="9">
        <v>20589507</v>
      </c>
      <c r="D295" s="10">
        <v>46179.7691203704</v>
      </c>
      <c r="E295" s="11" t="s">
        <v>250</v>
      </c>
      <c r="F295" s="9">
        <v>0.68</v>
      </c>
      <c r="G295" s="9">
        <v>90</v>
      </c>
      <c r="H295" s="9">
        <v>0</v>
      </c>
      <c r="I295" s="9">
        <v>90</v>
      </c>
      <c r="J295" s="9">
        <v>0</v>
      </c>
      <c r="K295" s="9">
        <v>90</v>
      </c>
      <c r="L295" s="9">
        <v>0.68</v>
      </c>
      <c r="M295" s="9">
        <v>90</v>
      </c>
      <c r="N295" s="9">
        <v>0.68</v>
      </c>
      <c r="O295" s="9">
        <v>90.25</v>
      </c>
      <c r="P295" s="9">
        <v>0</v>
      </c>
      <c r="Q295" s="9">
        <v>0</v>
      </c>
    </row>
    <row r="296" s="1" customFormat="1" ht="14.25" hidden="1" spans="1:17">
      <c r="A296" s="1" t="str">
        <f>VLOOKUP(B296,combinate!A:B,2,FALSE)</f>
        <v>Group C</v>
      </c>
      <c r="B296" s="8">
        <v>254703319644</v>
      </c>
      <c r="C296" s="9">
        <v>19168</v>
      </c>
      <c r="D296" s="10">
        <v>46183.2526851852</v>
      </c>
      <c r="E296" s="11" t="s">
        <v>250</v>
      </c>
      <c r="F296" s="9">
        <v>317.73</v>
      </c>
      <c r="G296" s="9">
        <v>42258.6</v>
      </c>
      <c r="H296" s="9">
        <v>0</v>
      </c>
      <c r="I296" s="9">
        <v>42258.6</v>
      </c>
      <c r="J296" s="9">
        <v>0</v>
      </c>
      <c r="K296" s="9">
        <v>1183.8</v>
      </c>
      <c r="L296" s="9">
        <v>8.9</v>
      </c>
      <c r="M296" s="9">
        <v>1183.8</v>
      </c>
      <c r="N296" s="9">
        <v>32.57</v>
      </c>
      <c r="O296" s="9">
        <v>4332</v>
      </c>
      <c r="P296" s="9">
        <v>22.56</v>
      </c>
      <c r="Q296" s="9">
        <v>3000</v>
      </c>
    </row>
    <row r="297" s="1" customFormat="1" ht="14.25" hidden="1" spans="1:17">
      <c r="A297" s="1" t="str">
        <f>VLOOKUP(B297,combinate!A:B,2,FALSE)</f>
        <v>Group A</v>
      </c>
      <c r="B297" s="8">
        <v>254713110224</v>
      </c>
      <c r="C297" s="9">
        <v>122870</v>
      </c>
      <c r="D297" s="10">
        <v>46184.4089814815</v>
      </c>
      <c r="E297" s="11" t="s">
        <v>250</v>
      </c>
      <c r="F297" s="9">
        <v>19.91</v>
      </c>
      <c r="G297" s="9">
        <v>2648.48</v>
      </c>
      <c r="H297" s="9">
        <v>311</v>
      </c>
      <c r="I297" s="9">
        <v>2337.48</v>
      </c>
      <c r="J297" s="9">
        <v>-1272.05</v>
      </c>
      <c r="K297" s="9">
        <v>57.48</v>
      </c>
      <c r="L297" s="9">
        <v>-9.13</v>
      </c>
      <c r="M297" s="9">
        <v>-1214.57</v>
      </c>
      <c r="N297" s="9">
        <v>0</v>
      </c>
      <c r="O297" s="9">
        <v>0</v>
      </c>
      <c r="P297" s="9">
        <v>9.77</v>
      </c>
      <c r="Q297" s="9">
        <v>1300</v>
      </c>
    </row>
    <row r="298" s="1" customFormat="1" ht="14.25" hidden="1" spans="1:17">
      <c r="A298" s="1" t="str">
        <f>VLOOKUP(B298,combinate!A:B,2,FALSE)</f>
        <v>Group C</v>
      </c>
      <c r="B298" s="8">
        <v>254748232521</v>
      </c>
      <c r="C298" s="9">
        <v>207796</v>
      </c>
      <c r="D298" s="10">
        <v>46180.5633101852</v>
      </c>
      <c r="E298" s="11" t="s">
        <v>250</v>
      </c>
      <c r="F298" s="9">
        <v>0</v>
      </c>
      <c r="G298" s="9">
        <v>0.27</v>
      </c>
      <c r="H298" s="9">
        <v>0</v>
      </c>
      <c r="I298" s="9">
        <v>0.27</v>
      </c>
      <c r="J298" s="9">
        <v>0</v>
      </c>
      <c r="K298" s="9">
        <v>0.09</v>
      </c>
      <c r="L298" s="9">
        <v>0</v>
      </c>
      <c r="M298" s="9">
        <v>0.09</v>
      </c>
      <c r="N298" s="9">
        <v>0</v>
      </c>
      <c r="O298" s="9">
        <v>0</v>
      </c>
      <c r="P298" s="9">
        <v>0</v>
      </c>
      <c r="Q298" s="9">
        <v>0</v>
      </c>
    </row>
    <row r="299" s="1" customFormat="1" ht="14.25" hidden="1" spans="1:17">
      <c r="A299" s="1" t="str">
        <f>VLOOKUP(B299,combinate!A:B,2,FALSE)</f>
        <v>Group B</v>
      </c>
      <c r="B299" s="8">
        <v>254715822683</v>
      </c>
      <c r="C299" s="9">
        <v>496314</v>
      </c>
      <c r="D299" s="10">
        <v>46182.503599537</v>
      </c>
      <c r="E299" s="11" t="s">
        <v>250</v>
      </c>
      <c r="F299" s="9">
        <v>30.6</v>
      </c>
      <c r="G299" s="9">
        <v>4070</v>
      </c>
      <c r="H299" s="9">
        <v>0</v>
      </c>
      <c r="I299" s="9">
        <v>4070</v>
      </c>
      <c r="J299" s="9">
        <v>0</v>
      </c>
      <c r="K299" s="9">
        <v>1179</v>
      </c>
      <c r="L299" s="9">
        <v>8.86</v>
      </c>
      <c r="M299" s="9">
        <v>1179</v>
      </c>
      <c r="N299" s="9">
        <v>15.71</v>
      </c>
      <c r="O299" s="9">
        <v>2090</v>
      </c>
      <c r="P299" s="9">
        <v>15.11</v>
      </c>
      <c r="Q299" s="9">
        <v>2009.14</v>
      </c>
    </row>
    <row r="300" s="1" customFormat="1" ht="14.25" hidden="1" spans="1:17">
      <c r="A300" s="1" t="str">
        <f>VLOOKUP(B300,combinate!A:B,2,FALSE)</f>
        <v>Group C</v>
      </c>
      <c r="B300" s="8">
        <v>254722883566</v>
      </c>
      <c r="C300" s="9">
        <v>807789</v>
      </c>
      <c r="D300" s="10">
        <v>46184.4342592593</v>
      </c>
      <c r="E300" s="12" t="s">
        <v>254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 s="9">
        <v>0</v>
      </c>
    </row>
    <row r="301" s="1" customFormat="1" ht="14.25" hidden="1" spans="1:17">
      <c r="A301" s="1" t="str">
        <f>VLOOKUP(B301,combinate!A:B,2,FALSE)</f>
        <v>Group C</v>
      </c>
      <c r="B301" s="8">
        <v>254722317841</v>
      </c>
      <c r="C301" s="9">
        <v>885776</v>
      </c>
      <c r="D301" s="10">
        <v>46183.993587963</v>
      </c>
      <c r="E301" s="11" t="s">
        <v>250</v>
      </c>
      <c r="F301" s="9">
        <v>136.07</v>
      </c>
      <c r="G301" s="9">
        <v>18097</v>
      </c>
      <c r="H301" s="9">
        <v>3</v>
      </c>
      <c r="I301" s="9">
        <v>18094</v>
      </c>
      <c r="J301" s="9">
        <v>3</v>
      </c>
      <c r="K301" s="9">
        <v>-511.32</v>
      </c>
      <c r="L301" s="9">
        <v>-3.82</v>
      </c>
      <c r="M301" s="9">
        <v>-508.32</v>
      </c>
      <c r="N301" s="9">
        <v>9.29</v>
      </c>
      <c r="O301" s="9">
        <v>1235</v>
      </c>
      <c r="P301" s="9">
        <v>12.41</v>
      </c>
      <c r="Q301" s="9">
        <v>1650</v>
      </c>
    </row>
    <row r="302" s="1" customFormat="1" ht="14.25" hidden="1" spans="1:17">
      <c r="A302" s="1" t="str">
        <f>VLOOKUP(B302,combinate!A:B,2,FALSE)</f>
        <v>Group C</v>
      </c>
      <c r="B302" s="8">
        <v>254725231474</v>
      </c>
      <c r="C302" s="9">
        <v>1870787</v>
      </c>
      <c r="D302" s="10">
        <v>46184.4132638889</v>
      </c>
      <c r="E302" s="11" t="s">
        <v>250</v>
      </c>
      <c r="F302" s="9">
        <v>83.5</v>
      </c>
      <c r="G302" s="9">
        <v>11106</v>
      </c>
      <c r="H302" s="9">
        <v>0</v>
      </c>
      <c r="I302" s="9">
        <v>11106</v>
      </c>
      <c r="J302" s="9">
        <v>0</v>
      </c>
      <c r="K302" s="9">
        <v>2205.6</v>
      </c>
      <c r="L302" s="9">
        <v>16.58</v>
      </c>
      <c r="M302" s="9">
        <v>2205.6</v>
      </c>
      <c r="N302" s="9">
        <v>16.54</v>
      </c>
      <c r="O302" s="9">
        <v>2200</v>
      </c>
      <c r="P302" s="9">
        <v>0</v>
      </c>
      <c r="Q302" s="9">
        <v>0</v>
      </c>
    </row>
    <row r="303" s="1" customFormat="1" ht="14.25" hidden="1" spans="1:17">
      <c r="A303" s="1" t="str">
        <f>VLOOKUP(B303,combinate!A:B,2,FALSE)</f>
        <v>Group A</v>
      </c>
      <c r="B303" s="8">
        <v>254725400755</v>
      </c>
      <c r="C303" s="9">
        <v>2314972</v>
      </c>
      <c r="D303" s="10">
        <v>46176.8518634259</v>
      </c>
      <c r="E303" s="12" t="s">
        <v>254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</row>
    <row r="304" s="1" customFormat="1" ht="14.25" hidden="1" spans="1:17">
      <c r="A304" s="1" t="str">
        <f>VLOOKUP(B304,combinate!A:B,2,FALSE)</f>
        <v>Group A</v>
      </c>
      <c r="B304" s="8">
        <v>254714018823</v>
      </c>
      <c r="C304" s="9">
        <v>3387590</v>
      </c>
      <c r="D304" s="10">
        <v>46163.5009490741</v>
      </c>
      <c r="E304" s="12" t="s">
        <v>254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</row>
    <row r="305" s="1" customFormat="1" ht="14.25" hidden="1" spans="1:17">
      <c r="A305" s="1" t="str">
        <f>VLOOKUP(B305,combinate!A:B,2,FALSE)</f>
        <v>Group C</v>
      </c>
      <c r="B305" s="8">
        <v>254700874013</v>
      </c>
      <c r="C305" s="9">
        <v>3539759</v>
      </c>
      <c r="D305" s="10">
        <v>46166.1659259259</v>
      </c>
      <c r="E305" s="12" t="s">
        <v>254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</row>
    <row r="306" s="1" customFormat="1" ht="14.25" hidden="1" spans="1:17">
      <c r="A306" s="1" t="str">
        <f>VLOOKUP(B306,combinate!A:B,2,FALSE)</f>
        <v>Group B</v>
      </c>
      <c r="B306" s="8">
        <v>254724733695</v>
      </c>
      <c r="C306" s="9">
        <v>3868114</v>
      </c>
      <c r="D306" s="10">
        <v>46161.3762615741</v>
      </c>
      <c r="E306" s="12" t="s">
        <v>254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</row>
    <row r="307" s="1" customFormat="1" ht="14.25" hidden="1" spans="1:17">
      <c r="A307" s="1" t="str">
        <f>VLOOKUP(B307,combinate!A:B,2,FALSE)</f>
        <v>Group C</v>
      </c>
      <c r="B307" s="8">
        <v>254723908698</v>
      </c>
      <c r="C307" s="9">
        <v>4989287</v>
      </c>
      <c r="D307" s="10">
        <v>46183.7424074074</v>
      </c>
      <c r="E307" s="11" t="s">
        <v>250</v>
      </c>
      <c r="F307" s="9">
        <v>158.98</v>
      </c>
      <c r="G307" s="9">
        <v>21145</v>
      </c>
      <c r="H307" s="9">
        <v>0</v>
      </c>
      <c r="I307" s="9">
        <v>21145</v>
      </c>
      <c r="J307" s="9">
        <v>0</v>
      </c>
      <c r="K307" s="9">
        <v>-1940.4</v>
      </c>
      <c r="L307" s="9">
        <v>-14.59</v>
      </c>
      <c r="M307" s="9">
        <v>-1940.4</v>
      </c>
      <c r="N307" s="9">
        <v>21.43</v>
      </c>
      <c r="O307" s="9">
        <v>2850</v>
      </c>
      <c r="P307" s="9">
        <v>39.1</v>
      </c>
      <c r="Q307" s="9">
        <v>5200</v>
      </c>
    </row>
    <row r="308" s="1" customFormat="1" ht="14.25" hidden="1" spans="1:17">
      <c r="A308" s="1" t="str">
        <f>VLOOKUP(B308,combinate!A:B,2,FALSE)</f>
        <v>Group A</v>
      </c>
      <c r="B308" s="8">
        <v>254743262728</v>
      </c>
      <c r="C308" s="9">
        <v>11500721</v>
      </c>
      <c r="D308" s="10">
        <v>46179.9172916667</v>
      </c>
      <c r="E308" s="12" t="s">
        <v>254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 s="9">
        <v>0</v>
      </c>
    </row>
    <row r="309" s="1" customFormat="1" ht="14.25" hidden="1" spans="1:17">
      <c r="A309" s="1" t="str">
        <f>VLOOKUP(B309,combinate!A:B,2,FALSE)</f>
        <v>Group C</v>
      </c>
      <c r="B309" s="8">
        <v>254725923661</v>
      </c>
      <c r="C309" s="9">
        <v>12103519</v>
      </c>
      <c r="D309" s="10">
        <v>46178.4112962963</v>
      </c>
      <c r="E309" s="11" t="s">
        <v>250</v>
      </c>
      <c r="F309" s="9">
        <v>0.04</v>
      </c>
      <c r="G309" s="9">
        <v>5</v>
      </c>
      <c r="H309" s="9">
        <v>0</v>
      </c>
      <c r="I309" s="9">
        <v>5</v>
      </c>
      <c r="J309" s="9">
        <v>0</v>
      </c>
      <c r="K309" s="9">
        <v>5</v>
      </c>
      <c r="L309" s="9">
        <v>0.04</v>
      </c>
      <c r="M309" s="9">
        <v>5</v>
      </c>
      <c r="N309" s="9">
        <v>0</v>
      </c>
      <c r="O309" s="9">
        <v>0</v>
      </c>
      <c r="P309" s="9">
        <v>0</v>
      </c>
      <c r="Q309" s="9">
        <v>0</v>
      </c>
    </row>
    <row r="310" s="1" customFormat="1" ht="14.25" hidden="1" spans="1:17">
      <c r="A310" s="1" t="str">
        <f>VLOOKUP(B310,combinate!A:B,2,FALSE)</f>
        <v>Group C</v>
      </c>
      <c r="B310" s="8">
        <v>254714121026</v>
      </c>
      <c r="C310" s="9">
        <v>12292669</v>
      </c>
      <c r="D310" s="10">
        <v>46180.194375</v>
      </c>
      <c r="E310" s="11" t="s">
        <v>250</v>
      </c>
      <c r="F310" s="9">
        <v>4.18</v>
      </c>
      <c r="G310" s="9">
        <v>555.5</v>
      </c>
      <c r="H310" s="9">
        <v>0</v>
      </c>
      <c r="I310" s="9">
        <v>555.5</v>
      </c>
      <c r="J310" s="9">
        <v>0</v>
      </c>
      <c r="K310" s="9">
        <v>555.5</v>
      </c>
      <c r="L310" s="9">
        <v>4.18</v>
      </c>
      <c r="M310" s="9">
        <v>555.5</v>
      </c>
      <c r="N310" s="9">
        <v>4.18</v>
      </c>
      <c r="O310" s="9">
        <v>555.5</v>
      </c>
      <c r="P310" s="9">
        <v>0</v>
      </c>
      <c r="Q310" s="9">
        <v>0</v>
      </c>
    </row>
    <row r="311" s="1" customFormat="1" ht="14.25" hidden="1" spans="1:17">
      <c r="A311" s="1" t="str">
        <f>VLOOKUP(B311,combinate!A:B,2,FALSE)</f>
        <v>Group C</v>
      </c>
      <c r="B311" s="8">
        <v>254113050746</v>
      </c>
      <c r="C311" s="9">
        <v>12428778</v>
      </c>
      <c r="D311" s="10">
        <v>46160.4182523148</v>
      </c>
      <c r="E311" s="12" t="s">
        <v>254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</row>
    <row r="312" s="1" customFormat="1" ht="14.25" hidden="1" spans="1:17">
      <c r="A312" s="1" t="str">
        <f>VLOOKUP(B312,combinate!A:B,2,FALSE)</f>
        <v>Group C</v>
      </c>
      <c r="B312" s="8">
        <v>254708329504</v>
      </c>
      <c r="C312" s="9">
        <v>12445717</v>
      </c>
      <c r="D312" s="10">
        <v>46162.348125</v>
      </c>
      <c r="E312" s="12" t="s">
        <v>254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</row>
    <row r="313" s="1" customFormat="1" ht="14.25" hidden="1" spans="1:17">
      <c r="A313" s="1" t="str">
        <f>VLOOKUP(B313,combinate!A:B,2,FALSE)</f>
        <v>Group C</v>
      </c>
      <c r="B313" s="8">
        <v>254115151700</v>
      </c>
      <c r="C313" s="9">
        <v>12836199</v>
      </c>
      <c r="D313" s="10">
        <v>46162.5096759259</v>
      </c>
      <c r="E313" s="12" t="s">
        <v>254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</row>
    <row r="314" s="1" customFormat="1" ht="14.25" hidden="1" spans="1:17">
      <c r="A314" s="1" t="str">
        <f>VLOOKUP(B314,combinate!A:B,2,FALSE)</f>
        <v>Group C</v>
      </c>
      <c r="B314" s="8">
        <v>254725542577</v>
      </c>
      <c r="C314" s="9">
        <v>12957568</v>
      </c>
      <c r="D314" s="10">
        <v>46166.2627777778</v>
      </c>
      <c r="E314" s="12" t="s">
        <v>254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</row>
    <row r="315" s="1" customFormat="1" ht="14.25" hidden="1" spans="1:17">
      <c r="A315" s="1" t="str">
        <f>VLOOKUP(B315,combinate!A:B,2,FALSE)</f>
        <v>Group C</v>
      </c>
      <c r="B315" s="8">
        <v>254112999657</v>
      </c>
      <c r="C315" s="9">
        <v>13464509</v>
      </c>
      <c r="D315" s="10">
        <v>46166.4874537037</v>
      </c>
      <c r="E315" s="12" t="s">
        <v>254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</row>
    <row r="316" s="1" customFormat="1" ht="14.25" hidden="1" spans="1:17">
      <c r="A316" s="1" t="str">
        <f>VLOOKUP(B316,combinate!A:B,2,FALSE)</f>
        <v>Group A</v>
      </c>
      <c r="B316" s="8">
        <v>254793581863</v>
      </c>
      <c r="C316" s="9">
        <v>14725401</v>
      </c>
      <c r="D316" s="10">
        <v>46163.1988773148</v>
      </c>
      <c r="E316" s="12" t="s">
        <v>254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</row>
    <row r="317" s="1" customFormat="1" ht="14.25" hidden="1" spans="1:17">
      <c r="A317" s="1" t="str">
        <f>VLOOKUP(B317,combinate!A:B,2,FALSE)</f>
        <v>Group C</v>
      </c>
      <c r="B317" s="8">
        <v>254798404385</v>
      </c>
      <c r="C317" s="9">
        <v>15777068</v>
      </c>
      <c r="D317" s="10">
        <v>46183.353275463</v>
      </c>
      <c r="E317" s="11" t="s">
        <v>250</v>
      </c>
      <c r="F317" s="9">
        <v>0.11</v>
      </c>
      <c r="G317" s="9">
        <v>14.69</v>
      </c>
      <c r="H317" s="9">
        <v>0</v>
      </c>
      <c r="I317" s="9">
        <v>14.69</v>
      </c>
      <c r="J317" s="9">
        <v>0</v>
      </c>
      <c r="K317" s="9">
        <v>6.53</v>
      </c>
      <c r="L317" s="9">
        <v>0.05</v>
      </c>
      <c r="M317" s="9">
        <v>6.53</v>
      </c>
      <c r="N317" s="9">
        <v>0</v>
      </c>
      <c r="O317" s="9">
        <v>0</v>
      </c>
      <c r="P317" s="9">
        <v>0</v>
      </c>
      <c r="Q317" s="9">
        <v>0</v>
      </c>
    </row>
    <row r="318" s="1" customFormat="1" ht="14.25" hidden="1" spans="1:17">
      <c r="A318" s="1" t="str">
        <f>VLOOKUP(B318,combinate!A:B,2,FALSE)</f>
        <v>Group C</v>
      </c>
      <c r="B318" s="8">
        <v>254112866475</v>
      </c>
      <c r="C318" s="9">
        <v>16383687</v>
      </c>
      <c r="D318" s="10">
        <v>46183.3474305556</v>
      </c>
      <c r="E318" s="12" t="s">
        <v>254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</row>
    <row r="319" s="1" customFormat="1" ht="14.25" hidden="1" spans="1:17">
      <c r="A319" s="1" t="str">
        <f>VLOOKUP(B319,combinate!A:B,2,FALSE)</f>
        <v>Group C</v>
      </c>
      <c r="B319" s="8">
        <v>254110755834</v>
      </c>
      <c r="C319" s="9">
        <v>17237138</v>
      </c>
      <c r="D319" s="10">
        <v>46182.7181018519</v>
      </c>
      <c r="E319" s="11" t="s">
        <v>250</v>
      </c>
      <c r="F319" s="9">
        <v>14.66</v>
      </c>
      <c r="G319" s="9">
        <v>1950</v>
      </c>
      <c r="H319" s="9">
        <v>0</v>
      </c>
      <c r="I319" s="9">
        <v>1950</v>
      </c>
      <c r="J319" s="9">
        <v>0</v>
      </c>
      <c r="K319" s="9">
        <v>104.54</v>
      </c>
      <c r="L319" s="9">
        <v>0.79</v>
      </c>
      <c r="M319" s="9">
        <v>104.54</v>
      </c>
      <c r="N319" s="9">
        <v>1.46</v>
      </c>
      <c r="O319" s="9">
        <v>193.8</v>
      </c>
      <c r="P319" s="9">
        <v>4.51</v>
      </c>
      <c r="Q319" s="9">
        <v>600</v>
      </c>
    </row>
    <row r="320" s="1" customFormat="1" ht="14.25" hidden="1" spans="1:17">
      <c r="A320" s="1" t="str">
        <f>VLOOKUP(B320,combinate!A:B,2,FALSE)</f>
        <v>Group B</v>
      </c>
      <c r="B320" s="8">
        <v>254115128990</v>
      </c>
      <c r="C320" s="9">
        <v>17904064</v>
      </c>
      <c r="D320" s="10">
        <v>46161.8635300926</v>
      </c>
      <c r="E320" s="12" t="s">
        <v>254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</row>
    <row r="321" s="1" customFormat="1" ht="14.25" hidden="1" spans="1:17">
      <c r="A321" s="1" t="str">
        <f>VLOOKUP(B321,combinate!A:B,2,FALSE)</f>
        <v>Group A</v>
      </c>
      <c r="B321" s="8">
        <v>254704947195</v>
      </c>
      <c r="C321" s="9">
        <v>18815111</v>
      </c>
      <c r="D321" s="10">
        <v>46178.8131712963</v>
      </c>
      <c r="E321" s="11" t="s">
        <v>250</v>
      </c>
      <c r="F321" s="9">
        <v>0.89</v>
      </c>
      <c r="G321" s="9">
        <v>119</v>
      </c>
      <c r="H321" s="9">
        <v>0</v>
      </c>
      <c r="I321" s="9">
        <v>119</v>
      </c>
      <c r="J321" s="9">
        <v>0</v>
      </c>
      <c r="K321" s="9">
        <v>95.77</v>
      </c>
      <c r="L321" s="9">
        <v>0.72</v>
      </c>
      <c r="M321" s="9">
        <v>95.77</v>
      </c>
      <c r="N321" s="9">
        <v>0.71</v>
      </c>
      <c r="O321" s="9">
        <v>95</v>
      </c>
      <c r="P321" s="9">
        <v>0</v>
      </c>
      <c r="Q321" s="9">
        <v>0</v>
      </c>
    </row>
    <row r="322" s="1" customFormat="1" ht="14.25" hidden="1" spans="1:17">
      <c r="A322" s="1" t="str">
        <f>VLOOKUP(B322,combinate!A:B,2,FALSE)</f>
        <v>Group C</v>
      </c>
      <c r="B322" s="8">
        <v>254752862759</v>
      </c>
      <c r="C322" s="9">
        <v>19113799</v>
      </c>
      <c r="D322" s="10">
        <v>46178.9990856481</v>
      </c>
      <c r="E322" s="11" t="s">
        <v>250</v>
      </c>
      <c r="F322" s="9">
        <v>5.89</v>
      </c>
      <c r="G322" s="9">
        <v>783.5</v>
      </c>
      <c r="H322" s="9">
        <v>0</v>
      </c>
      <c r="I322" s="9">
        <v>783.5</v>
      </c>
      <c r="J322" s="9">
        <v>0</v>
      </c>
      <c r="K322" s="9">
        <v>-243.56</v>
      </c>
      <c r="L322" s="9">
        <v>-1.83</v>
      </c>
      <c r="M322" s="9">
        <v>-243.56</v>
      </c>
      <c r="N322" s="9">
        <v>1.45</v>
      </c>
      <c r="O322" s="9">
        <v>192.85</v>
      </c>
      <c r="P322" s="9">
        <v>7.45</v>
      </c>
      <c r="Q322" s="9">
        <v>991</v>
      </c>
    </row>
    <row r="323" s="1" customFormat="1" ht="14.25" hidden="1" spans="1:17">
      <c r="A323" s="1" t="str">
        <f>VLOOKUP(B323,combinate!A:B,2,FALSE)</f>
        <v>Group A</v>
      </c>
      <c r="B323" s="8">
        <v>254769578182</v>
      </c>
      <c r="C323" s="9">
        <v>19329411</v>
      </c>
      <c r="D323" s="10">
        <v>46162.0650462963</v>
      </c>
      <c r="E323" s="12" t="s">
        <v>254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</row>
    <row r="324" s="1" customFormat="1" ht="14.25" hidden="1" spans="1:17">
      <c r="A324" s="1" t="str">
        <f>VLOOKUP(B324,combinate!A:B,2,FALSE)</f>
        <v>Group B</v>
      </c>
      <c r="B324" s="8">
        <v>254768635522</v>
      </c>
      <c r="C324" s="9">
        <v>19415165</v>
      </c>
      <c r="D324" s="10">
        <v>46179.5539467593</v>
      </c>
      <c r="E324" s="11" t="s">
        <v>250</v>
      </c>
      <c r="F324" s="9">
        <v>0.73</v>
      </c>
      <c r="G324" s="9">
        <v>96.6</v>
      </c>
      <c r="H324" s="9">
        <v>0</v>
      </c>
      <c r="I324" s="9">
        <v>96.6</v>
      </c>
      <c r="J324" s="9">
        <v>0</v>
      </c>
      <c r="K324" s="9">
        <v>-3.32</v>
      </c>
      <c r="L324" s="9">
        <v>-0.02</v>
      </c>
      <c r="M324" s="9">
        <v>-3.32</v>
      </c>
      <c r="N324" s="9">
        <v>0</v>
      </c>
      <c r="O324" s="9">
        <v>0</v>
      </c>
      <c r="P324" s="9">
        <v>0</v>
      </c>
      <c r="Q324" s="9">
        <v>0</v>
      </c>
    </row>
    <row r="325" s="1" customFormat="1" ht="14.25" hidden="1" spans="1:17">
      <c r="A325" s="1" t="str">
        <f>VLOOKUP(B325,combinate!A:B,2,FALSE)</f>
        <v>Group B</v>
      </c>
      <c r="B325" s="8">
        <v>254116873056</v>
      </c>
      <c r="C325" s="9">
        <v>20109073</v>
      </c>
      <c r="D325" s="10">
        <v>46175.4463194444</v>
      </c>
      <c r="E325" s="11" t="s">
        <v>250</v>
      </c>
      <c r="F325" s="9">
        <v>11.8</v>
      </c>
      <c r="G325" s="9">
        <v>1569</v>
      </c>
      <c r="H325" s="9">
        <v>0</v>
      </c>
      <c r="I325" s="9">
        <v>1569</v>
      </c>
      <c r="J325" s="9">
        <v>0</v>
      </c>
      <c r="K325" s="9">
        <v>94.48</v>
      </c>
      <c r="L325" s="9">
        <v>0.71</v>
      </c>
      <c r="M325" s="9">
        <v>94.48</v>
      </c>
      <c r="N325" s="9">
        <v>0.71</v>
      </c>
      <c r="O325" s="9">
        <v>95</v>
      </c>
      <c r="P325" s="9">
        <v>0</v>
      </c>
      <c r="Q325" s="9">
        <v>0</v>
      </c>
    </row>
    <row r="326" s="1" customFormat="1" ht="14.25" hidden="1" spans="1:17">
      <c r="A326" s="1" t="str">
        <f>VLOOKUP(B326,combinate!A:B,2,FALSE)</f>
        <v>Group C</v>
      </c>
      <c r="B326" s="8">
        <v>254792927350</v>
      </c>
      <c r="C326" s="9">
        <v>20276246</v>
      </c>
      <c r="D326" s="10">
        <v>46161.8221064815</v>
      </c>
      <c r="E326" s="12" t="s">
        <v>254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  <c r="P326" s="9">
        <v>0</v>
      </c>
      <c r="Q326" s="9">
        <v>0</v>
      </c>
    </row>
    <row r="327" s="1" customFormat="1" ht="14.25" hidden="1" spans="1:17">
      <c r="A327" s="1" t="str">
        <f>VLOOKUP(B327,combinate!A:B,2,FALSE)</f>
        <v>Group A</v>
      </c>
      <c r="B327" s="8">
        <v>254711300997</v>
      </c>
      <c r="C327" s="9">
        <v>18952</v>
      </c>
      <c r="D327" s="10">
        <v>46163.063900463</v>
      </c>
      <c r="E327" s="12" t="s">
        <v>254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</row>
    <row r="328" s="1" customFormat="1" ht="14.25" hidden="1" spans="1:17">
      <c r="A328" s="1" t="str">
        <f>VLOOKUP(B328,combinate!A:B,2,FALSE)</f>
        <v>Group C</v>
      </c>
      <c r="B328" s="8">
        <v>254710665594</v>
      </c>
      <c r="C328" s="9">
        <v>29379</v>
      </c>
      <c r="D328" s="10">
        <v>46166.5829861111</v>
      </c>
      <c r="E328" s="12" t="s">
        <v>254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</row>
    <row r="329" s="1" customFormat="1" ht="14.25" hidden="1" spans="1:17">
      <c r="A329" s="1" t="str">
        <f>VLOOKUP(B329,combinate!A:B,2,FALSE)</f>
        <v>Group B</v>
      </c>
      <c r="B329" s="8">
        <v>254769733116</v>
      </c>
      <c r="C329" s="9">
        <v>477014</v>
      </c>
      <c r="D329" s="10">
        <v>46184.1541550926</v>
      </c>
      <c r="E329" s="11" t="s">
        <v>250</v>
      </c>
      <c r="F329" s="9">
        <v>68.93</v>
      </c>
      <c r="G329" s="9">
        <v>9168.25</v>
      </c>
      <c r="H329" s="9">
        <v>0</v>
      </c>
      <c r="I329" s="9">
        <v>9168.25</v>
      </c>
      <c r="J329" s="9">
        <v>0</v>
      </c>
      <c r="K329" s="9">
        <v>-1148.9</v>
      </c>
      <c r="L329" s="9">
        <v>-8.64</v>
      </c>
      <c r="M329" s="9">
        <v>-1148.9</v>
      </c>
      <c r="N329" s="9">
        <v>16.08</v>
      </c>
      <c r="O329" s="9">
        <v>2138.45</v>
      </c>
      <c r="P329" s="9">
        <v>25.71</v>
      </c>
      <c r="Q329" s="9">
        <v>3420</v>
      </c>
    </row>
    <row r="330" s="1" customFormat="1" ht="14.25" hidden="1" spans="1:17">
      <c r="A330" s="1" t="str">
        <f>VLOOKUP(B330,combinate!A:B,2,FALSE)</f>
        <v>Group A</v>
      </c>
      <c r="B330" s="8">
        <v>254723112675</v>
      </c>
      <c r="C330" s="9">
        <v>1638882</v>
      </c>
      <c r="D330" s="10">
        <v>46183.6492939815</v>
      </c>
      <c r="E330" s="11" t="s">
        <v>250</v>
      </c>
      <c r="F330" s="9">
        <v>41.28</v>
      </c>
      <c r="G330" s="9">
        <v>5490</v>
      </c>
      <c r="H330" s="9">
        <v>0</v>
      </c>
      <c r="I330" s="9">
        <v>5490</v>
      </c>
      <c r="J330" s="9">
        <v>0</v>
      </c>
      <c r="K330" s="9">
        <v>495</v>
      </c>
      <c r="L330" s="9">
        <v>3.72</v>
      </c>
      <c r="M330" s="9">
        <v>495</v>
      </c>
      <c r="N330" s="9">
        <v>4.26</v>
      </c>
      <c r="O330" s="9">
        <v>567.15</v>
      </c>
      <c r="P330" s="9">
        <v>2.52</v>
      </c>
      <c r="Q330" s="9">
        <v>335.03</v>
      </c>
    </row>
    <row r="331" s="1" customFormat="1" ht="14.25" hidden="1" spans="1:17">
      <c r="A331" s="1" t="str">
        <f>VLOOKUP(B331,combinate!A:B,2,FALSE)</f>
        <v>Group A</v>
      </c>
      <c r="B331" s="8">
        <v>254722884184</v>
      </c>
      <c r="C331" s="9">
        <v>2088102</v>
      </c>
      <c r="D331" s="10">
        <v>46181.969849537</v>
      </c>
      <c r="E331" s="12" t="s">
        <v>254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</row>
    <row r="332" s="1" customFormat="1" ht="14.25" hidden="1" spans="1:17">
      <c r="A332" s="1" t="str">
        <f>VLOOKUP(B332,combinate!A:B,2,FALSE)</f>
        <v>Group A</v>
      </c>
      <c r="B332" s="8">
        <v>254741672328</v>
      </c>
      <c r="C332" s="9">
        <v>2159140</v>
      </c>
      <c r="D332" s="10">
        <v>46181.4102546296</v>
      </c>
      <c r="E332" s="12" t="s">
        <v>254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0</v>
      </c>
      <c r="Q332" s="9">
        <v>0</v>
      </c>
    </row>
    <row r="333" s="1" customFormat="1" ht="14.25" hidden="1" spans="1:17">
      <c r="A333" s="1" t="str">
        <f>VLOOKUP(B333,combinate!A:B,2,FALSE)</f>
        <v>Group B</v>
      </c>
      <c r="B333" s="8">
        <v>254716174080</v>
      </c>
      <c r="C333" s="9">
        <v>2324925</v>
      </c>
      <c r="D333" s="10">
        <v>46183.7481481481</v>
      </c>
      <c r="E333" s="12" t="s">
        <v>254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</row>
    <row r="334" s="1" customFormat="1" ht="14.25" hidden="1" spans="1:17">
      <c r="A334" s="1" t="str">
        <f>VLOOKUP(B334,combinate!A:B,2,FALSE)</f>
        <v>Group C</v>
      </c>
      <c r="B334" s="8">
        <v>254726590413</v>
      </c>
      <c r="C334" s="9">
        <v>2862549</v>
      </c>
      <c r="D334" s="10">
        <v>46183.7060416667</v>
      </c>
      <c r="E334" s="11" t="s">
        <v>250</v>
      </c>
      <c r="F334" s="9">
        <v>26.95</v>
      </c>
      <c r="G334" s="9">
        <v>3585</v>
      </c>
      <c r="H334" s="9">
        <v>0</v>
      </c>
      <c r="I334" s="9">
        <v>3585</v>
      </c>
      <c r="J334" s="9">
        <v>0</v>
      </c>
      <c r="K334" s="9">
        <v>413</v>
      </c>
      <c r="L334" s="9">
        <v>3.11</v>
      </c>
      <c r="M334" s="9">
        <v>413</v>
      </c>
      <c r="N334" s="9">
        <v>6.03</v>
      </c>
      <c r="O334" s="9">
        <v>801.8</v>
      </c>
      <c r="P334" s="9">
        <v>2.63</v>
      </c>
      <c r="Q334" s="9">
        <v>350</v>
      </c>
    </row>
    <row r="335" s="1" customFormat="1" ht="14.25" hidden="1" spans="1:17">
      <c r="A335" s="1" t="str">
        <f>VLOOKUP(B335,combinate!A:B,2,FALSE)</f>
        <v>Group C</v>
      </c>
      <c r="B335" s="8">
        <v>254748503820</v>
      </c>
      <c r="C335" s="9">
        <v>3108369</v>
      </c>
      <c r="D335" s="10">
        <v>46163.1374305556</v>
      </c>
      <c r="E335" s="12" t="s">
        <v>254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</row>
    <row r="336" s="1" customFormat="1" ht="14.25" hidden="1" spans="1:17">
      <c r="A336" s="1" t="str">
        <f>VLOOKUP(B336,combinate!A:B,2,FALSE)</f>
        <v>Group B</v>
      </c>
      <c r="B336" s="8">
        <v>254723542060</v>
      </c>
      <c r="C336" s="9">
        <v>3186344</v>
      </c>
      <c r="D336" s="10">
        <v>46183.1274421296</v>
      </c>
      <c r="E336" s="11" t="s">
        <v>250</v>
      </c>
      <c r="F336" s="9">
        <v>5.84</v>
      </c>
      <c r="G336" s="9">
        <v>777</v>
      </c>
      <c r="H336" s="9">
        <v>0</v>
      </c>
      <c r="I336" s="9">
        <v>777</v>
      </c>
      <c r="J336" s="9">
        <v>0</v>
      </c>
      <c r="K336" s="9">
        <v>130.39</v>
      </c>
      <c r="L336" s="9">
        <v>0.98</v>
      </c>
      <c r="M336" s="9">
        <v>130.39</v>
      </c>
      <c r="N336" s="9">
        <v>0.92</v>
      </c>
      <c r="O336" s="9">
        <v>122.55</v>
      </c>
      <c r="P336" s="9">
        <v>0</v>
      </c>
      <c r="Q336" s="9">
        <v>0</v>
      </c>
    </row>
    <row r="337" s="1" customFormat="1" ht="14.25" hidden="1" spans="1:17">
      <c r="A337" s="1" t="str">
        <f>VLOOKUP(B337,combinate!A:B,2,FALSE)</f>
        <v>Group A</v>
      </c>
      <c r="B337" s="8">
        <v>254796048427</v>
      </c>
      <c r="C337" s="9">
        <v>3243840</v>
      </c>
      <c r="D337" s="10">
        <v>46161.5352662037</v>
      </c>
      <c r="E337" s="12" t="s">
        <v>254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</row>
    <row r="338" s="1" customFormat="1" ht="14.25" hidden="1" spans="1:17">
      <c r="A338" s="1" t="str">
        <f>VLOOKUP(B338,combinate!A:B,2,FALSE)</f>
        <v>Group B</v>
      </c>
      <c r="B338" s="8">
        <v>254729879984</v>
      </c>
      <c r="C338" s="9">
        <v>3519405</v>
      </c>
      <c r="D338" s="10">
        <v>46160.8699652778</v>
      </c>
      <c r="E338" s="12" t="s">
        <v>254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</row>
    <row r="339" s="1" customFormat="1" ht="14.25" hidden="1" spans="1:17">
      <c r="A339" s="1" t="str">
        <f>VLOOKUP(B339,combinate!A:B,2,FALSE)</f>
        <v>Group C</v>
      </c>
      <c r="B339" s="8">
        <v>254704539977</v>
      </c>
      <c r="C339" s="9">
        <v>7928869</v>
      </c>
      <c r="D339" s="10">
        <v>46183.7014699074</v>
      </c>
      <c r="E339" s="11" t="s">
        <v>250</v>
      </c>
      <c r="F339" s="9">
        <v>146.35</v>
      </c>
      <c r="G339" s="9">
        <v>19465</v>
      </c>
      <c r="H339" s="9">
        <v>0</v>
      </c>
      <c r="I339" s="9">
        <v>19465</v>
      </c>
      <c r="J339" s="9">
        <v>0</v>
      </c>
      <c r="K339" s="9">
        <v>1340</v>
      </c>
      <c r="L339" s="9">
        <v>10.08</v>
      </c>
      <c r="M339" s="9">
        <v>1340</v>
      </c>
      <c r="N339" s="9">
        <v>25</v>
      </c>
      <c r="O339" s="9">
        <v>3325</v>
      </c>
      <c r="P339" s="9">
        <v>116.33</v>
      </c>
      <c r="Q339" s="9">
        <v>15471.55</v>
      </c>
    </row>
    <row r="340" s="1" customFormat="1" ht="14.25" hidden="1" spans="1:17">
      <c r="A340" s="1" t="str">
        <f>VLOOKUP(B340,combinate!A:B,2,FALSE)</f>
        <v>Group A</v>
      </c>
      <c r="B340" s="8">
        <v>254722520329</v>
      </c>
      <c r="C340" s="9">
        <v>8075822</v>
      </c>
      <c r="D340" s="10">
        <v>46176.581400463</v>
      </c>
      <c r="E340" s="12" t="s">
        <v>254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</row>
    <row r="341" s="1" customFormat="1" ht="14.25" hidden="1" spans="1:17">
      <c r="A341" s="1" t="str">
        <f>VLOOKUP(B341,combinate!A:B,2,FALSE)</f>
        <v>Group C</v>
      </c>
      <c r="B341" s="8">
        <v>254704497927</v>
      </c>
      <c r="C341" s="9">
        <v>8390857</v>
      </c>
      <c r="D341" s="10">
        <v>46163.6077199074</v>
      </c>
      <c r="E341" s="12" t="s">
        <v>254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  <c r="O341" s="9">
        <v>0</v>
      </c>
      <c r="P341" s="9">
        <v>0</v>
      </c>
      <c r="Q341" s="9">
        <v>0</v>
      </c>
    </row>
    <row r="342" s="1" customFormat="1" ht="14.25" spans="1:17">
      <c r="A342" s="1" t="str">
        <f>VLOOKUP(B342,combinate!A:B,2,FALSE)</f>
        <v>Group C</v>
      </c>
      <c r="B342" s="8">
        <v>254753067729</v>
      </c>
      <c r="C342" s="9">
        <v>9307057</v>
      </c>
      <c r="D342" s="10">
        <v>46179.5908796296</v>
      </c>
      <c r="E342" s="11" t="s">
        <v>250</v>
      </c>
      <c r="F342" s="9">
        <v>578.72</v>
      </c>
      <c r="G342" s="9">
        <v>76970</v>
      </c>
      <c r="H342" s="9">
        <v>0</v>
      </c>
      <c r="I342" s="9">
        <v>76970</v>
      </c>
      <c r="J342" s="9">
        <v>0</v>
      </c>
      <c r="K342" s="9">
        <v>17170</v>
      </c>
      <c r="L342" s="9">
        <v>129.1</v>
      </c>
      <c r="M342" s="9">
        <v>17170</v>
      </c>
      <c r="N342" s="9">
        <v>100</v>
      </c>
      <c r="O342" s="9">
        <v>13300</v>
      </c>
      <c r="P342" s="9">
        <v>124.01</v>
      </c>
      <c r="Q342" s="9">
        <v>16493.81</v>
      </c>
    </row>
    <row r="343" s="1" customFormat="1" ht="14.25" hidden="1" spans="1:17">
      <c r="A343" s="1" t="str">
        <f>VLOOKUP(B343,combinate!A:B,2,FALSE)</f>
        <v>Group A</v>
      </c>
      <c r="B343" s="8">
        <v>254799264269</v>
      </c>
      <c r="C343" s="9">
        <v>11686570</v>
      </c>
      <c r="D343" s="10">
        <v>46181.3359143519</v>
      </c>
      <c r="E343" s="12" t="s">
        <v>254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  <c r="O343" s="9">
        <v>0</v>
      </c>
      <c r="P343" s="9">
        <v>0</v>
      </c>
      <c r="Q343" s="9">
        <v>0</v>
      </c>
    </row>
    <row r="344" s="1" customFormat="1" ht="14.25" hidden="1" spans="1:17">
      <c r="A344" s="1" t="str">
        <f>VLOOKUP(B344,combinate!A:B,2,FALSE)</f>
        <v>Group C</v>
      </c>
      <c r="B344" s="8">
        <v>254700390020</v>
      </c>
      <c r="C344" s="9">
        <v>12213316</v>
      </c>
      <c r="D344" s="10">
        <v>46182.5559490741</v>
      </c>
      <c r="E344" s="11" t="s">
        <v>250</v>
      </c>
      <c r="F344" s="9">
        <v>1.86</v>
      </c>
      <c r="G344" s="9">
        <v>248</v>
      </c>
      <c r="H344" s="9">
        <v>0</v>
      </c>
      <c r="I344" s="9">
        <v>248</v>
      </c>
      <c r="J344" s="9">
        <v>0</v>
      </c>
      <c r="K344" s="9">
        <v>197.45</v>
      </c>
      <c r="L344" s="9">
        <v>1.48</v>
      </c>
      <c r="M344" s="9">
        <v>197.45</v>
      </c>
      <c r="N344" s="9">
        <v>1.43</v>
      </c>
      <c r="O344" s="9">
        <v>190</v>
      </c>
      <c r="P344" s="9">
        <v>0</v>
      </c>
      <c r="Q344" s="9">
        <v>0</v>
      </c>
    </row>
    <row r="345" s="1" customFormat="1" ht="14.25" spans="1:17">
      <c r="A345" s="1" t="str">
        <f>VLOOKUP(B345,combinate!A:B,2,FALSE)</f>
        <v>Group C</v>
      </c>
      <c r="B345" s="8">
        <v>254710155478</v>
      </c>
      <c r="C345" s="9">
        <v>12651879</v>
      </c>
      <c r="D345" s="10">
        <v>46179.7502893519</v>
      </c>
      <c r="E345" s="11" t="s">
        <v>250</v>
      </c>
      <c r="F345" s="9">
        <v>2022.09</v>
      </c>
      <c r="G345" s="9">
        <v>268938.01</v>
      </c>
      <c r="H345" s="9">
        <v>0</v>
      </c>
      <c r="I345" s="9">
        <v>268938.01</v>
      </c>
      <c r="J345" s="9">
        <v>0</v>
      </c>
      <c r="K345" s="9">
        <v>22214.61</v>
      </c>
      <c r="L345" s="9">
        <v>167.03</v>
      </c>
      <c r="M345" s="9">
        <v>22214.61</v>
      </c>
      <c r="N345" s="9">
        <v>225.26</v>
      </c>
      <c r="O345" s="9">
        <v>29960.15</v>
      </c>
      <c r="P345" s="9">
        <v>113.53</v>
      </c>
      <c r="Q345" s="9">
        <v>15100</v>
      </c>
    </row>
    <row r="346" s="1" customFormat="1" ht="14.25" hidden="1" spans="1:17">
      <c r="A346" s="1" t="str">
        <f>VLOOKUP(B346,combinate!A:B,2,FALSE)</f>
        <v>Group A</v>
      </c>
      <c r="B346" s="8">
        <v>254725806597</v>
      </c>
      <c r="C346" s="9">
        <v>12799791</v>
      </c>
      <c r="D346" s="10">
        <v>46182.4910648148</v>
      </c>
      <c r="E346" s="11" t="s">
        <v>250</v>
      </c>
      <c r="F346" s="9">
        <v>2.41</v>
      </c>
      <c r="G346" s="9">
        <v>321.06</v>
      </c>
      <c r="H346" s="9">
        <v>0</v>
      </c>
      <c r="I346" s="9">
        <v>321.06</v>
      </c>
      <c r="J346" s="9">
        <v>0</v>
      </c>
      <c r="K346" s="9">
        <v>86.13</v>
      </c>
      <c r="L346" s="9">
        <v>0.65</v>
      </c>
      <c r="M346" s="9">
        <v>86.13</v>
      </c>
      <c r="N346" s="9">
        <v>0.64</v>
      </c>
      <c r="O346" s="9">
        <v>85.5</v>
      </c>
      <c r="P346" s="9">
        <v>0</v>
      </c>
      <c r="Q346" s="9">
        <v>0</v>
      </c>
    </row>
    <row r="347" s="1" customFormat="1" ht="14.25" hidden="1" spans="1:17">
      <c r="A347" s="1" t="str">
        <f>VLOOKUP(B347,combinate!A:B,2,FALSE)</f>
        <v>Group A</v>
      </c>
      <c r="B347" s="8">
        <v>254740709013</v>
      </c>
      <c r="C347" s="9">
        <v>13042442</v>
      </c>
      <c r="D347" s="10">
        <v>46166.5316319444</v>
      </c>
      <c r="E347" s="12" t="s">
        <v>254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</row>
    <row r="348" s="1" customFormat="1" ht="14.25" hidden="1" spans="1:17">
      <c r="A348" s="1" t="str">
        <f>VLOOKUP(B348,combinate!A:B,2,FALSE)</f>
        <v>Group A</v>
      </c>
      <c r="B348" s="8">
        <v>254702759164</v>
      </c>
      <c r="C348" s="9">
        <v>13374861</v>
      </c>
      <c r="D348" s="10">
        <v>46162.2918402778</v>
      </c>
      <c r="E348" s="12" t="s">
        <v>254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  <c r="O348" s="9">
        <v>0</v>
      </c>
      <c r="P348" s="9">
        <v>0</v>
      </c>
      <c r="Q348" s="9">
        <v>0</v>
      </c>
    </row>
    <row r="349" s="1" customFormat="1" ht="14.25" hidden="1" spans="1:17">
      <c r="A349" s="1" t="str">
        <f>VLOOKUP(B349,combinate!A:B,2,FALSE)</f>
        <v>Group C</v>
      </c>
      <c r="B349" s="8">
        <v>254745858225</v>
      </c>
      <c r="C349" s="9">
        <v>13390656</v>
      </c>
      <c r="D349" s="10">
        <v>46182.7864930556</v>
      </c>
      <c r="E349" s="11" t="s">
        <v>250</v>
      </c>
      <c r="F349" s="9">
        <v>0.15</v>
      </c>
      <c r="G349" s="9">
        <v>20</v>
      </c>
      <c r="H349" s="9">
        <v>0</v>
      </c>
      <c r="I349" s="9">
        <v>20</v>
      </c>
      <c r="J349" s="9">
        <v>0</v>
      </c>
      <c r="K349" s="9">
        <v>20</v>
      </c>
      <c r="L349" s="9">
        <v>0.15</v>
      </c>
      <c r="M349" s="9">
        <v>20</v>
      </c>
      <c r="N349" s="9">
        <v>0</v>
      </c>
      <c r="O349" s="9">
        <v>0</v>
      </c>
      <c r="P349" s="9">
        <v>0</v>
      </c>
      <c r="Q349" s="9">
        <v>0</v>
      </c>
    </row>
    <row r="350" s="1" customFormat="1" ht="14.25" hidden="1" spans="1:17">
      <c r="A350" s="1" t="str">
        <f>VLOOKUP(B350,combinate!A:B,2,FALSE)</f>
        <v>Group C</v>
      </c>
      <c r="B350" s="8">
        <v>254113550481</v>
      </c>
      <c r="C350" s="9">
        <v>13412347</v>
      </c>
      <c r="D350" s="10">
        <v>46182.6112384259</v>
      </c>
      <c r="E350" s="11" t="s">
        <v>250</v>
      </c>
      <c r="F350" s="9">
        <v>4.88</v>
      </c>
      <c r="G350" s="9">
        <v>648.51</v>
      </c>
      <c r="H350" s="9">
        <v>0</v>
      </c>
      <c r="I350" s="9">
        <v>648.51</v>
      </c>
      <c r="J350" s="9">
        <v>0</v>
      </c>
      <c r="K350" s="9">
        <v>112</v>
      </c>
      <c r="L350" s="9">
        <v>0.84</v>
      </c>
      <c r="M350" s="9">
        <v>112</v>
      </c>
      <c r="N350" s="9">
        <v>0.64</v>
      </c>
      <c r="O350" s="9">
        <v>85.5</v>
      </c>
      <c r="P350" s="9">
        <v>3.37</v>
      </c>
      <c r="Q350" s="9">
        <v>448.31</v>
      </c>
    </row>
    <row r="351" s="1" customFormat="1" ht="14.25" hidden="1" spans="1:17">
      <c r="A351" s="1" t="str">
        <f>VLOOKUP(B351,combinate!A:B,2,FALSE)</f>
        <v>Group C</v>
      </c>
      <c r="B351" s="8">
        <v>254110233502</v>
      </c>
      <c r="C351" s="9">
        <v>14114747</v>
      </c>
      <c r="D351" s="10">
        <v>46178.7568634259</v>
      </c>
      <c r="E351" s="12" t="s">
        <v>254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  <c r="O351" s="9">
        <v>0</v>
      </c>
      <c r="P351" s="9">
        <v>0</v>
      </c>
      <c r="Q351" s="9">
        <v>0</v>
      </c>
    </row>
    <row r="352" s="1" customFormat="1" ht="14.25" hidden="1" spans="1:17">
      <c r="A352" s="1" t="str">
        <f>VLOOKUP(B352,combinate!A:B,2,FALSE)</f>
        <v>Group A</v>
      </c>
      <c r="B352" s="8">
        <v>254729930399</v>
      </c>
      <c r="C352" s="9">
        <v>14422351</v>
      </c>
      <c r="D352" s="10">
        <v>46163.7929050926</v>
      </c>
      <c r="E352" s="12" t="s">
        <v>254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  <c r="O352" s="9">
        <v>0</v>
      </c>
      <c r="P352" s="9">
        <v>0</v>
      </c>
      <c r="Q352" s="9">
        <v>0</v>
      </c>
    </row>
    <row r="353" s="1" customFormat="1" ht="14.25" hidden="1" spans="1:17">
      <c r="A353" s="1" t="str">
        <f>VLOOKUP(B353,combinate!A:B,2,FALSE)</f>
        <v>Group C</v>
      </c>
      <c r="B353" s="8">
        <v>254745965971</v>
      </c>
      <c r="C353" s="9">
        <v>14917849</v>
      </c>
      <c r="D353" s="10">
        <v>46184.1837962963</v>
      </c>
      <c r="E353" s="11" t="s">
        <v>250</v>
      </c>
      <c r="F353" s="9">
        <v>11.26</v>
      </c>
      <c r="G353" s="9">
        <v>1497</v>
      </c>
      <c r="H353" s="9">
        <v>0</v>
      </c>
      <c r="I353" s="9">
        <v>1497</v>
      </c>
      <c r="J353" s="9">
        <v>0</v>
      </c>
      <c r="K353" s="9">
        <v>176.26</v>
      </c>
      <c r="L353" s="9">
        <v>1.33</v>
      </c>
      <c r="M353" s="9">
        <v>176.26</v>
      </c>
      <c r="N353" s="9">
        <v>2.08</v>
      </c>
      <c r="O353" s="9">
        <v>276.45</v>
      </c>
      <c r="P353" s="9">
        <v>5.45</v>
      </c>
      <c r="Q353" s="9">
        <v>725</v>
      </c>
    </row>
    <row r="354" s="1" customFormat="1" ht="14.25" hidden="1" spans="1:17">
      <c r="A354" s="1" t="str">
        <f>VLOOKUP(B354,combinate!A:B,2,FALSE)</f>
        <v>Group A</v>
      </c>
      <c r="B354" s="8">
        <v>254708493971</v>
      </c>
      <c r="C354" s="9">
        <v>15331321</v>
      </c>
      <c r="D354" s="10">
        <v>46184.0177777778</v>
      </c>
      <c r="E354" s="11" t="s">
        <v>250</v>
      </c>
      <c r="F354" s="9">
        <v>32.62</v>
      </c>
      <c r="G354" s="9">
        <v>4338</v>
      </c>
      <c r="H354" s="9">
        <v>0</v>
      </c>
      <c r="I354" s="9">
        <v>4338</v>
      </c>
      <c r="J354" s="9">
        <v>0</v>
      </c>
      <c r="K354" s="9">
        <v>665.6</v>
      </c>
      <c r="L354" s="9">
        <v>5</v>
      </c>
      <c r="M354" s="9">
        <v>665.6</v>
      </c>
      <c r="N354" s="9">
        <v>5.71</v>
      </c>
      <c r="O354" s="9">
        <v>760</v>
      </c>
      <c r="P354" s="9">
        <v>0</v>
      </c>
      <c r="Q354" s="9">
        <v>0</v>
      </c>
    </row>
    <row r="355" s="1" customFormat="1" ht="14.25" hidden="1" spans="1:17">
      <c r="A355" s="1" t="str">
        <f>VLOOKUP(B355,combinate!A:B,2,FALSE)</f>
        <v>Group A</v>
      </c>
      <c r="B355" s="8">
        <v>254701945725</v>
      </c>
      <c r="C355" s="9">
        <v>15405231</v>
      </c>
      <c r="D355" s="10">
        <v>46162.8441782407</v>
      </c>
      <c r="E355" s="12" t="s">
        <v>254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  <c r="M355" s="9">
        <v>0</v>
      </c>
      <c r="N355" s="9">
        <v>0</v>
      </c>
      <c r="O355" s="9">
        <v>0</v>
      </c>
      <c r="P355" s="9">
        <v>0</v>
      </c>
      <c r="Q355" s="9">
        <v>0</v>
      </c>
    </row>
    <row r="356" s="1" customFormat="1" ht="14.25" hidden="1" spans="1:17">
      <c r="A356" s="1" t="str">
        <f>VLOOKUP(B356,combinate!A:B,2,FALSE)</f>
        <v>Group A</v>
      </c>
      <c r="B356" s="8">
        <v>254792141332</v>
      </c>
      <c r="C356" s="9">
        <v>15993772</v>
      </c>
      <c r="D356" s="10">
        <v>46182.1855787037</v>
      </c>
      <c r="E356" s="11" t="s">
        <v>250</v>
      </c>
      <c r="F356" s="9">
        <v>3.38</v>
      </c>
      <c r="G356" s="9">
        <v>449</v>
      </c>
      <c r="H356" s="9">
        <v>30</v>
      </c>
      <c r="I356" s="9">
        <v>419</v>
      </c>
      <c r="J356" s="9">
        <v>30</v>
      </c>
      <c r="K356" s="9">
        <v>183.82</v>
      </c>
      <c r="L356" s="9">
        <v>1.61</v>
      </c>
      <c r="M356" s="9">
        <v>213.82</v>
      </c>
      <c r="N356" s="9">
        <v>1.61</v>
      </c>
      <c r="O356" s="9">
        <v>213.75</v>
      </c>
      <c r="P356" s="9">
        <v>0</v>
      </c>
      <c r="Q356" s="9">
        <v>0</v>
      </c>
    </row>
    <row r="357" s="1" customFormat="1" ht="14.25" hidden="1" spans="1:17">
      <c r="A357" s="1" t="str">
        <f>VLOOKUP(B357,combinate!A:B,2,FALSE)</f>
        <v>Group C</v>
      </c>
      <c r="B357" s="8">
        <v>254714398889</v>
      </c>
      <c r="C357" s="9">
        <v>16613037</v>
      </c>
      <c r="D357" s="10">
        <v>46181.872337963</v>
      </c>
      <c r="E357" s="11" t="s">
        <v>250</v>
      </c>
      <c r="F357" s="9">
        <v>247.92</v>
      </c>
      <c r="G357" s="9">
        <v>32973</v>
      </c>
      <c r="H357" s="9">
        <v>0</v>
      </c>
      <c r="I357" s="9">
        <v>32973</v>
      </c>
      <c r="J357" s="9">
        <v>0</v>
      </c>
      <c r="K357" s="9">
        <v>4751</v>
      </c>
      <c r="L357" s="9">
        <v>35.72</v>
      </c>
      <c r="M357" s="9">
        <v>4751</v>
      </c>
      <c r="N357" s="9">
        <v>35.71</v>
      </c>
      <c r="O357" s="9">
        <v>4750</v>
      </c>
      <c r="P357" s="9">
        <v>0</v>
      </c>
      <c r="Q357" s="9">
        <v>0</v>
      </c>
    </row>
    <row r="358" s="1" customFormat="1" ht="14.25" hidden="1" spans="1:17">
      <c r="A358" s="1" t="str">
        <f>VLOOKUP(B358,combinate!A:B,2,FALSE)</f>
        <v>Group B</v>
      </c>
      <c r="B358" s="8">
        <v>254791432424</v>
      </c>
      <c r="C358" s="9">
        <v>17079535</v>
      </c>
      <c r="D358" s="10">
        <v>46184.0072685185</v>
      </c>
      <c r="E358" s="11" t="s">
        <v>250</v>
      </c>
      <c r="F358" s="9">
        <v>14.44</v>
      </c>
      <c r="G358" s="9">
        <v>1920</v>
      </c>
      <c r="H358" s="9">
        <v>0</v>
      </c>
      <c r="I358" s="9">
        <v>1920</v>
      </c>
      <c r="J358" s="9">
        <v>0</v>
      </c>
      <c r="K358" s="9">
        <v>94</v>
      </c>
      <c r="L358" s="9">
        <v>0.71</v>
      </c>
      <c r="M358" s="9">
        <v>94</v>
      </c>
      <c r="N358" s="9">
        <v>0.71</v>
      </c>
      <c r="O358" s="9">
        <v>95</v>
      </c>
      <c r="P358" s="9">
        <v>0</v>
      </c>
      <c r="Q358" s="9">
        <v>0</v>
      </c>
    </row>
    <row r="359" s="1" customFormat="1" ht="14.25" hidden="1" spans="1:17">
      <c r="A359" s="1" t="str">
        <f>VLOOKUP(B359,combinate!A:B,2,FALSE)</f>
        <v>Group A</v>
      </c>
      <c r="B359" s="8">
        <v>254769198597</v>
      </c>
      <c r="C359" s="9">
        <v>17779512</v>
      </c>
      <c r="D359" s="10">
        <v>46163.8847800926</v>
      </c>
      <c r="E359" s="12" t="s">
        <v>254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  <c r="O359" s="9">
        <v>0</v>
      </c>
      <c r="P359" s="9">
        <v>0</v>
      </c>
      <c r="Q359" s="9">
        <v>0</v>
      </c>
    </row>
    <row r="360" s="1" customFormat="1" ht="14.25" hidden="1" spans="1:17">
      <c r="A360" s="1" t="str">
        <f>VLOOKUP(B360,combinate!A:B,2,FALSE)</f>
        <v>Group A</v>
      </c>
      <c r="B360" s="8">
        <v>254795123062</v>
      </c>
      <c r="C360" s="9">
        <v>17840181</v>
      </c>
      <c r="D360" s="10">
        <v>46160.4603356481</v>
      </c>
      <c r="E360" s="12" t="s">
        <v>254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  <c r="O360" s="9">
        <v>0</v>
      </c>
      <c r="P360" s="9">
        <v>0</v>
      </c>
      <c r="Q360" s="9">
        <v>0</v>
      </c>
    </row>
    <row r="361" s="1" customFormat="1" ht="14.25" hidden="1" spans="1:17">
      <c r="A361" s="1" t="str">
        <f>VLOOKUP(B361,combinate!A:B,2,FALSE)</f>
        <v>Group C</v>
      </c>
      <c r="B361" s="8">
        <v>254790767800</v>
      </c>
      <c r="C361" s="9">
        <v>18605226</v>
      </c>
      <c r="D361" s="10">
        <v>46182.6240740741</v>
      </c>
      <c r="E361" s="11" t="s">
        <v>250</v>
      </c>
      <c r="F361" s="9">
        <v>1.71</v>
      </c>
      <c r="G361" s="9">
        <v>227.46</v>
      </c>
      <c r="H361" s="9">
        <v>0</v>
      </c>
      <c r="I361" s="9">
        <v>227.46</v>
      </c>
      <c r="J361" s="9">
        <v>0</v>
      </c>
      <c r="K361" s="9">
        <v>47.49</v>
      </c>
      <c r="L361" s="9">
        <v>0.36</v>
      </c>
      <c r="M361" s="9">
        <v>47.49</v>
      </c>
      <c r="N361" s="9">
        <v>0.36</v>
      </c>
      <c r="O361" s="9">
        <v>47.5</v>
      </c>
      <c r="P361" s="9">
        <v>0</v>
      </c>
      <c r="Q361" s="9">
        <v>0</v>
      </c>
    </row>
    <row r="362" s="1" customFormat="1" ht="14.25" hidden="1" spans="1:17">
      <c r="A362" s="1" t="str">
        <f>VLOOKUP(B362,combinate!A:B,2,FALSE)</f>
        <v>Group A</v>
      </c>
      <c r="B362" s="8">
        <v>254113576740</v>
      </c>
      <c r="C362" s="9">
        <v>18670890</v>
      </c>
      <c r="D362" s="10">
        <v>46179.6724768519</v>
      </c>
      <c r="E362" s="12" t="s">
        <v>254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  <c r="O362" s="9">
        <v>0</v>
      </c>
      <c r="P362" s="9">
        <v>0</v>
      </c>
      <c r="Q362" s="9">
        <v>0</v>
      </c>
    </row>
    <row r="363" s="1" customFormat="1" ht="14.25" hidden="1" spans="1:17">
      <c r="A363" s="1" t="str">
        <f>VLOOKUP(B363,combinate!A:B,2,FALSE)</f>
        <v>Group C</v>
      </c>
      <c r="B363" s="8">
        <v>254706880969</v>
      </c>
      <c r="C363" s="9">
        <v>19161116</v>
      </c>
      <c r="D363" s="10">
        <v>46162.1539351852</v>
      </c>
      <c r="E363" s="12" t="s">
        <v>254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  <c r="O363" s="9">
        <v>0</v>
      </c>
      <c r="P363" s="9">
        <v>0</v>
      </c>
      <c r="Q363" s="9">
        <v>0</v>
      </c>
    </row>
    <row r="364" s="1" customFormat="1" ht="14.25" hidden="1" spans="1:17">
      <c r="A364" s="1" t="str">
        <f>VLOOKUP(B364,combinate!A:B,2,FALSE)</f>
        <v>Group C</v>
      </c>
      <c r="B364" s="8">
        <v>254715856035</v>
      </c>
      <c r="C364" s="9">
        <v>19730697</v>
      </c>
      <c r="D364" s="10">
        <v>46178.9431365741</v>
      </c>
      <c r="E364" s="11" t="s">
        <v>250</v>
      </c>
      <c r="F364" s="9">
        <v>6.35</v>
      </c>
      <c r="G364" s="9">
        <v>845.15</v>
      </c>
      <c r="H364" s="9">
        <v>0</v>
      </c>
      <c r="I364" s="9">
        <v>845.15</v>
      </c>
      <c r="J364" s="9">
        <v>0</v>
      </c>
      <c r="K364" s="9">
        <v>-202.85</v>
      </c>
      <c r="L364" s="9">
        <v>-1.53</v>
      </c>
      <c r="M364" s="9">
        <v>-202.85</v>
      </c>
      <c r="N364" s="9">
        <v>1.43</v>
      </c>
      <c r="O364" s="9">
        <v>190</v>
      </c>
      <c r="P364" s="9">
        <v>2.63</v>
      </c>
      <c r="Q364" s="9">
        <v>350</v>
      </c>
    </row>
    <row r="365" s="1" customFormat="1" ht="14.25" hidden="1" spans="1:17">
      <c r="A365" s="1" t="str">
        <f>VLOOKUP(B365,combinate!A:B,2,FALSE)</f>
        <v>Group C</v>
      </c>
      <c r="B365" s="8">
        <v>254769684724</v>
      </c>
      <c r="C365" s="9">
        <v>20851077</v>
      </c>
      <c r="D365" s="10">
        <v>46183.7098726852</v>
      </c>
      <c r="E365" s="11" t="s">
        <v>250</v>
      </c>
      <c r="F365" s="9">
        <v>1.56</v>
      </c>
      <c r="G365" s="9">
        <v>208</v>
      </c>
      <c r="H365" s="9">
        <v>0</v>
      </c>
      <c r="I365" s="9">
        <v>208</v>
      </c>
      <c r="J365" s="9">
        <v>0</v>
      </c>
      <c r="K365" s="9">
        <v>94.6</v>
      </c>
      <c r="L365" s="9">
        <v>0.71</v>
      </c>
      <c r="M365" s="9">
        <v>94.6</v>
      </c>
      <c r="N365" s="9">
        <v>0.71</v>
      </c>
      <c r="O365" s="9">
        <v>95</v>
      </c>
      <c r="P365" s="9">
        <v>0</v>
      </c>
      <c r="Q365" s="9">
        <v>0</v>
      </c>
    </row>
    <row r="366" s="1" customFormat="1" ht="14.25" hidden="1" spans="1:17">
      <c r="A366" s="1" t="str">
        <f>VLOOKUP(B366,combinate!A:B,2,FALSE)</f>
        <v>Group C</v>
      </c>
      <c r="B366" s="8">
        <v>254792536727</v>
      </c>
      <c r="C366" s="9">
        <v>20933788</v>
      </c>
      <c r="D366" s="10">
        <v>46163.2027546296</v>
      </c>
      <c r="E366" s="12" t="s">
        <v>254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  <c r="O366" s="9">
        <v>0</v>
      </c>
      <c r="P366" s="9">
        <v>0</v>
      </c>
      <c r="Q366" s="9">
        <v>0</v>
      </c>
    </row>
    <row r="367" s="1" customFormat="1" ht="14.25" hidden="1" spans="1:17">
      <c r="A367" s="1" t="str">
        <f>VLOOKUP(B367,combinate!A:B,2,FALSE)</f>
        <v>Group C</v>
      </c>
      <c r="B367" s="8">
        <v>254119854979</v>
      </c>
      <c r="C367" s="9">
        <v>21127528</v>
      </c>
      <c r="D367" s="10">
        <v>46166.367974537</v>
      </c>
      <c r="E367" s="12" t="s">
        <v>254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  <c r="O367" s="9">
        <v>0</v>
      </c>
      <c r="P367" s="9">
        <v>0</v>
      </c>
      <c r="Q367" s="9">
        <v>0</v>
      </c>
    </row>
    <row r="368" s="1" customFormat="1" ht="14.25" hidden="1" spans="1:17">
      <c r="A368" s="1" t="str">
        <f>VLOOKUP(B368,combinate!A:B,2,FALSE)</f>
        <v>Group C</v>
      </c>
      <c r="B368" s="8">
        <v>254713572153</v>
      </c>
      <c r="C368" s="9">
        <v>21245746</v>
      </c>
      <c r="D368" s="10">
        <v>46183.7882986111</v>
      </c>
      <c r="E368" s="11" t="s">
        <v>250</v>
      </c>
      <c r="F368" s="9">
        <v>1.95</v>
      </c>
      <c r="G368" s="9">
        <v>260</v>
      </c>
      <c r="H368" s="9">
        <v>0</v>
      </c>
      <c r="I368" s="9">
        <v>260</v>
      </c>
      <c r="J368" s="9">
        <v>0</v>
      </c>
      <c r="K368" s="9">
        <v>177.4</v>
      </c>
      <c r="L368" s="9">
        <v>1.33</v>
      </c>
      <c r="M368" s="9">
        <v>177.4</v>
      </c>
      <c r="N368" s="9">
        <v>1.31</v>
      </c>
      <c r="O368" s="9">
        <v>174.8</v>
      </c>
      <c r="P368" s="9">
        <v>0</v>
      </c>
      <c r="Q368" s="9">
        <v>0</v>
      </c>
    </row>
    <row r="369" s="1" customFormat="1" ht="14.25" hidden="1" spans="1:17">
      <c r="A369" s="1" t="str">
        <f>VLOOKUP(B369,combinate!A:B,2,FALSE)</f>
        <v>Group A</v>
      </c>
      <c r="B369" s="8">
        <v>254712757922</v>
      </c>
      <c r="C369" s="9">
        <v>21331982</v>
      </c>
      <c r="D369" s="10">
        <v>46163.3064236111</v>
      </c>
      <c r="E369" s="12" t="s">
        <v>254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  <c r="O369" s="9">
        <v>0</v>
      </c>
      <c r="P369" s="9">
        <v>0</v>
      </c>
      <c r="Q369" s="9">
        <v>0</v>
      </c>
    </row>
    <row r="370" s="1" customFormat="1" ht="14.25" hidden="1" spans="1:17">
      <c r="A370" s="1" t="str">
        <f>VLOOKUP(B370,combinate!A:B,2,FALSE)</f>
        <v>Group C</v>
      </c>
      <c r="B370" s="8">
        <v>254113864401</v>
      </c>
      <c r="C370" s="9">
        <v>21465917</v>
      </c>
      <c r="D370" s="10">
        <v>46184.3232407407</v>
      </c>
      <c r="E370" s="11" t="s">
        <v>250</v>
      </c>
      <c r="F370" s="9">
        <v>1.05</v>
      </c>
      <c r="G370" s="9">
        <v>140</v>
      </c>
      <c r="H370" s="9">
        <v>0</v>
      </c>
      <c r="I370" s="9">
        <v>140</v>
      </c>
      <c r="J370" s="9">
        <v>0</v>
      </c>
      <c r="K370" s="9">
        <v>93</v>
      </c>
      <c r="L370" s="9">
        <v>0.7</v>
      </c>
      <c r="M370" s="9">
        <v>93</v>
      </c>
      <c r="N370" s="9">
        <v>0.71</v>
      </c>
      <c r="O370" s="9">
        <v>95</v>
      </c>
      <c r="P370" s="9">
        <v>0</v>
      </c>
      <c r="Q370" s="9">
        <v>0</v>
      </c>
    </row>
    <row r="371" s="1" customFormat="1" ht="14.25" hidden="1" spans="1:17">
      <c r="A371" s="1" t="str">
        <f>VLOOKUP(B371,combinate!A:B,2,FALSE)</f>
        <v>Group C</v>
      </c>
      <c r="B371" s="8">
        <v>254794992787</v>
      </c>
      <c r="C371" s="9">
        <v>21655169</v>
      </c>
      <c r="D371" s="10">
        <v>46162.6755787037</v>
      </c>
      <c r="E371" s="12" t="s">
        <v>254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  <c r="O371" s="9">
        <v>0</v>
      </c>
      <c r="P371" s="9">
        <v>0</v>
      </c>
      <c r="Q371" s="9">
        <v>0</v>
      </c>
    </row>
    <row r="372" s="1" customFormat="1" ht="14.25" hidden="1" spans="1:17">
      <c r="A372" s="1" t="str">
        <f>VLOOKUP(B372,combinate!A:B,2,FALSE)</f>
        <v>Group A</v>
      </c>
      <c r="B372" s="8">
        <v>254140632144</v>
      </c>
      <c r="C372" s="9">
        <v>21663632</v>
      </c>
      <c r="D372" s="10">
        <v>46163.2322453704</v>
      </c>
      <c r="E372" s="12" t="s">
        <v>254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0</v>
      </c>
      <c r="O372" s="9">
        <v>0</v>
      </c>
      <c r="P372" s="9">
        <v>0</v>
      </c>
      <c r="Q372" s="9">
        <v>0</v>
      </c>
    </row>
    <row r="373" s="1" customFormat="1" ht="14.25" hidden="1" spans="1:17">
      <c r="A373" s="1" t="str">
        <f>VLOOKUP(B373,combinate!A:B,2,FALSE)</f>
        <v>Group C</v>
      </c>
      <c r="B373" s="8">
        <v>254704851286</v>
      </c>
      <c r="C373" s="9">
        <v>21968529</v>
      </c>
      <c r="D373" s="10">
        <v>46183.9134375</v>
      </c>
      <c r="E373" s="11" t="s">
        <v>250</v>
      </c>
      <c r="F373" s="9">
        <v>15.72</v>
      </c>
      <c r="G373" s="9">
        <v>2091</v>
      </c>
      <c r="H373" s="9">
        <v>0</v>
      </c>
      <c r="I373" s="9">
        <v>2091</v>
      </c>
      <c r="J373" s="9">
        <v>0</v>
      </c>
      <c r="K373" s="9">
        <v>669.2</v>
      </c>
      <c r="L373" s="9">
        <v>5.03</v>
      </c>
      <c r="M373" s="9">
        <v>669.2</v>
      </c>
      <c r="N373" s="9">
        <v>2.14</v>
      </c>
      <c r="O373" s="9">
        <v>285</v>
      </c>
      <c r="P373" s="9">
        <v>0</v>
      </c>
      <c r="Q373" s="9">
        <v>0</v>
      </c>
    </row>
    <row r="374" s="1" customFormat="1" ht="14.25" hidden="1" spans="1:17">
      <c r="A374" s="1" t="str">
        <f>VLOOKUP(B374,combinate!A:B,2,FALSE)</f>
        <v>Group B</v>
      </c>
      <c r="B374" s="8">
        <v>254792971523</v>
      </c>
      <c r="C374" s="9">
        <v>22041984</v>
      </c>
      <c r="D374" s="10">
        <v>46160.8481365741</v>
      </c>
      <c r="E374" s="12" t="s">
        <v>254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0</v>
      </c>
      <c r="O374" s="9">
        <v>0</v>
      </c>
      <c r="P374" s="9">
        <v>0</v>
      </c>
      <c r="Q374" s="9">
        <v>0</v>
      </c>
    </row>
    <row r="375" s="1" customFormat="1" ht="14.25" hidden="1" spans="1:17">
      <c r="A375" s="1" t="str">
        <f>VLOOKUP(B375,combinate!A:B,2,FALSE)</f>
        <v>Group A</v>
      </c>
      <c r="B375" s="8">
        <v>254769214191</v>
      </c>
      <c r="C375" s="9">
        <v>22064970</v>
      </c>
      <c r="D375" s="10">
        <v>46166.6219560185</v>
      </c>
      <c r="E375" s="12" t="s">
        <v>254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  <c r="O375" s="9">
        <v>0</v>
      </c>
      <c r="P375" s="9">
        <v>0</v>
      </c>
      <c r="Q375" s="9">
        <v>0</v>
      </c>
    </row>
    <row r="376" s="1" customFormat="1" ht="14.25" hidden="1" spans="1:17">
      <c r="A376" s="1" t="str">
        <f>VLOOKUP(B376,combinate!A:B,2,FALSE)</f>
        <v>Group C</v>
      </c>
      <c r="B376" s="8">
        <v>254114092921</v>
      </c>
      <c r="C376" s="9">
        <v>22180608</v>
      </c>
      <c r="D376" s="10">
        <v>46179.0362268519</v>
      </c>
      <c r="E376" s="11" t="s">
        <v>250</v>
      </c>
      <c r="F376" s="9">
        <v>0.08</v>
      </c>
      <c r="G376" s="9">
        <v>10.36</v>
      </c>
      <c r="H376" s="9">
        <v>0</v>
      </c>
      <c r="I376" s="9">
        <v>10.36</v>
      </c>
      <c r="J376" s="9">
        <v>0</v>
      </c>
      <c r="K376" s="9">
        <v>10.36</v>
      </c>
      <c r="L376" s="9">
        <v>0.08</v>
      </c>
      <c r="M376" s="9">
        <v>10.36</v>
      </c>
      <c r="N376" s="9">
        <v>0.07</v>
      </c>
      <c r="O376" s="9">
        <v>9.5</v>
      </c>
      <c r="P376" s="9">
        <v>0</v>
      </c>
      <c r="Q376" s="9">
        <v>0</v>
      </c>
    </row>
    <row r="377" s="1" customFormat="1" ht="14.25" hidden="1" spans="1:17">
      <c r="A377" s="1" t="str">
        <f>VLOOKUP(B377,combinate!A:B,2,FALSE)</f>
        <v>Group B</v>
      </c>
      <c r="B377" s="8">
        <v>254710732367</v>
      </c>
      <c r="C377" s="9">
        <v>22199115</v>
      </c>
      <c r="D377" s="10">
        <v>46182.2717939815</v>
      </c>
      <c r="E377" s="11" t="s">
        <v>250</v>
      </c>
      <c r="F377" s="9">
        <v>75.29</v>
      </c>
      <c r="G377" s="9">
        <v>10014</v>
      </c>
      <c r="H377" s="9">
        <v>0</v>
      </c>
      <c r="I377" s="9">
        <v>10014</v>
      </c>
      <c r="J377" s="9">
        <v>0</v>
      </c>
      <c r="K377" s="9">
        <v>-556.4</v>
      </c>
      <c r="L377" s="9">
        <v>-4.18</v>
      </c>
      <c r="M377" s="9">
        <v>-556.4</v>
      </c>
      <c r="N377" s="9">
        <v>4.54</v>
      </c>
      <c r="O377" s="9">
        <v>603.25</v>
      </c>
      <c r="P377" s="9">
        <v>10.11</v>
      </c>
      <c r="Q377" s="9">
        <v>1343.97</v>
      </c>
    </row>
    <row r="378" s="1" customFormat="1" ht="14.25" hidden="1" spans="1:17">
      <c r="A378" s="1" t="str">
        <f>VLOOKUP(B378,combinate!A:B,2,FALSE)</f>
        <v>Group C</v>
      </c>
      <c r="B378" s="8">
        <v>254728799822</v>
      </c>
      <c r="C378" s="9">
        <v>22232428</v>
      </c>
      <c r="D378" s="10">
        <v>46181.8429050926</v>
      </c>
      <c r="E378" s="11" t="s">
        <v>250</v>
      </c>
      <c r="F378" s="9">
        <v>241.69</v>
      </c>
      <c r="G378" s="9">
        <v>32144.69</v>
      </c>
      <c r="H378" s="9">
        <v>0</v>
      </c>
      <c r="I378" s="9">
        <v>32144.69</v>
      </c>
      <c r="J378" s="9">
        <v>0</v>
      </c>
      <c r="K378" s="9">
        <v>6601.68</v>
      </c>
      <c r="L378" s="9">
        <v>49.64</v>
      </c>
      <c r="M378" s="9">
        <v>6601.68</v>
      </c>
      <c r="N378" s="9">
        <v>52.86</v>
      </c>
      <c r="O378" s="9">
        <v>7030</v>
      </c>
      <c r="P378" s="9">
        <v>3.49</v>
      </c>
      <c r="Q378" s="9">
        <v>464.81</v>
      </c>
    </row>
    <row r="379" s="1" customFormat="1" ht="14.25" hidden="1" spans="1:17">
      <c r="A379" s="1" t="str">
        <f>VLOOKUP(B379,combinate!A:B,2,FALSE)</f>
        <v>Group B</v>
      </c>
      <c r="B379" s="8">
        <v>254703334314</v>
      </c>
      <c r="C379" s="9">
        <v>22239065</v>
      </c>
      <c r="D379" s="10">
        <v>46184.1251041667</v>
      </c>
      <c r="E379" s="11" t="s">
        <v>250</v>
      </c>
      <c r="F379" s="9">
        <v>385.27</v>
      </c>
      <c r="G379" s="9">
        <v>51241</v>
      </c>
      <c r="H379" s="9">
        <v>0</v>
      </c>
      <c r="I379" s="9">
        <v>51241</v>
      </c>
      <c r="J379" s="9">
        <v>0</v>
      </c>
      <c r="K379" s="9">
        <v>-1182.49</v>
      </c>
      <c r="L379" s="9">
        <v>-8.89</v>
      </c>
      <c r="M379" s="9">
        <v>-1182.49</v>
      </c>
      <c r="N379" s="9">
        <v>42.5</v>
      </c>
      <c r="O379" s="9">
        <v>5652.5</v>
      </c>
      <c r="P379" s="9">
        <v>60.89</v>
      </c>
      <c r="Q379" s="9">
        <v>8098.97</v>
      </c>
    </row>
    <row r="380" s="1" customFormat="1" ht="14.25" hidden="1" spans="1:17">
      <c r="A380" s="1" t="str">
        <f>VLOOKUP(B380,combinate!A:B,2,FALSE)</f>
        <v>Group A</v>
      </c>
      <c r="B380" s="8">
        <v>254794662112</v>
      </c>
      <c r="C380" s="9">
        <v>22250490</v>
      </c>
      <c r="D380" s="10">
        <v>46166.8491550926</v>
      </c>
      <c r="E380" s="12" t="s">
        <v>254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  <c r="O380" s="9">
        <v>0</v>
      </c>
      <c r="P380" s="9">
        <v>0</v>
      </c>
      <c r="Q380" s="9">
        <v>0</v>
      </c>
    </row>
    <row r="381" s="1" customFormat="1" ht="14.25" hidden="1" spans="1:17">
      <c r="A381" s="1" t="str">
        <f>VLOOKUP(B381,combinate!A:B,2,FALSE)</f>
        <v>Group C</v>
      </c>
      <c r="B381" s="8">
        <v>254114793929</v>
      </c>
      <c r="C381" s="9">
        <v>22436379</v>
      </c>
      <c r="D381" s="10">
        <v>46184.3687731481</v>
      </c>
      <c r="E381" s="12" t="s">
        <v>254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  <c r="O381" s="9">
        <v>0</v>
      </c>
      <c r="P381" s="9">
        <v>0</v>
      </c>
      <c r="Q381" s="9">
        <v>0</v>
      </c>
    </row>
    <row r="382" s="1" customFormat="1" ht="14.25" hidden="1" spans="1:17">
      <c r="A382" s="1" t="str">
        <f>VLOOKUP(B382,combinate!A:B,2,FALSE)</f>
        <v>Group B</v>
      </c>
      <c r="B382" s="8">
        <v>254700099870</v>
      </c>
      <c r="C382" s="9">
        <v>22592073</v>
      </c>
      <c r="D382" s="10">
        <v>46160.8171296296</v>
      </c>
      <c r="E382" s="12" t="s">
        <v>254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  <c r="Q382" s="9">
        <v>0</v>
      </c>
    </row>
    <row r="383" s="1" customFormat="1" ht="14.25" hidden="1" spans="1:17">
      <c r="A383" s="1" t="str">
        <f>VLOOKUP(B383,combinate!A:B,2,FALSE)</f>
        <v>Group C</v>
      </c>
      <c r="B383" s="8">
        <v>254140321302</v>
      </c>
      <c r="C383" s="9">
        <v>22989778</v>
      </c>
      <c r="D383" s="10">
        <v>46166.7822453704</v>
      </c>
      <c r="E383" s="12" t="s">
        <v>254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  <c r="O383" s="9">
        <v>0</v>
      </c>
      <c r="P383" s="9">
        <v>0</v>
      </c>
      <c r="Q383" s="9">
        <v>0</v>
      </c>
    </row>
    <row r="384" s="1" customFormat="1" ht="14.25" hidden="1" spans="1:17">
      <c r="A384" s="1" t="str">
        <f>VLOOKUP(B384,combinate!A:B,2,FALSE)</f>
        <v>Group A</v>
      </c>
      <c r="B384" s="8">
        <v>254717811622</v>
      </c>
      <c r="C384" s="9">
        <v>95141</v>
      </c>
      <c r="D384" s="10">
        <v>46180.2972916667</v>
      </c>
      <c r="E384" s="12" t="s">
        <v>254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  <c r="O384" s="9">
        <v>0</v>
      </c>
      <c r="P384" s="9">
        <v>0</v>
      </c>
      <c r="Q384" s="9">
        <v>0</v>
      </c>
    </row>
    <row r="385" s="1" customFormat="1" ht="14.25" hidden="1" spans="1:17">
      <c r="A385" s="1" t="str">
        <f>VLOOKUP(B385,combinate!A:B,2,FALSE)</f>
        <v>Group A</v>
      </c>
      <c r="B385" s="8">
        <v>254746941428</v>
      </c>
      <c r="C385" s="9">
        <v>480152</v>
      </c>
      <c r="D385" s="10">
        <v>46181.2027893519</v>
      </c>
      <c r="E385" s="12" t="s">
        <v>254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</row>
    <row r="386" s="1" customFormat="1" ht="14.25" hidden="1" spans="1:17">
      <c r="A386" s="1" t="str">
        <f>VLOOKUP(B386,combinate!A:B,2,FALSE)</f>
        <v>Group C</v>
      </c>
      <c r="B386" s="8">
        <v>254720626099</v>
      </c>
      <c r="C386" s="9">
        <v>835999</v>
      </c>
      <c r="D386" s="10">
        <v>46182.5066666667</v>
      </c>
      <c r="E386" s="11" t="s">
        <v>250</v>
      </c>
      <c r="F386" s="9">
        <v>1.85</v>
      </c>
      <c r="G386" s="9">
        <v>246</v>
      </c>
      <c r="H386" s="9">
        <v>0</v>
      </c>
      <c r="I386" s="9">
        <v>246</v>
      </c>
      <c r="J386" s="9">
        <v>0</v>
      </c>
      <c r="K386" s="9">
        <v>96.5</v>
      </c>
      <c r="L386" s="9">
        <v>0.73</v>
      </c>
      <c r="M386" s="9">
        <v>96.5</v>
      </c>
      <c r="N386" s="9">
        <v>0.68</v>
      </c>
      <c r="O386" s="9">
        <v>90.25</v>
      </c>
      <c r="P386" s="9">
        <v>0</v>
      </c>
      <c r="Q386" s="9">
        <v>0</v>
      </c>
    </row>
    <row r="387" s="1" customFormat="1" ht="14.25" hidden="1" spans="1:17">
      <c r="A387" s="1" t="str">
        <f>VLOOKUP(B387,combinate!A:B,2,FALSE)</f>
        <v>Group A</v>
      </c>
      <c r="B387" s="8">
        <v>254797534461</v>
      </c>
      <c r="C387" s="9">
        <v>1678822</v>
      </c>
      <c r="D387" s="10">
        <v>46182.7845949074</v>
      </c>
      <c r="E387" s="11" t="s">
        <v>250</v>
      </c>
      <c r="F387" s="9">
        <v>5.36</v>
      </c>
      <c r="G387" s="9">
        <v>713</v>
      </c>
      <c r="H387" s="9">
        <v>0</v>
      </c>
      <c r="I387" s="9">
        <v>713</v>
      </c>
      <c r="J387" s="9">
        <v>0</v>
      </c>
      <c r="K387" s="9">
        <v>128.22</v>
      </c>
      <c r="L387" s="9">
        <v>0.96</v>
      </c>
      <c r="M387" s="9">
        <v>128.22</v>
      </c>
      <c r="N387" s="9">
        <v>1.14</v>
      </c>
      <c r="O387" s="9">
        <v>152</v>
      </c>
      <c r="P387" s="9">
        <v>0</v>
      </c>
      <c r="Q387" s="9">
        <v>0</v>
      </c>
    </row>
    <row r="388" s="1" customFormat="1" ht="14.25" hidden="1" spans="1:17">
      <c r="A388" s="1" t="str">
        <f>VLOOKUP(B388,combinate!A:B,2,FALSE)</f>
        <v>Group C</v>
      </c>
      <c r="B388" s="8">
        <v>254758414186</v>
      </c>
      <c r="C388" s="9">
        <v>2068727</v>
      </c>
      <c r="D388" s="10">
        <v>46162.5887037037</v>
      </c>
      <c r="E388" s="12" t="s">
        <v>254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  <c r="O388" s="9">
        <v>0</v>
      </c>
      <c r="P388" s="9">
        <v>0</v>
      </c>
      <c r="Q388" s="9">
        <v>0</v>
      </c>
    </row>
    <row r="389" s="1" customFormat="1" ht="14.25" hidden="1" spans="1:17">
      <c r="A389" s="1" t="str">
        <f>VLOOKUP(B389,combinate!A:B,2,FALSE)</f>
        <v>Group A</v>
      </c>
      <c r="B389" s="8">
        <v>254728699987</v>
      </c>
      <c r="C389" s="9">
        <v>2730172</v>
      </c>
      <c r="D389" s="10">
        <v>46161.017349537</v>
      </c>
      <c r="E389" s="12" t="s">
        <v>254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  <c r="O389" s="9">
        <v>0</v>
      </c>
      <c r="P389" s="9">
        <v>0</v>
      </c>
      <c r="Q389" s="9">
        <v>0</v>
      </c>
    </row>
    <row r="390" s="1" customFormat="1" ht="14.25" hidden="1" spans="1:17">
      <c r="A390" s="1" t="str">
        <f>VLOOKUP(B390,combinate!A:B,2,FALSE)</f>
        <v>Group A</v>
      </c>
      <c r="B390" s="8">
        <v>254702319862</v>
      </c>
      <c r="C390" s="9">
        <v>3504950</v>
      </c>
      <c r="D390" s="10">
        <v>46163.8641550926</v>
      </c>
      <c r="E390" s="12" t="s">
        <v>254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  <c r="O390" s="9">
        <v>0</v>
      </c>
      <c r="P390" s="9">
        <v>0</v>
      </c>
      <c r="Q390" s="9">
        <v>0</v>
      </c>
    </row>
    <row r="391" s="1" customFormat="1" ht="14.25" hidden="1" spans="1:17">
      <c r="A391" s="1" t="str">
        <f>VLOOKUP(B391,combinate!A:B,2,FALSE)</f>
        <v>Group C</v>
      </c>
      <c r="B391" s="8">
        <v>254724838892</v>
      </c>
      <c r="C391" s="9">
        <v>3809869</v>
      </c>
      <c r="D391" s="10">
        <v>46163.4808564815</v>
      </c>
      <c r="E391" s="12" t="s">
        <v>254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9">
        <v>0</v>
      </c>
      <c r="P391" s="9">
        <v>0</v>
      </c>
      <c r="Q391" s="9">
        <v>0</v>
      </c>
    </row>
    <row r="392" s="1" customFormat="1" ht="14.25" hidden="1" spans="1:17">
      <c r="A392" s="1" t="str">
        <f>VLOOKUP(B392,combinate!A:B,2,FALSE)</f>
        <v>Group C</v>
      </c>
      <c r="B392" s="8">
        <v>254742724652</v>
      </c>
      <c r="C392" s="9">
        <v>3928458</v>
      </c>
      <c r="D392" s="10">
        <v>46184.0080555556</v>
      </c>
      <c r="E392" s="11" t="s">
        <v>250</v>
      </c>
      <c r="F392" s="9">
        <v>308.87</v>
      </c>
      <c r="G392" s="9">
        <v>41080</v>
      </c>
      <c r="H392" s="9">
        <v>0</v>
      </c>
      <c r="I392" s="9">
        <v>41080</v>
      </c>
      <c r="J392" s="9">
        <v>0</v>
      </c>
      <c r="K392" s="9">
        <v>4179.36</v>
      </c>
      <c r="L392" s="9">
        <v>31.42</v>
      </c>
      <c r="M392" s="9">
        <v>4179.36</v>
      </c>
      <c r="N392" s="9">
        <v>47.14</v>
      </c>
      <c r="O392" s="9">
        <v>6270</v>
      </c>
      <c r="P392" s="9">
        <v>59.62</v>
      </c>
      <c r="Q392" s="9">
        <v>7930.03</v>
      </c>
    </row>
    <row r="393" s="1" customFormat="1" ht="14.25" hidden="1" spans="1:17">
      <c r="A393" s="1" t="str">
        <f>VLOOKUP(B393,combinate!A:B,2,FALSE)</f>
        <v>Group A</v>
      </c>
      <c r="B393" s="8">
        <v>254795375790</v>
      </c>
      <c r="C393" s="9">
        <v>4059531</v>
      </c>
      <c r="D393" s="10">
        <v>46160.7964236111</v>
      </c>
      <c r="E393" s="12" t="s">
        <v>254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0</v>
      </c>
      <c r="O393" s="9">
        <v>0</v>
      </c>
      <c r="P393" s="9">
        <v>0</v>
      </c>
      <c r="Q393" s="9">
        <v>0</v>
      </c>
    </row>
    <row r="394" s="1" customFormat="1" ht="14.25" hidden="1" spans="1:17">
      <c r="A394" s="1" t="str">
        <f>VLOOKUP(B394,combinate!A:B,2,FALSE)</f>
        <v>Group C</v>
      </c>
      <c r="B394" s="8">
        <v>254748300807</v>
      </c>
      <c r="C394" s="9">
        <v>4877956</v>
      </c>
      <c r="D394" s="10">
        <v>46163.4466203704</v>
      </c>
      <c r="E394" s="12" t="s">
        <v>254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  <c r="O394" s="9">
        <v>0</v>
      </c>
      <c r="P394" s="9">
        <v>0</v>
      </c>
      <c r="Q394" s="9">
        <v>0</v>
      </c>
    </row>
    <row r="395" s="1" customFormat="1" ht="14.25" hidden="1" spans="1:17">
      <c r="A395" s="1" t="str">
        <f>VLOOKUP(B395,combinate!A:B,2,FALSE)</f>
        <v>Group C</v>
      </c>
      <c r="B395" s="8">
        <v>254727366552</v>
      </c>
      <c r="C395" s="9">
        <v>7032877</v>
      </c>
      <c r="D395" s="10">
        <v>46184.2880092593</v>
      </c>
      <c r="E395" s="11" t="s">
        <v>250</v>
      </c>
      <c r="F395" s="9">
        <v>1.21</v>
      </c>
      <c r="G395" s="9">
        <v>161</v>
      </c>
      <c r="H395" s="9">
        <v>11</v>
      </c>
      <c r="I395" s="9">
        <v>150</v>
      </c>
      <c r="J395" s="9">
        <v>11</v>
      </c>
      <c r="K395" s="9">
        <v>78.2</v>
      </c>
      <c r="L395" s="9">
        <v>0.67</v>
      </c>
      <c r="M395" s="9">
        <v>89.2</v>
      </c>
      <c r="N395" s="9">
        <v>0.67</v>
      </c>
      <c r="O395" s="9">
        <v>89.3</v>
      </c>
      <c r="P395" s="9">
        <v>0</v>
      </c>
      <c r="Q395" s="9">
        <v>0</v>
      </c>
    </row>
    <row r="396" s="1" customFormat="1" ht="14.25" hidden="1" spans="1:17">
      <c r="A396" s="1" t="str">
        <f>VLOOKUP(B396,combinate!A:B,2,FALSE)</f>
        <v>Group C</v>
      </c>
      <c r="B396" s="8">
        <v>254719392048</v>
      </c>
      <c r="C396" s="9">
        <v>8896627</v>
      </c>
      <c r="D396" s="10">
        <v>46182.9278240741</v>
      </c>
      <c r="E396" s="11" t="s">
        <v>250</v>
      </c>
      <c r="F396" s="9">
        <v>81.44</v>
      </c>
      <c r="G396" s="9">
        <v>10831</v>
      </c>
      <c r="H396" s="9">
        <v>15</v>
      </c>
      <c r="I396" s="9">
        <v>10816</v>
      </c>
      <c r="J396" s="9">
        <v>15</v>
      </c>
      <c r="K396" s="9">
        <v>1900.85</v>
      </c>
      <c r="L396" s="9">
        <v>14.4</v>
      </c>
      <c r="M396" s="9">
        <v>1915.85</v>
      </c>
      <c r="N396" s="9">
        <v>7.67</v>
      </c>
      <c r="O396" s="9">
        <v>1020.3</v>
      </c>
      <c r="P396" s="9">
        <v>26.32</v>
      </c>
      <c r="Q396" s="9">
        <v>3500</v>
      </c>
    </row>
    <row r="397" s="1" customFormat="1" ht="14.25" hidden="1" spans="1:17">
      <c r="A397" s="1" t="str">
        <f>VLOOKUP(B397,combinate!A:B,2,FALSE)</f>
        <v>Group A</v>
      </c>
      <c r="B397" s="8">
        <v>254702172156</v>
      </c>
      <c r="C397" s="9">
        <v>9545190</v>
      </c>
      <c r="D397" s="10">
        <v>46162.5827662037</v>
      </c>
      <c r="E397" s="12" t="s">
        <v>254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0</v>
      </c>
      <c r="N397" s="9">
        <v>0</v>
      </c>
      <c r="O397" s="9">
        <v>0</v>
      </c>
      <c r="P397" s="9">
        <v>0</v>
      </c>
      <c r="Q397" s="9">
        <v>0</v>
      </c>
    </row>
    <row r="398" s="1" customFormat="1" ht="14.25" hidden="1" spans="1:17">
      <c r="A398" s="1" t="str">
        <f>VLOOKUP(B398,combinate!A:B,2,FALSE)</f>
        <v>Group C</v>
      </c>
      <c r="B398" s="8">
        <v>254715731858</v>
      </c>
      <c r="C398" s="9">
        <v>10859047</v>
      </c>
      <c r="D398" s="10">
        <v>46182.5862962963</v>
      </c>
      <c r="E398" s="11" t="s">
        <v>250</v>
      </c>
      <c r="F398" s="9">
        <v>0.3</v>
      </c>
      <c r="G398" s="9">
        <v>40.01</v>
      </c>
      <c r="H398" s="9">
        <v>0</v>
      </c>
      <c r="I398" s="9">
        <v>40.01</v>
      </c>
      <c r="J398" s="9">
        <v>0</v>
      </c>
      <c r="K398" s="9">
        <v>40.01</v>
      </c>
      <c r="L398" s="9">
        <v>0.3</v>
      </c>
      <c r="M398" s="9">
        <v>40.01</v>
      </c>
      <c r="N398" s="9">
        <v>0.36</v>
      </c>
      <c r="O398" s="9">
        <v>47.5</v>
      </c>
      <c r="P398" s="9">
        <v>0</v>
      </c>
      <c r="Q398" s="9">
        <v>0</v>
      </c>
    </row>
    <row r="399" s="1" customFormat="1" ht="14.25" hidden="1" spans="1:17">
      <c r="A399" s="1" t="str">
        <f>VLOOKUP(B399,combinate!A:B,2,FALSE)</f>
        <v>Group C</v>
      </c>
      <c r="B399" s="8">
        <v>254725585656</v>
      </c>
      <c r="C399" s="9">
        <v>11372946</v>
      </c>
      <c r="D399" s="10">
        <v>46183.2637962963</v>
      </c>
      <c r="E399" s="12" t="s">
        <v>254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0</v>
      </c>
      <c r="O399" s="9">
        <v>0</v>
      </c>
      <c r="P399" s="9">
        <v>0</v>
      </c>
      <c r="Q399" s="9">
        <v>0</v>
      </c>
    </row>
    <row r="400" s="1" customFormat="1" ht="14.25" hidden="1" spans="1:17">
      <c r="A400" s="1" t="str">
        <f>VLOOKUP(B400,combinate!A:B,2,FALSE)</f>
        <v>Group C</v>
      </c>
      <c r="B400" s="8">
        <v>254745535653</v>
      </c>
      <c r="C400" s="9">
        <v>12083656</v>
      </c>
      <c r="D400" s="10">
        <v>46183.9769212963</v>
      </c>
      <c r="E400" s="12" t="s">
        <v>254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  <c r="O400" s="9">
        <v>0</v>
      </c>
      <c r="P400" s="9">
        <v>0</v>
      </c>
      <c r="Q400" s="9">
        <v>0</v>
      </c>
    </row>
    <row r="401" s="1" customFormat="1" ht="14.25" hidden="1" spans="1:17">
      <c r="A401" s="1" t="str">
        <f>VLOOKUP(B401,combinate!A:B,2,FALSE)</f>
        <v>Group C</v>
      </c>
      <c r="B401" s="8">
        <v>254790548034</v>
      </c>
      <c r="C401" s="9">
        <v>12457218</v>
      </c>
      <c r="D401" s="10">
        <v>46161.7417476852</v>
      </c>
      <c r="E401" s="12" t="s">
        <v>254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  <c r="O401" s="9">
        <v>0</v>
      </c>
      <c r="P401" s="9">
        <v>0</v>
      </c>
      <c r="Q401" s="9">
        <v>0</v>
      </c>
    </row>
    <row r="402" s="1" customFormat="1" ht="14.25" hidden="1" spans="1:17">
      <c r="A402" s="1" t="str">
        <f>VLOOKUP(B402,combinate!A:B,2,FALSE)</f>
        <v>Group C</v>
      </c>
      <c r="B402" s="8">
        <v>254714981951</v>
      </c>
      <c r="C402" s="9">
        <v>12531906</v>
      </c>
      <c r="D402" s="10">
        <v>46183.0052430556</v>
      </c>
      <c r="E402" s="11" t="s">
        <v>250</v>
      </c>
      <c r="F402" s="9">
        <v>4.06</v>
      </c>
      <c r="G402" s="9">
        <v>540</v>
      </c>
      <c r="H402" s="9">
        <v>0</v>
      </c>
      <c r="I402" s="9">
        <v>540</v>
      </c>
      <c r="J402" s="9">
        <v>0</v>
      </c>
      <c r="K402" s="9">
        <v>17.5</v>
      </c>
      <c r="L402" s="9">
        <v>0.13</v>
      </c>
      <c r="M402" s="9">
        <v>17.5</v>
      </c>
      <c r="N402" s="9">
        <v>1.06</v>
      </c>
      <c r="O402" s="9">
        <v>141.55</v>
      </c>
      <c r="P402" s="9">
        <v>1.5</v>
      </c>
      <c r="Q402" s="9">
        <v>200</v>
      </c>
    </row>
    <row r="403" s="1" customFormat="1" ht="14.25" hidden="1" spans="1:17">
      <c r="A403" s="1" t="str">
        <f>VLOOKUP(B403,combinate!A:B,2,FALSE)</f>
        <v>Group A</v>
      </c>
      <c r="B403" s="8">
        <v>254741049497</v>
      </c>
      <c r="C403" s="9">
        <v>13240170</v>
      </c>
      <c r="D403" s="10">
        <v>46182.1867361111</v>
      </c>
      <c r="E403" s="12" t="s">
        <v>254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0</v>
      </c>
      <c r="N403" s="9">
        <v>0</v>
      </c>
      <c r="O403" s="9">
        <v>0</v>
      </c>
      <c r="P403" s="9">
        <v>0</v>
      </c>
      <c r="Q403" s="9">
        <v>0</v>
      </c>
    </row>
    <row r="404" s="1" customFormat="1" ht="14.25" hidden="1" spans="1:17">
      <c r="A404" s="1" t="str">
        <f>VLOOKUP(B404,combinate!A:B,2,FALSE)</f>
        <v>Group C</v>
      </c>
      <c r="B404" s="8">
        <v>254769791667</v>
      </c>
      <c r="C404" s="9">
        <v>13270956</v>
      </c>
      <c r="D404" s="10">
        <v>46177.586087963</v>
      </c>
      <c r="E404" s="11" t="s">
        <v>250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1.43</v>
      </c>
      <c r="O404" s="9">
        <v>190</v>
      </c>
      <c r="P404" s="9">
        <v>0</v>
      </c>
      <c r="Q404" s="9">
        <v>0</v>
      </c>
    </row>
    <row r="405" s="1" customFormat="1" ht="14.25" hidden="1" spans="1:17">
      <c r="A405" s="1" t="str">
        <f>VLOOKUP(B405,combinate!A:B,2,FALSE)</f>
        <v>Group C</v>
      </c>
      <c r="B405" s="8">
        <v>254791675622</v>
      </c>
      <c r="C405" s="9">
        <v>13768506</v>
      </c>
      <c r="D405" s="10">
        <v>46163.5762384259</v>
      </c>
      <c r="E405" s="12" t="s">
        <v>254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9">
        <v>0</v>
      </c>
      <c r="O405" s="9">
        <v>0</v>
      </c>
      <c r="P405" s="9">
        <v>0</v>
      </c>
      <c r="Q405" s="9">
        <v>0</v>
      </c>
    </row>
    <row r="406" s="1" customFormat="1" ht="14.25" hidden="1" spans="1:17">
      <c r="A406" s="1" t="str">
        <f>VLOOKUP(B406,combinate!A:B,2,FALSE)</f>
        <v>Group C</v>
      </c>
      <c r="B406" s="8">
        <v>254716326157</v>
      </c>
      <c r="C406" s="9">
        <v>14488657</v>
      </c>
      <c r="D406" s="10">
        <v>46166.4724884259</v>
      </c>
      <c r="E406" s="12" t="s">
        <v>254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  <c r="O406" s="9">
        <v>0</v>
      </c>
      <c r="P406" s="9">
        <v>0</v>
      </c>
      <c r="Q406" s="9">
        <v>0</v>
      </c>
    </row>
    <row r="407" s="1" customFormat="1" ht="14.25" hidden="1" spans="1:17">
      <c r="A407" s="1" t="str">
        <f>VLOOKUP(B407,combinate!A:B,2,FALSE)</f>
        <v>Group B</v>
      </c>
      <c r="B407" s="8">
        <v>254713962447</v>
      </c>
      <c r="C407" s="9">
        <v>14888065</v>
      </c>
      <c r="D407" s="10">
        <v>46183.9086921296</v>
      </c>
      <c r="E407" s="11" t="s">
        <v>250</v>
      </c>
      <c r="F407" s="9">
        <v>0.03</v>
      </c>
      <c r="G407" s="9">
        <v>4</v>
      </c>
      <c r="H407" s="9">
        <v>0</v>
      </c>
      <c r="I407" s="9">
        <v>4</v>
      </c>
      <c r="J407" s="9">
        <v>0</v>
      </c>
      <c r="K407" s="9">
        <v>4</v>
      </c>
      <c r="L407" s="9">
        <v>0.03</v>
      </c>
      <c r="M407" s="9">
        <v>4</v>
      </c>
      <c r="N407" s="9">
        <v>0</v>
      </c>
      <c r="O407" s="9">
        <v>0</v>
      </c>
      <c r="P407" s="9">
        <v>0</v>
      </c>
      <c r="Q407" s="9">
        <v>0</v>
      </c>
    </row>
    <row r="408" s="1" customFormat="1" ht="14.25" hidden="1" spans="1:17">
      <c r="A408" s="1" t="str">
        <f>VLOOKUP(B408,combinate!A:B,2,FALSE)</f>
        <v>Group C</v>
      </c>
      <c r="B408" s="8">
        <v>254792274487</v>
      </c>
      <c r="C408" s="9">
        <v>15196607</v>
      </c>
      <c r="D408" s="10">
        <v>46176.4650462963</v>
      </c>
      <c r="E408" s="11" t="s">
        <v>250</v>
      </c>
      <c r="F408" s="9">
        <v>26.92</v>
      </c>
      <c r="G408" s="9">
        <v>3580</v>
      </c>
      <c r="H408" s="9">
        <v>0</v>
      </c>
      <c r="I408" s="9">
        <v>3580</v>
      </c>
      <c r="J408" s="9">
        <v>0</v>
      </c>
      <c r="K408" s="9">
        <v>-46.8</v>
      </c>
      <c r="L408" s="9">
        <v>-0.35</v>
      </c>
      <c r="M408" s="9">
        <v>-46.8</v>
      </c>
      <c r="N408" s="9">
        <v>3.57</v>
      </c>
      <c r="O408" s="9">
        <v>475</v>
      </c>
      <c r="P408" s="9">
        <v>24.94</v>
      </c>
      <c r="Q408" s="9">
        <v>3317.08</v>
      </c>
    </row>
    <row r="409" s="1" customFormat="1" ht="14.25" hidden="1" spans="1:17">
      <c r="A409" s="1" t="str">
        <f>VLOOKUP(B409,combinate!A:B,2,FALSE)</f>
        <v>Group A</v>
      </c>
      <c r="B409" s="8">
        <v>254710659278</v>
      </c>
      <c r="C409" s="9">
        <v>15251970</v>
      </c>
      <c r="D409" s="10">
        <v>46160.7304861111</v>
      </c>
      <c r="E409" s="12" t="s">
        <v>254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  <c r="O409" s="9">
        <v>0</v>
      </c>
      <c r="P409" s="9">
        <v>0</v>
      </c>
      <c r="Q409" s="9">
        <v>0</v>
      </c>
    </row>
    <row r="410" s="1" customFormat="1" ht="14.25" hidden="1" spans="1:17">
      <c r="A410" s="1" t="str">
        <f>VLOOKUP(B410,combinate!A:B,2,FALSE)</f>
        <v>Group A</v>
      </c>
      <c r="B410" s="8">
        <v>254725275696</v>
      </c>
      <c r="C410" s="9">
        <v>15408520</v>
      </c>
      <c r="D410" s="10">
        <v>46179.8358101852</v>
      </c>
      <c r="E410" s="11" t="s">
        <v>250</v>
      </c>
      <c r="F410" s="9">
        <v>3.46</v>
      </c>
      <c r="G410" s="9">
        <v>460</v>
      </c>
      <c r="H410" s="9">
        <v>0</v>
      </c>
      <c r="I410" s="9">
        <v>460</v>
      </c>
      <c r="J410" s="9">
        <v>0</v>
      </c>
      <c r="K410" s="9">
        <v>144</v>
      </c>
      <c r="L410" s="9">
        <v>1.08</v>
      </c>
      <c r="M410" s="9">
        <v>144</v>
      </c>
      <c r="N410" s="9">
        <v>1.96</v>
      </c>
      <c r="O410" s="9">
        <v>261.25</v>
      </c>
      <c r="P410" s="9">
        <v>0.75</v>
      </c>
      <c r="Q410" s="9">
        <v>100</v>
      </c>
    </row>
    <row r="411" s="1" customFormat="1" ht="14.25" hidden="1" spans="1:17">
      <c r="A411" s="1" t="str">
        <f>VLOOKUP(B411,combinate!A:B,2,FALSE)</f>
        <v>Group A</v>
      </c>
      <c r="B411" s="8">
        <v>254115464651</v>
      </c>
      <c r="C411" s="9">
        <v>15642980</v>
      </c>
      <c r="D411" s="10">
        <v>46160.4219097222</v>
      </c>
      <c r="E411" s="12" t="s">
        <v>254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9">
        <v>0</v>
      </c>
      <c r="N411" s="9">
        <v>0</v>
      </c>
      <c r="O411" s="9">
        <v>0</v>
      </c>
      <c r="P411" s="9">
        <v>0</v>
      </c>
      <c r="Q411" s="9">
        <v>0</v>
      </c>
    </row>
    <row r="412" s="1" customFormat="1" ht="14.25" hidden="1" spans="1:17">
      <c r="A412" s="1" t="str">
        <f>VLOOKUP(B412,combinate!A:B,2,FALSE)</f>
        <v>Group A</v>
      </c>
      <c r="B412" s="8">
        <v>254725095277</v>
      </c>
      <c r="C412" s="9">
        <v>16034170</v>
      </c>
      <c r="D412" s="10">
        <v>46166.3946875</v>
      </c>
      <c r="E412" s="12" t="s">
        <v>254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0</v>
      </c>
      <c r="N412" s="9">
        <v>0</v>
      </c>
      <c r="O412" s="9">
        <v>0</v>
      </c>
      <c r="P412" s="9">
        <v>0</v>
      </c>
      <c r="Q412" s="9">
        <v>0</v>
      </c>
    </row>
    <row r="413" s="1" customFormat="1" ht="14.25" hidden="1" spans="1:17">
      <c r="A413" s="1" t="str">
        <f>VLOOKUP(B413,combinate!A:B,2,FALSE)</f>
        <v>Group C</v>
      </c>
      <c r="B413" s="8">
        <v>254720264897</v>
      </c>
      <c r="C413" s="9">
        <v>17168327</v>
      </c>
      <c r="D413" s="10">
        <v>46161.5720717593</v>
      </c>
      <c r="E413" s="12" t="s">
        <v>254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0</v>
      </c>
      <c r="N413" s="9">
        <v>0</v>
      </c>
      <c r="O413" s="9">
        <v>0</v>
      </c>
      <c r="P413" s="9">
        <v>0</v>
      </c>
      <c r="Q413" s="9">
        <v>0</v>
      </c>
    </row>
    <row r="414" s="1" customFormat="1" ht="14.25" hidden="1" spans="1:17">
      <c r="A414" s="1" t="str">
        <f>VLOOKUP(B414,combinate!A:B,2,FALSE)</f>
        <v>Group C</v>
      </c>
      <c r="B414" s="8">
        <v>254741036382</v>
      </c>
      <c r="C414" s="9">
        <v>17307087</v>
      </c>
      <c r="D414" s="10">
        <v>46163.1647800926</v>
      </c>
      <c r="E414" s="12" t="s">
        <v>254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9">
        <v>0</v>
      </c>
      <c r="N414" s="9">
        <v>0</v>
      </c>
      <c r="O414" s="9">
        <v>0</v>
      </c>
      <c r="P414" s="9">
        <v>0</v>
      </c>
      <c r="Q414" s="9">
        <v>0</v>
      </c>
    </row>
    <row r="415" s="1" customFormat="1" ht="14.25" hidden="1" spans="1:17">
      <c r="A415" s="1" t="str">
        <f>VLOOKUP(B415,combinate!A:B,2,FALSE)</f>
        <v>Group A</v>
      </c>
      <c r="B415" s="8">
        <v>254745486082</v>
      </c>
      <c r="C415" s="9">
        <v>17870830</v>
      </c>
      <c r="D415" s="10">
        <v>46183.555474537</v>
      </c>
      <c r="E415" s="11" t="s">
        <v>250</v>
      </c>
      <c r="F415" s="9">
        <v>2.56</v>
      </c>
      <c r="G415" s="9">
        <v>340</v>
      </c>
      <c r="H415" s="9">
        <v>0</v>
      </c>
      <c r="I415" s="9">
        <v>340</v>
      </c>
      <c r="J415" s="9">
        <v>0</v>
      </c>
      <c r="K415" s="9">
        <v>90.9</v>
      </c>
      <c r="L415" s="9">
        <v>0.68</v>
      </c>
      <c r="M415" s="9">
        <v>90.9</v>
      </c>
      <c r="N415" s="9">
        <v>1.43</v>
      </c>
      <c r="O415" s="9">
        <v>190</v>
      </c>
      <c r="P415" s="9">
        <v>0</v>
      </c>
      <c r="Q415" s="9">
        <v>0</v>
      </c>
    </row>
    <row r="416" s="1" customFormat="1" ht="14.25" hidden="1" spans="1:17">
      <c r="A416" s="1" t="str">
        <f>VLOOKUP(B416,combinate!A:B,2,FALSE)</f>
        <v>Group A</v>
      </c>
      <c r="B416" s="8">
        <v>254725906100</v>
      </c>
      <c r="C416" s="9">
        <v>18069180</v>
      </c>
      <c r="D416" s="10">
        <v>46184.4059953704</v>
      </c>
      <c r="E416" s="11" t="s">
        <v>250</v>
      </c>
      <c r="F416" s="9">
        <v>101.85</v>
      </c>
      <c r="G416" s="9">
        <v>13546</v>
      </c>
      <c r="H416" s="9">
        <v>0</v>
      </c>
      <c r="I416" s="9">
        <v>13546</v>
      </c>
      <c r="J416" s="9">
        <v>0</v>
      </c>
      <c r="K416" s="9">
        <v>-6270.19</v>
      </c>
      <c r="L416" s="9">
        <v>-47.14</v>
      </c>
      <c r="M416" s="9">
        <v>-6270.19</v>
      </c>
      <c r="N416" s="9">
        <v>5.25</v>
      </c>
      <c r="O416" s="9">
        <v>698.25</v>
      </c>
      <c r="P416" s="9">
        <v>49.87</v>
      </c>
      <c r="Q416" s="9">
        <v>6632.92</v>
      </c>
    </row>
    <row r="417" s="1" customFormat="1" ht="14.25" hidden="1" spans="1:17">
      <c r="A417" s="1" t="str">
        <f>VLOOKUP(B417,combinate!A:B,2,FALSE)</f>
        <v>Group C</v>
      </c>
      <c r="B417" s="8">
        <v>254727840181</v>
      </c>
      <c r="C417" s="9">
        <v>18452856</v>
      </c>
      <c r="D417" s="10">
        <v>46183.9330671296</v>
      </c>
      <c r="E417" s="11" t="s">
        <v>250</v>
      </c>
      <c r="F417" s="9">
        <v>14.46</v>
      </c>
      <c r="G417" s="9">
        <v>1922.58</v>
      </c>
      <c r="H417" s="9">
        <v>0</v>
      </c>
      <c r="I417" s="9">
        <v>1922.58</v>
      </c>
      <c r="J417" s="9">
        <v>0</v>
      </c>
      <c r="K417" s="9">
        <v>198.34</v>
      </c>
      <c r="L417" s="9">
        <v>1.49</v>
      </c>
      <c r="M417" s="9">
        <v>198.34</v>
      </c>
      <c r="N417" s="9">
        <v>4.64</v>
      </c>
      <c r="O417" s="9">
        <v>616.55</v>
      </c>
      <c r="P417" s="9">
        <v>3.01</v>
      </c>
      <c r="Q417" s="9">
        <v>400.35</v>
      </c>
    </row>
    <row r="418" s="1" customFormat="1" ht="14.25" hidden="1" spans="1:17">
      <c r="A418" s="1" t="str">
        <f>VLOOKUP(B418,combinate!A:B,2,FALSE)</f>
        <v>Group C</v>
      </c>
      <c r="B418" s="8">
        <v>254722532184</v>
      </c>
      <c r="C418" s="9">
        <v>19412129</v>
      </c>
      <c r="D418" s="10">
        <v>46184.3881944444</v>
      </c>
      <c r="E418" s="11" t="s">
        <v>250</v>
      </c>
      <c r="F418" s="9">
        <v>17.26</v>
      </c>
      <c r="G418" s="9">
        <v>2296</v>
      </c>
      <c r="H418" s="9">
        <v>51</v>
      </c>
      <c r="I418" s="9">
        <v>2245</v>
      </c>
      <c r="J418" s="9">
        <v>51</v>
      </c>
      <c r="K418" s="9">
        <v>366</v>
      </c>
      <c r="L418" s="9">
        <v>3.14</v>
      </c>
      <c r="M418" s="9">
        <v>417</v>
      </c>
      <c r="N418" s="9">
        <v>5.5</v>
      </c>
      <c r="O418" s="9">
        <v>731.5</v>
      </c>
      <c r="P418" s="9">
        <v>6.18</v>
      </c>
      <c r="Q418" s="9">
        <v>821.48</v>
      </c>
    </row>
    <row r="419" s="1" customFormat="1" ht="14.25" hidden="1" spans="1:17">
      <c r="A419" s="1" t="str">
        <f>VLOOKUP(B419,combinate!A:B,2,FALSE)</f>
        <v>Group C</v>
      </c>
      <c r="B419" s="8">
        <v>254798447624</v>
      </c>
      <c r="C419" s="9">
        <v>19721527</v>
      </c>
      <c r="D419" s="10">
        <v>46179.7889699074</v>
      </c>
      <c r="E419" s="11" t="s">
        <v>250</v>
      </c>
      <c r="F419" s="9">
        <v>0.15</v>
      </c>
      <c r="G419" s="9">
        <v>20</v>
      </c>
      <c r="H419" s="9">
        <v>0</v>
      </c>
      <c r="I419" s="9">
        <v>20</v>
      </c>
      <c r="J419" s="9">
        <v>0</v>
      </c>
      <c r="K419" s="9">
        <v>20</v>
      </c>
      <c r="L419" s="9">
        <v>0.15</v>
      </c>
      <c r="M419" s="9">
        <v>20</v>
      </c>
      <c r="N419" s="9">
        <v>0.21</v>
      </c>
      <c r="O419" s="9">
        <v>28.5</v>
      </c>
      <c r="P419" s="9">
        <v>0</v>
      </c>
      <c r="Q419" s="9">
        <v>0</v>
      </c>
    </row>
    <row r="420" s="1" customFormat="1" ht="14.25" hidden="1" spans="1:17">
      <c r="A420" s="1" t="str">
        <f>VLOOKUP(B420,combinate!A:B,2,FALSE)</f>
        <v>Group C</v>
      </c>
      <c r="B420" s="8">
        <v>254113615115</v>
      </c>
      <c r="C420" s="9">
        <v>19733687</v>
      </c>
      <c r="D420" s="10">
        <v>46161.7918518518</v>
      </c>
      <c r="E420" s="12" t="s">
        <v>254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0</v>
      </c>
      <c r="O420" s="9">
        <v>0</v>
      </c>
      <c r="P420" s="9">
        <v>0</v>
      </c>
      <c r="Q420" s="9">
        <v>0</v>
      </c>
    </row>
    <row r="421" s="1" customFormat="1" ht="14.25" hidden="1" spans="1:17">
      <c r="A421" s="1" t="str">
        <f>VLOOKUP(B421,combinate!A:B,2,FALSE)</f>
        <v>Group C</v>
      </c>
      <c r="B421" s="8">
        <v>254758650033</v>
      </c>
      <c r="C421" s="9">
        <v>19855609</v>
      </c>
      <c r="D421" s="10">
        <v>46160.5497916667</v>
      </c>
      <c r="E421" s="12" t="s">
        <v>254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0</v>
      </c>
      <c r="O421" s="9">
        <v>0</v>
      </c>
      <c r="P421" s="9">
        <v>0</v>
      </c>
      <c r="Q421" s="9">
        <v>0</v>
      </c>
    </row>
    <row r="422" s="1" customFormat="1" ht="14.25" hidden="1" spans="1:17">
      <c r="A422" s="1" t="str">
        <f>VLOOKUP(B422,combinate!A:B,2,FALSE)</f>
        <v>Group A</v>
      </c>
      <c r="B422" s="8">
        <v>254720570390</v>
      </c>
      <c r="C422" s="9">
        <v>20213572</v>
      </c>
      <c r="D422" s="10">
        <v>46163.4681018519</v>
      </c>
      <c r="E422" s="12" t="s">
        <v>254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  <c r="O422" s="9">
        <v>0</v>
      </c>
      <c r="P422" s="9">
        <v>0</v>
      </c>
      <c r="Q422" s="9">
        <v>0</v>
      </c>
    </row>
    <row r="423" s="1" customFormat="1" ht="14.25" hidden="1" spans="1:17">
      <c r="A423" s="1" t="str">
        <f>VLOOKUP(B423,combinate!A:B,2,FALSE)</f>
        <v>Group A</v>
      </c>
      <c r="B423" s="8">
        <v>254117536106</v>
      </c>
      <c r="C423" s="9">
        <v>20667840</v>
      </c>
      <c r="D423" s="10">
        <v>46182.8810185185</v>
      </c>
      <c r="E423" s="11" t="s">
        <v>250</v>
      </c>
      <c r="F423" s="9">
        <v>269.66</v>
      </c>
      <c r="G423" s="9">
        <v>35865</v>
      </c>
      <c r="H423" s="9">
        <v>355</v>
      </c>
      <c r="I423" s="9">
        <v>35510</v>
      </c>
      <c r="J423" s="9">
        <v>355</v>
      </c>
      <c r="K423" s="9">
        <v>1273.5</v>
      </c>
      <c r="L423" s="9">
        <v>12.24</v>
      </c>
      <c r="M423" s="9">
        <v>1628.5</v>
      </c>
      <c r="N423" s="9">
        <v>47.89</v>
      </c>
      <c r="O423" s="9">
        <v>6369.75</v>
      </c>
      <c r="P423" s="9">
        <v>36.09</v>
      </c>
      <c r="Q423" s="9">
        <v>4800</v>
      </c>
    </row>
    <row r="424" s="1" customFormat="1" ht="14.25" hidden="1" spans="1:17">
      <c r="A424" s="1" t="str">
        <f>VLOOKUP(B424,combinate!A:B,2,FALSE)</f>
        <v>Group C</v>
      </c>
      <c r="B424" s="8">
        <v>254790821661</v>
      </c>
      <c r="C424" s="9">
        <v>1619659</v>
      </c>
      <c r="D424" s="10">
        <v>46182.1821527778</v>
      </c>
      <c r="E424" s="11" t="s">
        <v>250</v>
      </c>
      <c r="F424" s="9">
        <v>1.5</v>
      </c>
      <c r="G424" s="9">
        <v>199</v>
      </c>
      <c r="H424" s="9">
        <v>0</v>
      </c>
      <c r="I424" s="9">
        <v>199</v>
      </c>
      <c r="J424" s="9">
        <v>0</v>
      </c>
      <c r="K424" s="9">
        <v>109.58</v>
      </c>
      <c r="L424" s="9">
        <v>0.82</v>
      </c>
      <c r="M424" s="9">
        <v>109.58</v>
      </c>
      <c r="N424" s="9">
        <v>0.82</v>
      </c>
      <c r="O424" s="9">
        <v>109.25</v>
      </c>
      <c r="P424" s="9">
        <v>0</v>
      </c>
      <c r="Q424" s="9">
        <v>0</v>
      </c>
    </row>
    <row r="425" s="1" customFormat="1" ht="14.25" hidden="1" spans="1:17">
      <c r="A425" s="1" t="str">
        <f>VLOOKUP(B425,combinate!A:B,2,FALSE)</f>
        <v>Group C</v>
      </c>
      <c r="B425" s="8">
        <v>254720342218</v>
      </c>
      <c r="C425" s="9">
        <v>4011299</v>
      </c>
      <c r="D425" s="10">
        <v>46176.7537731481</v>
      </c>
      <c r="E425" s="11" t="s">
        <v>250</v>
      </c>
      <c r="F425" s="9">
        <v>5.04</v>
      </c>
      <c r="G425" s="9">
        <v>670</v>
      </c>
      <c r="H425" s="9">
        <v>0</v>
      </c>
      <c r="I425" s="9">
        <v>670</v>
      </c>
      <c r="J425" s="9">
        <v>0</v>
      </c>
      <c r="K425" s="9">
        <v>30</v>
      </c>
      <c r="L425" s="9">
        <v>0.23</v>
      </c>
      <c r="M425" s="9">
        <v>30</v>
      </c>
      <c r="N425" s="9">
        <v>0</v>
      </c>
      <c r="O425" s="9">
        <v>0</v>
      </c>
      <c r="P425" s="9">
        <v>0</v>
      </c>
      <c r="Q425" s="9">
        <v>0</v>
      </c>
    </row>
    <row r="426" s="1" customFormat="1" ht="14.25" hidden="1" spans="1:17">
      <c r="A426" s="1" t="str">
        <f>VLOOKUP(B426,combinate!A:B,2,FALSE)</f>
        <v>Group C</v>
      </c>
      <c r="B426" s="8">
        <v>254746355123</v>
      </c>
      <c r="C426" s="9">
        <v>9139709</v>
      </c>
      <c r="D426" s="10">
        <v>46182.5906134259</v>
      </c>
      <c r="E426" s="11" t="s">
        <v>250</v>
      </c>
      <c r="F426" s="9">
        <v>5.71</v>
      </c>
      <c r="G426" s="9">
        <v>760</v>
      </c>
      <c r="H426" s="9">
        <v>0</v>
      </c>
      <c r="I426" s="9">
        <v>760</v>
      </c>
      <c r="J426" s="9">
        <v>0</v>
      </c>
      <c r="K426" s="9">
        <v>55</v>
      </c>
      <c r="L426" s="9">
        <v>0.41</v>
      </c>
      <c r="M426" s="9">
        <v>55</v>
      </c>
      <c r="N426" s="9">
        <v>0.36</v>
      </c>
      <c r="O426" s="9">
        <v>47.5</v>
      </c>
      <c r="P426" s="9">
        <v>0</v>
      </c>
      <c r="Q426" s="9">
        <v>0</v>
      </c>
    </row>
    <row r="427" s="1" customFormat="1" ht="14.25" hidden="1" spans="1:17">
      <c r="A427" s="1" t="str">
        <f>VLOOKUP(B427,combinate!A:B,2,FALSE)</f>
        <v>Group A</v>
      </c>
      <c r="B427" s="8">
        <v>254717489723</v>
      </c>
      <c r="C427" s="9">
        <v>9293610</v>
      </c>
      <c r="D427" s="10">
        <v>46182.2717824074</v>
      </c>
      <c r="E427" s="11" t="s">
        <v>250</v>
      </c>
      <c r="F427" s="9">
        <v>114.04</v>
      </c>
      <c r="G427" s="9">
        <v>15167.15</v>
      </c>
      <c r="H427" s="9">
        <v>11</v>
      </c>
      <c r="I427" s="9">
        <v>15156.15</v>
      </c>
      <c r="J427" s="9">
        <v>5.14</v>
      </c>
      <c r="K427" s="9">
        <v>-1027.03</v>
      </c>
      <c r="L427" s="9">
        <v>-7.68</v>
      </c>
      <c r="M427" s="9">
        <v>-1021.89</v>
      </c>
      <c r="N427" s="9">
        <v>41.09</v>
      </c>
      <c r="O427" s="9">
        <v>5464.4</v>
      </c>
      <c r="P427" s="9">
        <v>47.37</v>
      </c>
      <c r="Q427" s="9">
        <v>6300.16</v>
      </c>
    </row>
    <row r="428" s="1" customFormat="1" ht="14.25" hidden="1" spans="1:17">
      <c r="A428" s="1" t="str">
        <f>VLOOKUP(B428,combinate!A:B,2,FALSE)</f>
        <v>Group C</v>
      </c>
      <c r="B428" s="8">
        <v>254795314883</v>
      </c>
      <c r="C428" s="9">
        <v>10879249</v>
      </c>
      <c r="D428" s="10">
        <v>46182.8429166667</v>
      </c>
      <c r="E428" s="12" t="s">
        <v>254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9">
        <v>0</v>
      </c>
      <c r="O428" s="9">
        <v>0</v>
      </c>
      <c r="P428" s="9">
        <v>0</v>
      </c>
      <c r="Q428" s="9">
        <v>0</v>
      </c>
    </row>
    <row r="429" s="1" customFormat="1" ht="14.25" hidden="1" spans="1:17">
      <c r="A429" s="1" t="str">
        <f>VLOOKUP(B429,combinate!A:B,2,FALSE)</f>
        <v>Group A</v>
      </c>
      <c r="B429" s="8">
        <v>254700785323</v>
      </c>
      <c r="C429" s="9">
        <v>11675230</v>
      </c>
      <c r="D429" s="10">
        <v>46183.3393402778</v>
      </c>
      <c r="E429" s="11" t="s">
        <v>250</v>
      </c>
      <c r="F429" s="9">
        <v>0.53</v>
      </c>
      <c r="G429" s="9">
        <v>70</v>
      </c>
      <c r="H429" s="9">
        <v>0</v>
      </c>
      <c r="I429" s="9">
        <v>70</v>
      </c>
      <c r="J429" s="9">
        <v>0</v>
      </c>
      <c r="K429" s="9">
        <v>9.15</v>
      </c>
      <c r="L429" s="9">
        <v>0.07</v>
      </c>
      <c r="M429" s="9">
        <v>9.15</v>
      </c>
      <c r="N429" s="9">
        <v>0.07</v>
      </c>
      <c r="O429" s="9">
        <v>9.5</v>
      </c>
      <c r="P429" s="9">
        <v>0</v>
      </c>
      <c r="Q429" s="9">
        <v>0</v>
      </c>
    </row>
    <row r="430" s="1" customFormat="1" ht="14.25" hidden="1" spans="1:17">
      <c r="A430" s="1" t="str">
        <f>VLOOKUP(B430,combinate!A:B,2,FALSE)</f>
        <v>Group C</v>
      </c>
      <c r="B430" s="8">
        <v>254707448437</v>
      </c>
      <c r="C430" s="9">
        <v>12128056</v>
      </c>
      <c r="D430" s="10">
        <v>46183.576412037</v>
      </c>
      <c r="E430" s="12" t="s">
        <v>254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0</v>
      </c>
      <c r="O430" s="9">
        <v>0</v>
      </c>
      <c r="P430" s="9">
        <v>0</v>
      </c>
      <c r="Q430" s="9">
        <v>0</v>
      </c>
    </row>
    <row r="431" s="1" customFormat="1" ht="14.25" hidden="1" spans="1:17">
      <c r="A431" s="1" t="str">
        <f>VLOOKUP(B431,combinate!A:B,2,FALSE)</f>
        <v>Group C</v>
      </c>
      <c r="B431" s="8">
        <v>254740307312</v>
      </c>
      <c r="C431" s="9">
        <v>12760006</v>
      </c>
      <c r="D431" s="10">
        <v>46177.8470949074</v>
      </c>
      <c r="E431" s="11" t="s">
        <v>250</v>
      </c>
      <c r="F431" s="9">
        <v>51.35</v>
      </c>
      <c r="G431" s="9">
        <v>6829</v>
      </c>
      <c r="H431" s="9">
        <v>0</v>
      </c>
      <c r="I431" s="9">
        <v>6829</v>
      </c>
      <c r="J431" s="9">
        <v>0</v>
      </c>
      <c r="K431" s="9">
        <v>1267.51</v>
      </c>
      <c r="L431" s="9">
        <v>9.53</v>
      </c>
      <c r="M431" s="9">
        <v>1267.51</v>
      </c>
      <c r="N431" s="9">
        <v>25.41</v>
      </c>
      <c r="O431" s="9">
        <v>3380.1</v>
      </c>
      <c r="P431" s="9">
        <v>15.04</v>
      </c>
      <c r="Q431" s="9">
        <v>2000</v>
      </c>
    </row>
    <row r="432" s="1" customFormat="1" ht="14.25" hidden="1" spans="1:17">
      <c r="A432" s="1" t="str">
        <f>VLOOKUP(B432,combinate!A:B,2,FALSE)</f>
        <v>Group A</v>
      </c>
      <c r="B432" s="8">
        <v>254715925936</v>
      </c>
      <c r="C432" s="9">
        <v>13167920</v>
      </c>
      <c r="D432" s="10">
        <v>46160.7095023148</v>
      </c>
      <c r="E432" s="12" t="s">
        <v>254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0</v>
      </c>
      <c r="N432" s="9">
        <v>0</v>
      </c>
      <c r="O432" s="9">
        <v>0</v>
      </c>
      <c r="P432" s="9">
        <v>0</v>
      </c>
      <c r="Q432" s="9">
        <v>0</v>
      </c>
    </row>
    <row r="433" s="1" customFormat="1" ht="14.25" hidden="1" spans="1:17">
      <c r="A433" s="1" t="str">
        <f>VLOOKUP(B433,combinate!A:B,2,FALSE)</f>
        <v>Group C</v>
      </c>
      <c r="B433" s="8">
        <v>254115918387</v>
      </c>
      <c r="C433" s="9">
        <v>13458746</v>
      </c>
      <c r="D433" s="10">
        <v>46163.3471180556</v>
      </c>
      <c r="E433" s="12" t="s">
        <v>254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9">
        <v>0</v>
      </c>
      <c r="O433" s="9">
        <v>0</v>
      </c>
      <c r="P433" s="9">
        <v>0</v>
      </c>
      <c r="Q433" s="9">
        <v>0</v>
      </c>
    </row>
    <row r="434" s="1" customFormat="1" ht="14.25" hidden="1" spans="1:17">
      <c r="A434" s="1" t="str">
        <f>VLOOKUP(B434,combinate!A:B,2,FALSE)</f>
        <v>Group A</v>
      </c>
      <c r="B434" s="8">
        <v>254769948533</v>
      </c>
      <c r="C434" s="9">
        <v>13586450</v>
      </c>
      <c r="D434" s="10">
        <v>46182.9796064815</v>
      </c>
      <c r="E434" s="11" t="s">
        <v>250</v>
      </c>
      <c r="F434" s="9">
        <v>0.25</v>
      </c>
      <c r="G434" s="9">
        <v>33.42</v>
      </c>
      <c r="H434" s="9">
        <v>0</v>
      </c>
      <c r="I434" s="9">
        <v>33.42</v>
      </c>
      <c r="J434" s="9">
        <v>0</v>
      </c>
      <c r="K434" s="9">
        <v>1</v>
      </c>
      <c r="L434" s="9">
        <v>0.01</v>
      </c>
      <c r="M434" s="9">
        <v>1</v>
      </c>
      <c r="N434" s="9">
        <v>0</v>
      </c>
      <c r="O434" s="9">
        <v>0</v>
      </c>
      <c r="P434" s="9">
        <v>0</v>
      </c>
      <c r="Q434" s="9">
        <v>0</v>
      </c>
    </row>
    <row r="435" s="1" customFormat="1" ht="14.25" hidden="1" spans="1:17">
      <c r="A435" s="1" t="str">
        <f>VLOOKUP(B435,combinate!A:B,2,FALSE)</f>
        <v>Group A</v>
      </c>
      <c r="B435" s="8">
        <v>254711614223</v>
      </c>
      <c r="C435" s="9">
        <v>13983160</v>
      </c>
      <c r="D435" s="10">
        <v>46166.9227199074</v>
      </c>
      <c r="E435" s="12" t="s">
        <v>254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0</v>
      </c>
      <c r="N435" s="9">
        <v>0</v>
      </c>
      <c r="O435" s="9">
        <v>0</v>
      </c>
      <c r="P435" s="9">
        <v>0</v>
      </c>
      <c r="Q435" s="9">
        <v>0</v>
      </c>
    </row>
    <row r="436" s="1" customFormat="1" ht="14.25" hidden="1" spans="1:17">
      <c r="A436" s="1" t="str">
        <f>VLOOKUP(B436,combinate!A:B,2,FALSE)</f>
        <v>Group C</v>
      </c>
      <c r="B436" s="8">
        <v>254794831592</v>
      </c>
      <c r="C436" s="9">
        <v>14149787</v>
      </c>
      <c r="D436" s="10">
        <v>46160.2661921296</v>
      </c>
      <c r="E436" s="12" t="s">
        <v>254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0</v>
      </c>
      <c r="O436" s="9">
        <v>0</v>
      </c>
      <c r="P436" s="9">
        <v>0</v>
      </c>
      <c r="Q436" s="9">
        <v>0</v>
      </c>
    </row>
    <row r="437" s="1" customFormat="1" ht="14.25" hidden="1" spans="1:17">
      <c r="A437" s="1" t="str">
        <f>VLOOKUP(B437,combinate!A:B,2,FALSE)</f>
        <v>Group C</v>
      </c>
      <c r="B437" s="8">
        <v>254741564096</v>
      </c>
      <c r="C437" s="9">
        <v>15449358</v>
      </c>
      <c r="D437" s="10">
        <v>46183.8832175926</v>
      </c>
      <c r="E437" s="11" t="s">
        <v>250</v>
      </c>
      <c r="F437" s="9">
        <v>0.61</v>
      </c>
      <c r="G437" s="9">
        <v>81</v>
      </c>
      <c r="H437" s="9">
        <v>0</v>
      </c>
      <c r="I437" s="9">
        <v>81</v>
      </c>
      <c r="J437" s="9">
        <v>0</v>
      </c>
      <c r="K437" s="9">
        <v>81</v>
      </c>
      <c r="L437" s="9">
        <v>0.61</v>
      </c>
      <c r="M437" s="9">
        <v>81</v>
      </c>
      <c r="N437" s="9">
        <v>0.61</v>
      </c>
      <c r="O437" s="9">
        <v>80.75</v>
      </c>
      <c r="P437" s="9">
        <v>0</v>
      </c>
      <c r="Q437" s="9">
        <v>0</v>
      </c>
    </row>
    <row r="438" s="1" customFormat="1" ht="14.25" hidden="1" spans="1:17">
      <c r="A438" s="1" t="str">
        <f>VLOOKUP(B438,combinate!A:B,2,FALSE)</f>
        <v>Group C</v>
      </c>
      <c r="B438" s="8">
        <v>254797204012</v>
      </c>
      <c r="C438" s="9">
        <v>15770088</v>
      </c>
      <c r="D438" s="10">
        <v>46179.7410763889</v>
      </c>
      <c r="E438" s="12" t="s">
        <v>254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L438" s="9">
        <v>0</v>
      </c>
      <c r="M438" s="9">
        <v>0</v>
      </c>
      <c r="N438" s="9">
        <v>0</v>
      </c>
      <c r="O438" s="9">
        <v>0</v>
      </c>
      <c r="P438" s="9">
        <v>0</v>
      </c>
      <c r="Q438" s="9">
        <v>0</v>
      </c>
    </row>
    <row r="439" s="1" customFormat="1" ht="14.25" hidden="1" spans="1:17">
      <c r="A439" s="1" t="str">
        <f>VLOOKUP(B439,combinate!A:B,2,FALSE)</f>
        <v>Group C</v>
      </c>
      <c r="B439" s="8">
        <v>254796044714</v>
      </c>
      <c r="C439" s="9">
        <v>16139548</v>
      </c>
      <c r="D439" s="10">
        <v>46181.1112037037</v>
      </c>
      <c r="E439" s="11" t="s">
        <v>250</v>
      </c>
      <c r="F439" s="9">
        <v>2.11</v>
      </c>
      <c r="G439" s="9">
        <v>280</v>
      </c>
      <c r="H439" s="9">
        <v>0</v>
      </c>
      <c r="I439" s="9">
        <v>280</v>
      </c>
      <c r="J439" s="9">
        <v>0</v>
      </c>
      <c r="K439" s="9">
        <v>185.6</v>
      </c>
      <c r="L439" s="9">
        <v>1.4</v>
      </c>
      <c r="M439" s="9">
        <v>185.6</v>
      </c>
      <c r="N439" s="9">
        <v>1.41</v>
      </c>
      <c r="O439" s="9">
        <v>188.1</v>
      </c>
      <c r="P439" s="9">
        <v>0</v>
      </c>
      <c r="Q439" s="9">
        <v>0</v>
      </c>
    </row>
    <row r="440" s="1" customFormat="1" ht="14.25" hidden="1" spans="1:17">
      <c r="A440" s="1" t="str">
        <f>VLOOKUP(B440,combinate!A:B,2,FALSE)</f>
        <v>Group C</v>
      </c>
      <c r="B440" s="8">
        <v>254746453310</v>
      </c>
      <c r="C440" s="9">
        <v>16820166</v>
      </c>
      <c r="D440" s="10">
        <v>46181.7720833333</v>
      </c>
      <c r="E440" s="11" t="s">
        <v>250</v>
      </c>
      <c r="F440" s="9">
        <v>1.71</v>
      </c>
      <c r="G440" s="9">
        <v>227</v>
      </c>
      <c r="H440" s="9">
        <v>0</v>
      </c>
      <c r="I440" s="9">
        <v>227</v>
      </c>
      <c r="J440" s="9">
        <v>0</v>
      </c>
      <c r="K440" s="9">
        <v>92.5</v>
      </c>
      <c r="L440" s="9">
        <v>0.7</v>
      </c>
      <c r="M440" s="9">
        <v>92.5</v>
      </c>
      <c r="N440" s="9">
        <v>0.7</v>
      </c>
      <c r="O440" s="9">
        <v>93.1</v>
      </c>
      <c r="P440" s="9">
        <v>0</v>
      </c>
      <c r="Q440" s="9">
        <v>0</v>
      </c>
    </row>
    <row r="441" s="1" customFormat="1" ht="14.25" hidden="1" spans="1:17">
      <c r="A441" s="1" t="str">
        <f>VLOOKUP(B441,combinate!A:B,2,FALSE)</f>
        <v>Group C</v>
      </c>
      <c r="B441" s="8">
        <v>254743076540</v>
      </c>
      <c r="C441" s="9">
        <v>17990817</v>
      </c>
      <c r="D441" s="10">
        <v>46177.318125</v>
      </c>
      <c r="E441" s="12" t="s">
        <v>254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0</v>
      </c>
      <c r="N441" s="9">
        <v>0</v>
      </c>
      <c r="O441" s="9">
        <v>0</v>
      </c>
      <c r="P441" s="9">
        <v>0</v>
      </c>
      <c r="Q441" s="9">
        <v>0</v>
      </c>
    </row>
    <row r="442" s="1" customFormat="1" ht="14.25" hidden="1" spans="1:17">
      <c r="A442" s="1" t="str">
        <f>VLOOKUP(B442,combinate!A:B,2,FALSE)</f>
        <v>Group A</v>
      </c>
      <c r="B442" s="8">
        <v>254116176707</v>
      </c>
      <c r="C442" s="9">
        <v>18838120</v>
      </c>
      <c r="D442" s="10">
        <v>46181.217025463</v>
      </c>
      <c r="E442" s="12" t="s">
        <v>254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9">
        <v>0</v>
      </c>
      <c r="N442" s="9">
        <v>0</v>
      </c>
      <c r="O442" s="9">
        <v>0</v>
      </c>
      <c r="P442" s="9">
        <v>0</v>
      </c>
      <c r="Q442" s="9">
        <v>0</v>
      </c>
    </row>
    <row r="443" s="1" customFormat="1" ht="14.25" hidden="1" spans="1:17">
      <c r="A443" s="1" t="str">
        <f>VLOOKUP(B443,combinate!A:B,2,FALSE)</f>
        <v>Group A</v>
      </c>
      <c r="B443" s="8">
        <v>254712666371</v>
      </c>
      <c r="C443" s="9">
        <v>19874242</v>
      </c>
      <c r="D443" s="10">
        <v>46180.1428125</v>
      </c>
      <c r="E443" s="11" t="s">
        <v>250</v>
      </c>
      <c r="F443" s="9">
        <v>2.18</v>
      </c>
      <c r="G443" s="9">
        <v>290</v>
      </c>
      <c r="H443" s="9">
        <v>0</v>
      </c>
      <c r="I443" s="9">
        <v>290</v>
      </c>
      <c r="J443" s="9">
        <v>0</v>
      </c>
      <c r="K443" s="9">
        <v>187.4</v>
      </c>
      <c r="L443" s="9">
        <v>1.41</v>
      </c>
      <c r="M443" s="9">
        <v>187.4</v>
      </c>
      <c r="N443" s="9">
        <v>1.43</v>
      </c>
      <c r="O443" s="9">
        <v>190</v>
      </c>
      <c r="P443" s="9">
        <v>0</v>
      </c>
      <c r="Q443" s="9">
        <v>0</v>
      </c>
    </row>
    <row r="444" s="1" customFormat="1" ht="14.25" hidden="1" spans="1:17">
      <c r="A444" s="1" t="str">
        <f>VLOOKUP(B444,combinate!A:B,2,FALSE)</f>
        <v>Group A</v>
      </c>
      <c r="B444" s="8">
        <v>254721832091</v>
      </c>
      <c r="C444" s="9">
        <v>19887220</v>
      </c>
      <c r="D444" s="10">
        <v>46183.7144212963</v>
      </c>
      <c r="E444" s="11" t="s">
        <v>250</v>
      </c>
      <c r="F444" s="9">
        <v>2.33</v>
      </c>
      <c r="G444" s="9">
        <v>310</v>
      </c>
      <c r="H444" s="9">
        <v>0</v>
      </c>
      <c r="I444" s="9">
        <v>310</v>
      </c>
      <c r="J444" s="9">
        <v>0</v>
      </c>
      <c r="K444" s="9">
        <v>266.2</v>
      </c>
      <c r="L444" s="9">
        <v>2</v>
      </c>
      <c r="M444" s="9">
        <v>266.2</v>
      </c>
      <c r="N444" s="9">
        <v>2.01</v>
      </c>
      <c r="O444" s="9">
        <v>267.9</v>
      </c>
      <c r="P444" s="9">
        <v>0</v>
      </c>
      <c r="Q444" s="9">
        <v>0</v>
      </c>
    </row>
    <row r="445" s="1" customFormat="1" ht="14.25" hidden="1" spans="1:17">
      <c r="A445" s="1" t="str">
        <f>VLOOKUP(B445,combinate!A:B,2,FALSE)</f>
        <v>Group A</v>
      </c>
      <c r="B445" s="8">
        <v>254700688912</v>
      </c>
      <c r="C445" s="9">
        <v>20089772</v>
      </c>
      <c r="D445" s="10">
        <v>46161.5391203704</v>
      </c>
      <c r="E445" s="12" t="s">
        <v>254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9">
        <v>0</v>
      </c>
      <c r="O445" s="9">
        <v>0</v>
      </c>
      <c r="P445" s="9">
        <v>0</v>
      </c>
      <c r="Q445" s="9">
        <v>0</v>
      </c>
    </row>
    <row r="446" s="1" customFormat="1" ht="14.25" hidden="1" spans="1:17">
      <c r="A446" s="1" t="str">
        <f>VLOOKUP(B446,combinate!A:B,2,FALSE)</f>
        <v>Group C</v>
      </c>
      <c r="B446" s="8">
        <v>254705577137</v>
      </c>
      <c r="C446" s="9">
        <v>20484769</v>
      </c>
      <c r="D446" s="10">
        <v>46179.340787037</v>
      </c>
      <c r="E446" s="11" t="s">
        <v>250</v>
      </c>
      <c r="F446" s="9">
        <v>16.71</v>
      </c>
      <c r="G446" s="9">
        <v>2222.23</v>
      </c>
      <c r="H446" s="9">
        <v>0</v>
      </c>
      <c r="I446" s="9">
        <v>2222.23</v>
      </c>
      <c r="J446" s="9">
        <v>0</v>
      </c>
      <c r="K446" s="9">
        <v>536.98</v>
      </c>
      <c r="L446" s="9">
        <v>4.04</v>
      </c>
      <c r="M446" s="9">
        <v>536.98</v>
      </c>
      <c r="N446" s="9">
        <v>6.71</v>
      </c>
      <c r="O446" s="9">
        <v>893</v>
      </c>
      <c r="P446" s="9">
        <v>2.45</v>
      </c>
      <c r="Q446" s="9">
        <v>325.25</v>
      </c>
    </row>
    <row r="447" s="1" customFormat="1" ht="14.25" hidden="1" spans="1:17">
      <c r="A447" s="1" t="str">
        <f>VLOOKUP(B447,combinate!A:B,2,FALSE)</f>
        <v>Group A</v>
      </c>
      <c r="B447" s="8">
        <v>254726706750</v>
      </c>
      <c r="C447" s="9">
        <v>20598120</v>
      </c>
      <c r="D447" s="10">
        <v>46182.8130902778</v>
      </c>
      <c r="E447" s="11" t="s">
        <v>250</v>
      </c>
      <c r="F447" s="9">
        <v>9.4</v>
      </c>
      <c r="G447" s="9">
        <v>1250</v>
      </c>
      <c r="H447" s="9">
        <v>0</v>
      </c>
      <c r="I447" s="9">
        <v>1250</v>
      </c>
      <c r="J447" s="9">
        <v>0</v>
      </c>
      <c r="K447" s="9">
        <v>1250</v>
      </c>
      <c r="L447" s="9">
        <v>9.4</v>
      </c>
      <c r="M447" s="9">
        <v>1250</v>
      </c>
      <c r="N447" s="9">
        <v>14.29</v>
      </c>
      <c r="O447" s="9">
        <v>1900</v>
      </c>
      <c r="P447" s="9">
        <v>0</v>
      </c>
      <c r="Q447" s="9">
        <v>0</v>
      </c>
    </row>
    <row r="448" s="1" customFormat="1" ht="14.25" hidden="1" spans="1:17">
      <c r="A448" s="1" t="str">
        <f>VLOOKUP(B448,combinate!A:B,2,FALSE)</f>
        <v>Group C</v>
      </c>
      <c r="B448" s="8">
        <v>254723972570</v>
      </c>
      <c r="C448" s="9">
        <v>21026178</v>
      </c>
      <c r="D448" s="10">
        <v>46179.9016319444</v>
      </c>
      <c r="E448" s="11" t="s">
        <v>250</v>
      </c>
      <c r="F448" s="9">
        <v>0.75</v>
      </c>
      <c r="G448" s="9">
        <v>100</v>
      </c>
      <c r="H448" s="9">
        <v>0</v>
      </c>
      <c r="I448" s="9">
        <v>100</v>
      </c>
      <c r="J448" s="9">
        <v>0</v>
      </c>
      <c r="K448" s="9">
        <v>100</v>
      </c>
      <c r="L448" s="9">
        <v>0.75</v>
      </c>
      <c r="M448" s="9">
        <v>100</v>
      </c>
      <c r="N448" s="9">
        <v>0.71</v>
      </c>
      <c r="O448" s="9">
        <v>94.05</v>
      </c>
      <c r="P448" s="9">
        <v>0</v>
      </c>
      <c r="Q448" s="9">
        <v>0</v>
      </c>
    </row>
    <row r="449" s="1" customFormat="1" ht="14.25" hidden="1" spans="1:17">
      <c r="A449" s="1" t="str">
        <f>VLOOKUP(B449,combinate!A:B,2,FALSE)</f>
        <v>Group C</v>
      </c>
      <c r="B449" s="8">
        <v>254792064195</v>
      </c>
      <c r="C449" s="9">
        <v>21195286</v>
      </c>
      <c r="D449" s="10">
        <v>46160.6249421296</v>
      </c>
      <c r="E449" s="12" t="s">
        <v>254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  <c r="O449" s="9">
        <v>0</v>
      </c>
      <c r="P449" s="9">
        <v>0</v>
      </c>
      <c r="Q449" s="9">
        <v>0</v>
      </c>
    </row>
    <row r="450" s="1" customFormat="1" ht="14.25" hidden="1" spans="1:17">
      <c r="A450" s="1" t="str">
        <f>VLOOKUP(B450,combinate!A:B,2,FALSE)</f>
        <v>Group C</v>
      </c>
      <c r="B450" s="8">
        <v>254140302868</v>
      </c>
      <c r="C450" s="9">
        <v>22047716</v>
      </c>
      <c r="D450" s="10">
        <v>46160.7598148148</v>
      </c>
      <c r="E450" s="12" t="s">
        <v>254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0</v>
      </c>
      <c r="N450" s="9">
        <v>0</v>
      </c>
      <c r="O450" s="9">
        <v>0</v>
      </c>
      <c r="P450" s="9">
        <v>0</v>
      </c>
      <c r="Q450" s="9">
        <v>0</v>
      </c>
    </row>
    <row r="451" s="1" customFormat="1" ht="14.25" hidden="1" spans="1:17">
      <c r="A451" s="1" t="str">
        <f>VLOOKUP(B451,combinate!A:B,2,FALSE)</f>
        <v>Group A</v>
      </c>
      <c r="B451" s="8">
        <v>254116255629</v>
      </c>
      <c r="C451" s="9">
        <v>22090260</v>
      </c>
      <c r="D451" s="10">
        <v>46160.1919791667</v>
      </c>
      <c r="E451" s="12" t="s">
        <v>254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0</v>
      </c>
      <c r="O451" s="9">
        <v>0</v>
      </c>
      <c r="P451" s="9">
        <v>0</v>
      </c>
      <c r="Q451" s="9">
        <v>0</v>
      </c>
    </row>
    <row r="452" s="1" customFormat="1" ht="14.25" hidden="1" spans="1:17">
      <c r="A452" s="1" t="str">
        <f>VLOOKUP(B452,combinate!A:B,2,FALSE)</f>
        <v>Group C</v>
      </c>
      <c r="B452" s="8">
        <v>254113335557</v>
      </c>
      <c r="C452" s="9">
        <v>22093859</v>
      </c>
      <c r="D452" s="10">
        <v>46161.593125</v>
      </c>
      <c r="E452" s="12" t="s">
        <v>254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0</v>
      </c>
      <c r="O452" s="9">
        <v>0</v>
      </c>
      <c r="P452" s="9">
        <v>0</v>
      </c>
      <c r="Q452" s="9">
        <v>0</v>
      </c>
    </row>
    <row r="453" s="1" customFormat="1" ht="14.25" hidden="1" spans="1:17">
      <c r="A453" s="1" t="str">
        <f>VLOOKUP(B453,combinate!A:B,2,FALSE)</f>
        <v>Group B</v>
      </c>
      <c r="B453" s="8">
        <v>254741082494</v>
      </c>
      <c r="C453" s="9">
        <v>22147505</v>
      </c>
      <c r="D453" s="10">
        <v>46160.4000347222</v>
      </c>
      <c r="E453" s="12" t="s">
        <v>254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0</v>
      </c>
      <c r="O453" s="9">
        <v>0</v>
      </c>
      <c r="P453" s="9">
        <v>0</v>
      </c>
      <c r="Q453" s="9">
        <v>0</v>
      </c>
    </row>
    <row r="454" s="1" customFormat="1" ht="14.25" hidden="1" spans="1:17">
      <c r="A454" s="1" t="str">
        <f>VLOOKUP(B454,combinate!A:B,2,FALSE)</f>
        <v>Group C</v>
      </c>
      <c r="B454" s="8">
        <v>254707666155</v>
      </c>
      <c r="C454" s="9">
        <v>22147926</v>
      </c>
      <c r="D454" s="10">
        <v>46182.8083449074</v>
      </c>
      <c r="E454" s="12" t="s">
        <v>254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  <c r="O454" s="9">
        <v>0</v>
      </c>
      <c r="P454" s="9">
        <v>0</v>
      </c>
      <c r="Q454" s="9">
        <v>0</v>
      </c>
    </row>
    <row r="455" s="1" customFormat="1" ht="14.25" hidden="1" spans="1:17">
      <c r="A455" s="1" t="str">
        <f>VLOOKUP(B455,combinate!A:B,2,FALSE)</f>
        <v>Group C</v>
      </c>
      <c r="B455" s="8">
        <v>254786459377</v>
      </c>
      <c r="C455" s="9">
        <v>22250936</v>
      </c>
      <c r="D455" s="10">
        <v>46180.5621180556</v>
      </c>
      <c r="E455" s="12" t="s">
        <v>254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  <c r="O455" s="9">
        <v>0</v>
      </c>
      <c r="P455" s="9">
        <v>0</v>
      </c>
      <c r="Q455" s="9">
        <v>0</v>
      </c>
    </row>
    <row r="456" s="1" customFormat="1" ht="14.25" hidden="1" spans="1:17">
      <c r="A456" s="1" t="str">
        <f>VLOOKUP(B456,combinate!A:B,2,FALSE)</f>
        <v>Group C</v>
      </c>
      <c r="B456" s="8">
        <v>254717317792</v>
      </c>
      <c r="C456" s="9">
        <v>22437427</v>
      </c>
      <c r="D456" s="10">
        <v>46161.6619791667</v>
      </c>
      <c r="E456" s="12" t="s">
        <v>254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0</v>
      </c>
      <c r="N456" s="9">
        <v>0</v>
      </c>
      <c r="O456" s="9">
        <v>0</v>
      </c>
      <c r="P456" s="9">
        <v>0</v>
      </c>
      <c r="Q456" s="9">
        <v>0</v>
      </c>
    </row>
    <row r="457" s="1" customFormat="1" ht="14.25" hidden="1" spans="1:17">
      <c r="A457" s="1" t="str">
        <f>VLOOKUP(B457,combinate!A:B,2,FALSE)</f>
        <v>Group A</v>
      </c>
      <c r="B457" s="8">
        <v>254711310638</v>
      </c>
      <c r="C457" s="9">
        <v>22473930</v>
      </c>
      <c r="D457" s="10">
        <v>46163.6501967593</v>
      </c>
      <c r="E457" s="12" t="s">
        <v>254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  <c r="N457" s="9">
        <v>0</v>
      </c>
      <c r="O457" s="9">
        <v>0</v>
      </c>
      <c r="P457" s="9">
        <v>0</v>
      </c>
      <c r="Q457" s="9">
        <v>0</v>
      </c>
    </row>
    <row r="458" s="1" customFormat="1" ht="14.25" hidden="1" spans="1:17">
      <c r="A458" s="1" t="str">
        <f>VLOOKUP(B458,combinate!A:B,2,FALSE)</f>
        <v>Group C</v>
      </c>
      <c r="B458" s="8">
        <v>254797831034</v>
      </c>
      <c r="C458" s="9">
        <v>22504349</v>
      </c>
      <c r="D458" s="10">
        <v>46163.7092361111</v>
      </c>
      <c r="E458" s="12" t="s">
        <v>254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9">
        <v>0</v>
      </c>
      <c r="O458" s="9">
        <v>0</v>
      </c>
      <c r="P458" s="9">
        <v>0</v>
      </c>
      <c r="Q458" s="9">
        <v>0</v>
      </c>
    </row>
    <row r="459" s="1" customFormat="1" ht="14.25" hidden="1" spans="1:17">
      <c r="A459" s="1" t="str">
        <f>VLOOKUP(B459,combinate!A:B,2,FALSE)</f>
        <v>Group C</v>
      </c>
      <c r="B459" s="8">
        <v>254726960247</v>
      </c>
      <c r="C459" s="9">
        <v>22600877</v>
      </c>
      <c r="D459" s="10">
        <v>46178.4825810185</v>
      </c>
      <c r="E459" s="11" t="s">
        <v>250</v>
      </c>
      <c r="F459" s="9">
        <v>0.36</v>
      </c>
      <c r="G459" s="9">
        <v>48.24</v>
      </c>
      <c r="H459" s="9">
        <v>0</v>
      </c>
      <c r="I459" s="9">
        <v>48.24</v>
      </c>
      <c r="J459" s="9">
        <v>0</v>
      </c>
      <c r="K459" s="9">
        <v>48.24</v>
      </c>
      <c r="L459" s="9">
        <v>0.36</v>
      </c>
      <c r="M459" s="9">
        <v>48.24</v>
      </c>
      <c r="N459" s="9">
        <v>0.36</v>
      </c>
      <c r="O459" s="9">
        <v>47.5</v>
      </c>
      <c r="P459" s="9">
        <v>0</v>
      </c>
      <c r="Q459" s="9">
        <v>0</v>
      </c>
    </row>
    <row r="460" s="1" customFormat="1" ht="14.25" hidden="1" spans="1:17">
      <c r="A460" s="1" t="str">
        <f>VLOOKUP(B460,combinate!A:B,2,FALSE)</f>
        <v>Group A</v>
      </c>
      <c r="B460" s="8">
        <v>254727638673</v>
      </c>
      <c r="C460" s="9">
        <v>22836942</v>
      </c>
      <c r="D460" s="10">
        <v>46166.6083564815</v>
      </c>
      <c r="E460" s="12" t="s">
        <v>254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0</v>
      </c>
      <c r="N460" s="9">
        <v>0</v>
      </c>
      <c r="O460" s="9">
        <v>0</v>
      </c>
      <c r="P460" s="9">
        <v>0</v>
      </c>
      <c r="Q460" s="9">
        <v>0</v>
      </c>
    </row>
    <row r="461" s="1" customFormat="1" ht="14.25" hidden="1" spans="1:17">
      <c r="A461" s="1" t="str">
        <f>VLOOKUP(B461,combinate!A:B,2,FALSE)</f>
        <v>Group C</v>
      </c>
      <c r="B461" s="8">
        <v>254141029726</v>
      </c>
      <c r="C461" s="9">
        <v>22991459</v>
      </c>
      <c r="D461" s="10">
        <v>46166.6067013889</v>
      </c>
      <c r="E461" s="12" t="s">
        <v>254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0</v>
      </c>
      <c r="N461" s="9">
        <v>0</v>
      </c>
      <c r="O461" s="9">
        <v>0</v>
      </c>
      <c r="P461" s="9">
        <v>0</v>
      </c>
      <c r="Q461" s="9">
        <v>0</v>
      </c>
    </row>
    <row r="462" s="1" customFormat="1" ht="14.25" hidden="1" spans="1:17">
      <c r="A462" s="1" t="str">
        <f>VLOOKUP(B462,combinate!A:B,2,FALSE)</f>
        <v>Group A</v>
      </c>
      <c r="B462" s="8">
        <v>254790971241</v>
      </c>
      <c r="C462" s="9">
        <v>20622</v>
      </c>
      <c r="D462" s="10">
        <v>46166.9956828704</v>
      </c>
      <c r="E462" s="12" t="s">
        <v>254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0</v>
      </c>
      <c r="N462" s="9">
        <v>0</v>
      </c>
      <c r="O462" s="9">
        <v>0</v>
      </c>
      <c r="P462" s="9">
        <v>0</v>
      </c>
      <c r="Q462" s="9">
        <v>0</v>
      </c>
    </row>
    <row r="463" s="1" customFormat="1" ht="14.25" hidden="1" spans="1:17">
      <c r="A463" s="1" t="str">
        <f>VLOOKUP(B463,combinate!A:B,2,FALSE)</f>
        <v>Group A</v>
      </c>
      <c r="B463" s="8">
        <v>254718873432</v>
      </c>
      <c r="C463" s="9">
        <v>86150</v>
      </c>
      <c r="D463" s="10">
        <v>46160.9071643519</v>
      </c>
      <c r="E463" s="12" t="s">
        <v>254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0</v>
      </c>
      <c r="N463" s="9">
        <v>0</v>
      </c>
      <c r="O463" s="9">
        <v>0</v>
      </c>
      <c r="P463" s="9">
        <v>0</v>
      </c>
      <c r="Q463" s="9">
        <v>0</v>
      </c>
    </row>
    <row r="464" s="1" customFormat="1" ht="14.25" hidden="1" spans="1:17">
      <c r="A464" s="1" t="str">
        <f>VLOOKUP(B464,combinate!A:B,2,FALSE)</f>
        <v>Group C</v>
      </c>
      <c r="B464" s="8">
        <v>254722207920</v>
      </c>
      <c r="C464" s="9">
        <v>1064699</v>
      </c>
      <c r="D464" s="10">
        <v>46183.5918287037</v>
      </c>
      <c r="E464" s="12" t="s">
        <v>254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0</v>
      </c>
      <c r="N464" s="9">
        <v>0</v>
      </c>
      <c r="O464" s="9">
        <v>0</v>
      </c>
      <c r="P464" s="9">
        <v>0</v>
      </c>
      <c r="Q464" s="9">
        <v>0</v>
      </c>
    </row>
    <row r="465" s="1" customFormat="1" ht="14.25" hidden="1" spans="1:17">
      <c r="A465" s="1" t="str">
        <f>VLOOKUP(B465,combinate!A:B,2,FALSE)</f>
        <v>Group A</v>
      </c>
      <c r="B465" s="8">
        <v>254794251162</v>
      </c>
      <c r="C465" s="9">
        <v>1748370</v>
      </c>
      <c r="D465" s="10">
        <v>46160.8461805556</v>
      </c>
      <c r="E465" s="12" t="s">
        <v>254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  <c r="N465" s="9">
        <v>0</v>
      </c>
      <c r="O465" s="9">
        <v>0</v>
      </c>
      <c r="P465" s="9">
        <v>0</v>
      </c>
      <c r="Q465" s="9">
        <v>0</v>
      </c>
    </row>
    <row r="466" s="1" customFormat="1" ht="14.25" hidden="1" spans="1:17">
      <c r="A466" s="1" t="str">
        <f>VLOOKUP(B466,combinate!A:B,2,FALSE)</f>
        <v>Group C</v>
      </c>
      <c r="B466" s="8">
        <v>254724349321</v>
      </c>
      <c r="C466" s="9">
        <v>1763786</v>
      </c>
      <c r="D466" s="10">
        <v>46182.913287037</v>
      </c>
      <c r="E466" s="12" t="s">
        <v>254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0</v>
      </c>
      <c r="N466" s="9">
        <v>0</v>
      </c>
      <c r="O466" s="9">
        <v>0</v>
      </c>
      <c r="P466" s="9">
        <v>0</v>
      </c>
      <c r="Q466" s="9">
        <v>0</v>
      </c>
    </row>
    <row r="467" s="1" customFormat="1" ht="14.25" hidden="1" spans="1:17">
      <c r="A467" s="1" t="str">
        <f>VLOOKUP(B467,combinate!A:B,2,FALSE)</f>
        <v>Group C</v>
      </c>
      <c r="B467" s="8">
        <v>254758393911</v>
      </c>
      <c r="C467" s="9">
        <v>5249038</v>
      </c>
      <c r="D467" s="10">
        <v>46180.532025463</v>
      </c>
      <c r="E467" s="11" t="s">
        <v>250</v>
      </c>
      <c r="F467" s="9">
        <v>0.14</v>
      </c>
      <c r="G467" s="9">
        <v>18</v>
      </c>
      <c r="H467" s="9">
        <v>0</v>
      </c>
      <c r="I467" s="9">
        <v>18</v>
      </c>
      <c r="J467" s="9">
        <v>0</v>
      </c>
      <c r="K467" s="9">
        <v>15.8</v>
      </c>
      <c r="L467" s="9">
        <v>0.12</v>
      </c>
      <c r="M467" s="9">
        <v>15.8</v>
      </c>
      <c r="N467" s="9">
        <v>0</v>
      </c>
      <c r="O467" s="9">
        <v>0</v>
      </c>
      <c r="P467" s="9">
        <v>0</v>
      </c>
      <c r="Q467" s="9">
        <v>0</v>
      </c>
    </row>
    <row r="468" s="1" customFormat="1" ht="14.25" hidden="1" spans="1:17">
      <c r="A468" s="1" t="str">
        <f>VLOOKUP(B468,combinate!A:B,2,FALSE)</f>
        <v>Group A</v>
      </c>
      <c r="B468" s="8">
        <v>254713555219</v>
      </c>
      <c r="C468" s="9">
        <v>7809212</v>
      </c>
      <c r="D468" s="10">
        <v>46182.7337731481</v>
      </c>
      <c r="E468" s="11" t="s">
        <v>250</v>
      </c>
      <c r="F468" s="9">
        <v>4.38</v>
      </c>
      <c r="G468" s="9">
        <v>582.8</v>
      </c>
      <c r="H468" s="9">
        <v>0</v>
      </c>
      <c r="I468" s="9">
        <v>582.8</v>
      </c>
      <c r="J468" s="9">
        <v>0</v>
      </c>
      <c r="K468" s="9">
        <v>69.95</v>
      </c>
      <c r="L468" s="9">
        <v>0.53</v>
      </c>
      <c r="M468" s="9">
        <v>69.95</v>
      </c>
      <c r="N468" s="9">
        <v>0.53</v>
      </c>
      <c r="O468" s="9">
        <v>70.3</v>
      </c>
      <c r="P468" s="9">
        <v>0</v>
      </c>
      <c r="Q468" s="9">
        <v>0</v>
      </c>
    </row>
    <row r="469" s="1" customFormat="1" ht="14.25" hidden="1" spans="1:17">
      <c r="A469" s="1" t="str">
        <f>VLOOKUP(B469,combinate!A:B,2,FALSE)</f>
        <v>Group A</v>
      </c>
      <c r="B469" s="8">
        <v>254703938238</v>
      </c>
      <c r="C469" s="9">
        <v>8078471</v>
      </c>
      <c r="D469" s="10">
        <v>46183.1653935185</v>
      </c>
      <c r="E469" s="12" t="s">
        <v>254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0</v>
      </c>
      <c r="N469" s="9">
        <v>0</v>
      </c>
      <c r="O469" s="9">
        <v>0</v>
      </c>
      <c r="P469" s="9">
        <v>0</v>
      </c>
      <c r="Q469" s="9">
        <v>0</v>
      </c>
    </row>
    <row r="470" s="1" customFormat="1" ht="14.25" hidden="1" spans="1:17">
      <c r="A470" s="1" t="str">
        <f>VLOOKUP(B470,combinate!A:B,2,FALSE)</f>
        <v>Group A</v>
      </c>
      <c r="B470" s="8">
        <v>254700724502</v>
      </c>
      <c r="C470" s="9">
        <v>9323461</v>
      </c>
      <c r="D470" s="10">
        <v>46163.5175115741</v>
      </c>
      <c r="E470" s="12" t="s">
        <v>254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0</v>
      </c>
      <c r="N470" s="9">
        <v>0</v>
      </c>
      <c r="O470" s="9">
        <v>0</v>
      </c>
      <c r="P470" s="9">
        <v>0</v>
      </c>
      <c r="Q470" s="9">
        <v>0</v>
      </c>
    </row>
    <row r="471" s="1" customFormat="1" ht="14.25" hidden="1" spans="1:17">
      <c r="A471" s="1" t="str">
        <f>VLOOKUP(B471,combinate!A:B,2,FALSE)</f>
        <v>Group B</v>
      </c>
      <c r="B471" s="8">
        <v>254724020234</v>
      </c>
      <c r="C471" s="9">
        <v>10032494</v>
      </c>
      <c r="D471" s="10">
        <v>46161.9091550926</v>
      </c>
      <c r="E471" s="12" t="s">
        <v>254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0</v>
      </c>
      <c r="N471" s="9">
        <v>0</v>
      </c>
      <c r="O471" s="9">
        <v>0</v>
      </c>
      <c r="P471" s="9">
        <v>0</v>
      </c>
      <c r="Q471" s="9">
        <v>0</v>
      </c>
    </row>
    <row r="472" s="1" customFormat="1" ht="14.25" hidden="1" spans="1:17">
      <c r="A472" s="1" t="str">
        <f>VLOOKUP(B472,combinate!A:B,2,FALSE)</f>
        <v>Group A</v>
      </c>
      <c r="B472" s="8">
        <v>254797267736</v>
      </c>
      <c r="C472" s="9">
        <v>10522032</v>
      </c>
      <c r="D472" s="10">
        <v>46163.6550462963</v>
      </c>
      <c r="E472" s="12" t="s">
        <v>254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9">
        <v>0</v>
      </c>
      <c r="N472" s="9">
        <v>0</v>
      </c>
      <c r="O472" s="9">
        <v>0</v>
      </c>
      <c r="P472" s="9">
        <v>0</v>
      </c>
      <c r="Q472" s="9">
        <v>0</v>
      </c>
    </row>
    <row r="473" s="1" customFormat="1" ht="14.25" hidden="1" spans="1:17">
      <c r="A473" s="1" t="str">
        <f>VLOOKUP(B473,combinate!A:B,2,FALSE)</f>
        <v>Group A</v>
      </c>
      <c r="B473" s="8">
        <v>254712453033</v>
      </c>
      <c r="C473" s="9">
        <v>10880232</v>
      </c>
      <c r="D473" s="10">
        <v>46182.5938078704</v>
      </c>
      <c r="E473" s="11" t="s">
        <v>250</v>
      </c>
      <c r="F473" s="9">
        <v>4.93</v>
      </c>
      <c r="G473" s="9">
        <v>656.25</v>
      </c>
      <c r="H473" s="9">
        <v>0</v>
      </c>
      <c r="I473" s="9">
        <v>656.25</v>
      </c>
      <c r="J473" s="9">
        <v>0</v>
      </c>
      <c r="K473" s="9">
        <v>284</v>
      </c>
      <c r="L473" s="9">
        <v>2.14</v>
      </c>
      <c r="M473" s="9">
        <v>284</v>
      </c>
      <c r="N473" s="9">
        <v>2.5</v>
      </c>
      <c r="O473" s="9">
        <v>332.5</v>
      </c>
      <c r="P473" s="9">
        <v>0</v>
      </c>
      <c r="Q473" s="9">
        <v>0</v>
      </c>
    </row>
    <row r="474" s="1" customFormat="1" ht="14.25" hidden="1" spans="1:17">
      <c r="A474" s="1" t="str">
        <f>VLOOKUP(B474,combinate!A:B,2,FALSE)</f>
        <v>Group C</v>
      </c>
      <c r="B474" s="8">
        <v>254715801012</v>
      </c>
      <c r="C474" s="9">
        <v>11487056</v>
      </c>
      <c r="D474" s="10">
        <v>46180.4110532407</v>
      </c>
      <c r="E474" s="11" t="s">
        <v>250</v>
      </c>
      <c r="F474" s="9">
        <v>0.93</v>
      </c>
      <c r="G474" s="9">
        <v>124.1</v>
      </c>
      <c r="H474" s="9">
        <v>0</v>
      </c>
      <c r="I474" s="9">
        <v>124.1</v>
      </c>
      <c r="J474" s="9">
        <v>0</v>
      </c>
      <c r="K474" s="9">
        <v>66.6</v>
      </c>
      <c r="L474" s="9">
        <v>0.5</v>
      </c>
      <c r="M474" s="9">
        <v>66.6</v>
      </c>
      <c r="N474" s="9">
        <v>0.51</v>
      </c>
      <c r="O474" s="9">
        <v>68.4</v>
      </c>
      <c r="P474" s="9">
        <v>0</v>
      </c>
      <c r="Q474" s="9">
        <v>0</v>
      </c>
    </row>
    <row r="475" s="1" customFormat="1" ht="14.25" hidden="1" spans="1:17">
      <c r="A475" s="1" t="str">
        <f>VLOOKUP(B475,combinate!A:B,2,FALSE)</f>
        <v>Group C</v>
      </c>
      <c r="B475" s="8">
        <v>254792864827</v>
      </c>
      <c r="C475" s="9">
        <v>12779996</v>
      </c>
      <c r="D475" s="10">
        <v>46161.9549421296</v>
      </c>
      <c r="E475" s="12" t="s">
        <v>254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0</v>
      </c>
      <c r="N475" s="9">
        <v>0</v>
      </c>
      <c r="O475" s="9">
        <v>0</v>
      </c>
      <c r="P475" s="9">
        <v>0</v>
      </c>
      <c r="Q475" s="9">
        <v>0</v>
      </c>
    </row>
    <row r="476" s="1" customFormat="1" ht="14.25" hidden="1" spans="1:17">
      <c r="A476" s="1" t="str">
        <f>VLOOKUP(B476,combinate!A:B,2,FALSE)</f>
        <v>Group A</v>
      </c>
      <c r="B476" s="8">
        <v>254728820482</v>
      </c>
      <c r="C476" s="9">
        <v>13395280</v>
      </c>
      <c r="D476" s="10">
        <v>46180.2616087963</v>
      </c>
      <c r="E476" s="12" t="s">
        <v>254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9">
        <v>0</v>
      </c>
      <c r="N476" s="9">
        <v>0</v>
      </c>
      <c r="O476" s="9">
        <v>0</v>
      </c>
      <c r="P476" s="9">
        <v>0</v>
      </c>
      <c r="Q476" s="9">
        <v>0</v>
      </c>
    </row>
    <row r="477" s="1" customFormat="1" ht="14.25" hidden="1" spans="1:17">
      <c r="A477" s="1" t="str">
        <f>VLOOKUP(B477,combinate!A:B,2,FALSE)</f>
        <v>Group A</v>
      </c>
      <c r="B477" s="8">
        <v>254708135880</v>
      </c>
      <c r="C477" s="9">
        <v>13520880</v>
      </c>
      <c r="D477" s="10">
        <v>46182.52375</v>
      </c>
      <c r="E477" s="12" t="s">
        <v>254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9">
        <v>0</v>
      </c>
      <c r="O477" s="9">
        <v>0</v>
      </c>
      <c r="P477" s="9">
        <v>0</v>
      </c>
      <c r="Q477" s="9">
        <v>0</v>
      </c>
    </row>
    <row r="478" s="1" customFormat="1" ht="14.25" hidden="1" spans="1:17">
      <c r="A478" s="1" t="str">
        <f>VLOOKUP(B478,combinate!A:B,2,FALSE)</f>
        <v>Group A</v>
      </c>
      <c r="B478" s="8">
        <v>254719318577</v>
      </c>
      <c r="C478" s="9">
        <v>16326630</v>
      </c>
      <c r="D478" s="10">
        <v>46162.2129976852</v>
      </c>
      <c r="E478" s="12" t="s">
        <v>254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  <c r="O478" s="9">
        <v>0</v>
      </c>
      <c r="P478" s="9">
        <v>0</v>
      </c>
      <c r="Q478" s="9">
        <v>0</v>
      </c>
    </row>
    <row r="479" s="1" customFormat="1" ht="14.25" hidden="1" spans="1:17">
      <c r="A479" s="1" t="str">
        <f>VLOOKUP(B479,combinate!A:B,2,FALSE)</f>
        <v>Group C</v>
      </c>
      <c r="B479" s="8">
        <v>254720122179</v>
      </c>
      <c r="C479" s="9">
        <v>16458769</v>
      </c>
      <c r="D479" s="10">
        <v>46177.679224537</v>
      </c>
      <c r="E479" s="12" t="s">
        <v>254</v>
      </c>
      <c r="F479" s="9">
        <v>0</v>
      </c>
      <c r="G479" s="9">
        <v>0</v>
      </c>
      <c r="H479" s="9">
        <v>0</v>
      </c>
      <c r="I479" s="9">
        <v>0</v>
      </c>
      <c r="J479" s="9">
        <v>0</v>
      </c>
      <c r="K479" s="9">
        <v>0</v>
      </c>
      <c r="L479" s="9">
        <v>0</v>
      </c>
      <c r="M479" s="9">
        <v>0</v>
      </c>
      <c r="N479" s="9">
        <v>0</v>
      </c>
      <c r="O479" s="9">
        <v>0</v>
      </c>
      <c r="P479" s="9">
        <v>0</v>
      </c>
      <c r="Q479" s="9">
        <v>0</v>
      </c>
    </row>
    <row r="480" s="1" customFormat="1" ht="14.25" hidden="1" spans="1:17">
      <c r="A480" s="1" t="str">
        <f>VLOOKUP(B480,combinate!A:B,2,FALSE)</f>
        <v>Group A</v>
      </c>
      <c r="B480" s="8">
        <v>254711646762</v>
      </c>
      <c r="C480" s="9">
        <v>16772230</v>
      </c>
      <c r="D480" s="10">
        <v>46166.4630439815</v>
      </c>
      <c r="E480" s="12" t="s">
        <v>254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0</v>
      </c>
      <c r="O480" s="9">
        <v>0</v>
      </c>
      <c r="P480" s="9">
        <v>0</v>
      </c>
      <c r="Q480" s="9">
        <v>0</v>
      </c>
    </row>
    <row r="481" s="1" customFormat="1" ht="14.25" hidden="1" spans="1:17">
      <c r="A481" s="1" t="str">
        <f>VLOOKUP(B481,combinate!A:B,2,FALSE)</f>
        <v>Group A</v>
      </c>
      <c r="B481" s="8">
        <v>254729060989</v>
      </c>
      <c r="C481" s="9">
        <v>16787552</v>
      </c>
      <c r="D481" s="10">
        <v>46160.8219675926</v>
      </c>
      <c r="E481" s="12" t="s">
        <v>254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0</v>
      </c>
      <c r="N481" s="9">
        <v>0</v>
      </c>
      <c r="O481" s="9">
        <v>0</v>
      </c>
      <c r="P481" s="9">
        <v>0</v>
      </c>
      <c r="Q481" s="9">
        <v>0</v>
      </c>
    </row>
    <row r="482" s="1" customFormat="1" ht="14.25" hidden="1" spans="1:17">
      <c r="A482" s="1" t="str">
        <f>VLOOKUP(B482,combinate!A:B,2,FALSE)</f>
        <v>Group B</v>
      </c>
      <c r="B482" s="8">
        <v>254704374937</v>
      </c>
      <c r="C482" s="9">
        <v>17423033</v>
      </c>
      <c r="D482" s="10">
        <v>46161.7474652778</v>
      </c>
      <c r="E482" s="12" t="s">
        <v>254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0</v>
      </c>
      <c r="N482" s="9">
        <v>0</v>
      </c>
      <c r="O482" s="9">
        <v>0</v>
      </c>
      <c r="P482" s="9">
        <v>0</v>
      </c>
      <c r="Q482" s="9">
        <v>0</v>
      </c>
    </row>
    <row r="483" s="1" customFormat="1" ht="14.25" hidden="1" spans="1:17">
      <c r="A483" s="1" t="str">
        <f>VLOOKUP(B483,combinate!A:B,2,FALSE)</f>
        <v>Group C</v>
      </c>
      <c r="B483" s="8">
        <v>254110954782</v>
      </c>
      <c r="C483" s="9">
        <v>18179479</v>
      </c>
      <c r="D483" s="10">
        <v>46180.1913310185</v>
      </c>
      <c r="E483" s="11" t="s">
        <v>250</v>
      </c>
      <c r="F483" s="9">
        <v>0.33</v>
      </c>
      <c r="G483" s="9">
        <v>44</v>
      </c>
      <c r="H483" s="9">
        <v>0</v>
      </c>
      <c r="I483" s="9">
        <v>44</v>
      </c>
      <c r="J483" s="9">
        <v>0</v>
      </c>
      <c r="K483" s="9">
        <v>44</v>
      </c>
      <c r="L483" s="9">
        <v>0.33</v>
      </c>
      <c r="M483" s="9">
        <v>44</v>
      </c>
      <c r="N483" s="9">
        <v>0.33</v>
      </c>
      <c r="O483" s="9">
        <v>43.7</v>
      </c>
      <c r="P483" s="9">
        <v>0</v>
      </c>
      <c r="Q483" s="9">
        <v>0</v>
      </c>
    </row>
    <row r="484" s="1" customFormat="1" ht="14.25" hidden="1" spans="1:17">
      <c r="A484" s="1" t="str">
        <f>VLOOKUP(B484,combinate!A:B,2,FALSE)</f>
        <v>Group C</v>
      </c>
      <c r="B484" s="8">
        <v>254716888228</v>
      </c>
      <c r="C484" s="9">
        <v>18345237</v>
      </c>
      <c r="D484" s="10">
        <v>46184.2054861111</v>
      </c>
      <c r="E484" s="11" t="s">
        <v>250</v>
      </c>
      <c r="F484" s="9">
        <v>0.93</v>
      </c>
      <c r="G484" s="9">
        <v>124</v>
      </c>
      <c r="H484" s="9">
        <v>124</v>
      </c>
      <c r="I484" s="9">
        <v>0</v>
      </c>
      <c r="J484" s="9">
        <v>124</v>
      </c>
      <c r="K484" s="9">
        <v>0</v>
      </c>
      <c r="L484" s="9">
        <v>0.93</v>
      </c>
      <c r="M484" s="9">
        <v>124</v>
      </c>
      <c r="N484" s="9">
        <v>0.93</v>
      </c>
      <c r="O484" s="9">
        <v>123.5</v>
      </c>
      <c r="P484" s="9">
        <v>0</v>
      </c>
      <c r="Q484" s="9">
        <v>0</v>
      </c>
    </row>
    <row r="485" s="1" customFormat="1" ht="14.25" hidden="1" spans="1:17">
      <c r="A485" s="1" t="str">
        <f>VLOOKUP(B485,combinate!A:B,2,FALSE)</f>
        <v>Group C</v>
      </c>
      <c r="B485" s="8">
        <v>254743496752</v>
      </c>
      <c r="C485" s="9">
        <v>18622676</v>
      </c>
      <c r="D485" s="10">
        <v>46160.7981481481</v>
      </c>
      <c r="E485" s="12" t="s">
        <v>254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0</v>
      </c>
      <c r="N485" s="9">
        <v>0</v>
      </c>
      <c r="O485" s="9">
        <v>0</v>
      </c>
      <c r="P485" s="9">
        <v>0</v>
      </c>
      <c r="Q485" s="9">
        <v>0</v>
      </c>
    </row>
    <row r="486" s="1" customFormat="1" ht="14.25" hidden="1" spans="1:17">
      <c r="A486" s="1" t="str">
        <f>VLOOKUP(B486,combinate!A:B,2,FALSE)</f>
        <v>Group C</v>
      </c>
      <c r="B486" s="8">
        <v>254724243294</v>
      </c>
      <c r="C486" s="9">
        <v>18984156</v>
      </c>
      <c r="D486" s="10">
        <v>46166.3639467593</v>
      </c>
      <c r="E486" s="12" t="s">
        <v>254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0</v>
      </c>
      <c r="O486" s="9">
        <v>0</v>
      </c>
      <c r="P486" s="9">
        <v>0</v>
      </c>
      <c r="Q486" s="9">
        <v>0</v>
      </c>
    </row>
    <row r="487" s="1" customFormat="1" ht="14.25" hidden="1" spans="1:17">
      <c r="A487" s="1" t="str">
        <f>VLOOKUP(B487,combinate!A:B,2,FALSE)</f>
        <v>Group A</v>
      </c>
      <c r="B487" s="8">
        <v>254705503520</v>
      </c>
      <c r="C487" s="9">
        <v>19226332</v>
      </c>
      <c r="D487" s="10">
        <v>46184.2964236111</v>
      </c>
      <c r="E487" s="11" t="s">
        <v>250</v>
      </c>
      <c r="F487" s="9">
        <v>1.02</v>
      </c>
      <c r="G487" s="9">
        <v>135</v>
      </c>
      <c r="H487" s="9">
        <v>0</v>
      </c>
      <c r="I487" s="9">
        <v>135</v>
      </c>
      <c r="J487" s="9">
        <v>0</v>
      </c>
      <c r="K487" s="9">
        <v>95</v>
      </c>
      <c r="L487" s="9">
        <v>0.71</v>
      </c>
      <c r="M487" s="9">
        <v>95</v>
      </c>
      <c r="N487" s="9">
        <v>0.7</v>
      </c>
      <c r="O487" s="9">
        <v>93.1</v>
      </c>
      <c r="P487" s="9">
        <v>0</v>
      </c>
      <c r="Q487" s="9">
        <v>0</v>
      </c>
    </row>
    <row r="488" s="1" customFormat="1" ht="14.25" hidden="1" spans="1:17">
      <c r="A488" s="1" t="str">
        <f>VLOOKUP(B488,combinate!A:B,2,FALSE)</f>
        <v>Group C</v>
      </c>
      <c r="B488" s="8">
        <v>254795634907</v>
      </c>
      <c r="C488" s="9">
        <v>19785698</v>
      </c>
      <c r="D488" s="10">
        <v>46184.3103125</v>
      </c>
      <c r="E488" s="12" t="s">
        <v>254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0</v>
      </c>
      <c r="N488" s="9">
        <v>0</v>
      </c>
      <c r="O488" s="9">
        <v>0</v>
      </c>
      <c r="P488" s="9">
        <v>0</v>
      </c>
      <c r="Q488" s="9">
        <v>0</v>
      </c>
    </row>
    <row r="489" s="1" customFormat="1" ht="14.25" hidden="1" spans="1:17">
      <c r="A489" s="1" t="str">
        <f>VLOOKUP(B489,combinate!A:B,2,FALSE)</f>
        <v>Group A</v>
      </c>
      <c r="B489" s="8">
        <v>254796811544</v>
      </c>
      <c r="C489" s="9">
        <v>20679651</v>
      </c>
      <c r="D489" s="10">
        <v>46183.8819444444</v>
      </c>
      <c r="E489" s="11" t="s">
        <v>250</v>
      </c>
      <c r="F489" s="9">
        <v>111.32</v>
      </c>
      <c r="G489" s="9">
        <v>14805.95</v>
      </c>
      <c r="H489" s="9">
        <v>0</v>
      </c>
      <c r="I489" s="9">
        <v>14805.95</v>
      </c>
      <c r="J489" s="9">
        <v>0</v>
      </c>
      <c r="K489" s="9">
        <v>1514.25</v>
      </c>
      <c r="L489" s="9">
        <v>11.39</v>
      </c>
      <c r="M489" s="9">
        <v>1514.25</v>
      </c>
      <c r="N489" s="9">
        <v>11.39</v>
      </c>
      <c r="O489" s="9">
        <v>1514.3</v>
      </c>
      <c r="P489" s="9">
        <v>0</v>
      </c>
      <c r="Q489" s="9">
        <v>0</v>
      </c>
    </row>
    <row r="490" s="1" customFormat="1" ht="14.25" hidden="1" spans="1:17">
      <c r="A490" s="1" t="str">
        <f>VLOOKUP(B490,combinate!A:B,2,FALSE)</f>
        <v>Group A</v>
      </c>
      <c r="B490" s="8">
        <v>254799057384</v>
      </c>
      <c r="C490" s="9">
        <v>86770</v>
      </c>
      <c r="D490" s="10">
        <v>46161.7779050926</v>
      </c>
      <c r="E490" s="12" t="s">
        <v>254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0</v>
      </c>
      <c r="O490" s="9">
        <v>0</v>
      </c>
      <c r="P490" s="9">
        <v>0</v>
      </c>
      <c r="Q490" s="9">
        <v>0</v>
      </c>
    </row>
    <row r="491" s="1" customFormat="1" ht="14.25" hidden="1" spans="1:17">
      <c r="A491" s="1" t="str">
        <f>VLOOKUP(B491,combinate!A:B,2,FALSE)</f>
        <v>Group A</v>
      </c>
      <c r="B491" s="8">
        <v>254757695841</v>
      </c>
      <c r="C491" s="9">
        <v>1112422</v>
      </c>
      <c r="D491" s="10">
        <v>46181.6355555556</v>
      </c>
      <c r="E491" s="12" t="s">
        <v>254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0</v>
      </c>
      <c r="N491" s="9">
        <v>0</v>
      </c>
      <c r="O491" s="9">
        <v>0</v>
      </c>
      <c r="P491" s="9">
        <v>0</v>
      </c>
      <c r="Q491" s="9">
        <v>0</v>
      </c>
    </row>
    <row r="492" s="1" customFormat="1" ht="14.25" hidden="1" spans="1:17">
      <c r="A492" s="1" t="str">
        <f>VLOOKUP(B492,combinate!A:B,2,FALSE)</f>
        <v>Group B</v>
      </c>
      <c r="B492" s="8">
        <v>254797031868</v>
      </c>
      <c r="C492" s="9">
        <v>1112585</v>
      </c>
      <c r="D492" s="10">
        <v>46182.7248032407</v>
      </c>
      <c r="E492" s="12" t="s">
        <v>254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0</v>
      </c>
      <c r="O492" s="9">
        <v>0</v>
      </c>
      <c r="P492" s="9">
        <v>0</v>
      </c>
      <c r="Q492" s="9">
        <v>0</v>
      </c>
    </row>
    <row r="493" s="1" customFormat="1" ht="14.25" hidden="1" spans="1:17">
      <c r="A493" s="1" t="str">
        <f>VLOOKUP(B493,combinate!A:B,2,FALSE)</f>
        <v>Group A</v>
      </c>
      <c r="B493" s="8">
        <v>254721882488</v>
      </c>
      <c r="C493" s="9">
        <v>2139792</v>
      </c>
      <c r="D493" s="10">
        <v>46184.3715625</v>
      </c>
      <c r="E493" s="12" t="s">
        <v>254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0</v>
      </c>
      <c r="O493" s="9">
        <v>0</v>
      </c>
      <c r="P493" s="9">
        <v>0</v>
      </c>
      <c r="Q493" s="9">
        <v>0</v>
      </c>
    </row>
    <row r="494" s="1" customFormat="1" ht="14.25" hidden="1" spans="1:17">
      <c r="A494" s="1" t="str">
        <f>VLOOKUP(B494,combinate!A:B,2,FALSE)</f>
        <v>Group A</v>
      </c>
      <c r="B494" s="8">
        <v>254725597316</v>
      </c>
      <c r="C494" s="9">
        <v>2280380</v>
      </c>
      <c r="D494" s="10">
        <v>46177.5053587963</v>
      </c>
      <c r="E494" s="12" t="s">
        <v>254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0</v>
      </c>
      <c r="N494" s="9">
        <v>0</v>
      </c>
      <c r="O494" s="9">
        <v>0</v>
      </c>
      <c r="P494" s="9">
        <v>0</v>
      </c>
      <c r="Q494" s="9">
        <v>0</v>
      </c>
    </row>
    <row r="495" s="1" customFormat="1" ht="14.25" hidden="1" spans="1:17">
      <c r="A495" s="1" t="str">
        <f>VLOOKUP(B495,combinate!A:B,2,FALSE)</f>
        <v>Group C</v>
      </c>
      <c r="B495" s="8">
        <v>254724906390</v>
      </c>
      <c r="C495" s="9">
        <v>2722898</v>
      </c>
      <c r="D495" s="10">
        <v>46183.2866203704</v>
      </c>
      <c r="E495" s="11" t="s">
        <v>250</v>
      </c>
      <c r="F495" s="9">
        <v>8.53</v>
      </c>
      <c r="G495" s="9">
        <v>1135</v>
      </c>
      <c r="H495" s="9">
        <v>0</v>
      </c>
      <c r="I495" s="9">
        <v>1135</v>
      </c>
      <c r="J495" s="9">
        <v>0</v>
      </c>
      <c r="K495" s="9">
        <v>669.9</v>
      </c>
      <c r="L495" s="9">
        <v>5.04</v>
      </c>
      <c r="M495" s="9">
        <v>669.9</v>
      </c>
      <c r="N495" s="9">
        <v>5</v>
      </c>
      <c r="O495" s="9">
        <v>665</v>
      </c>
      <c r="P495" s="9">
        <v>0</v>
      </c>
      <c r="Q495" s="9">
        <v>0</v>
      </c>
    </row>
    <row r="496" s="1" customFormat="1" ht="14.25" hidden="1" spans="1:17">
      <c r="A496" s="1" t="str">
        <f>VLOOKUP(B496,combinate!A:B,2,FALSE)</f>
        <v>Group C</v>
      </c>
      <c r="B496" s="8">
        <v>254727877981</v>
      </c>
      <c r="C496" s="9">
        <v>2921366</v>
      </c>
      <c r="D496" s="10">
        <v>46179.3538310185</v>
      </c>
      <c r="E496" s="12" t="s">
        <v>254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9">
        <v>0</v>
      </c>
      <c r="N496" s="9">
        <v>0</v>
      </c>
      <c r="O496" s="9">
        <v>0</v>
      </c>
      <c r="P496" s="9">
        <v>0</v>
      </c>
      <c r="Q496" s="9">
        <v>0</v>
      </c>
    </row>
    <row r="497" s="1" customFormat="1" ht="14.25" hidden="1" spans="1:17">
      <c r="A497" s="1" t="str">
        <f>VLOOKUP(B497,combinate!A:B,2,FALSE)</f>
        <v>Group A</v>
      </c>
      <c r="B497" s="8">
        <v>254740156781</v>
      </c>
      <c r="C497" s="9">
        <v>4111310</v>
      </c>
      <c r="D497" s="10">
        <v>46163.7204861111</v>
      </c>
      <c r="E497" s="12" t="s">
        <v>254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  <c r="M497" s="9">
        <v>0</v>
      </c>
      <c r="N497" s="9">
        <v>0</v>
      </c>
      <c r="O497" s="9">
        <v>0</v>
      </c>
      <c r="P497" s="9">
        <v>0</v>
      </c>
      <c r="Q497" s="9">
        <v>0</v>
      </c>
    </row>
    <row r="498" s="1" customFormat="1" ht="14.25" hidden="1" spans="1:17">
      <c r="A498" s="1" t="str">
        <f>VLOOKUP(B498,combinate!A:B,2,FALSE)</f>
        <v>Group A</v>
      </c>
      <c r="B498" s="8">
        <v>254704021138</v>
      </c>
      <c r="C498" s="9">
        <v>4819872</v>
      </c>
      <c r="D498" s="10">
        <v>46161.7581712963</v>
      </c>
      <c r="E498" s="12" t="s">
        <v>254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9">
        <v>0</v>
      </c>
      <c r="N498" s="9">
        <v>0</v>
      </c>
      <c r="O498" s="9">
        <v>0</v>
      </c>
      <c r="P498" s="9">
        <v>0</v>
      </c>
      <c r="Q498" s="9">
        <v>0</v>
      </c>
    </row>
    <row r="499" s="1" customFormat="1" ht="14.25" hidden="1" spans="1:17">
      <c r="A499" s="1" t="str">
        <f>VLOOKUP(B499,combinate!A:B,2,FALSE)</f>
        <v>Group B</v>
      </c>
      <c r="B499" s="8">
        <v>254713767179</v>
      </c>
      <c r="C499" s="9">
        <v>4836805</v>
      </c>
      <c r="D499" s="10">
        <v>46184.4259375</v>
      </c>
      <c r="E499" s="11" t="s">
        <v>250</v>
      </c>
      <c r="F499" s="9">
        <v>188.3</v>
      </c>
      <c r="G499" s="9">
        <v>25044.2</v>
      </c>
      <c r="H499" s="9">
        <v>0</v>
      </c>
      <c r="I499" s="9">
        <v>25044.2</v>
      </c>
      <c r="J499" s="9">
        <v>0</v>
      </c>
      <c r="K499" s="9">
        <v>2996.95</v>
      </c>
      <c r="L499" s="9">
        <v>22.53</v>
      </c>
      <c r="M499" s="9">
        <v>2996.95</v>
      </c>
      <c r="N499" s="9">
        <v>24.1</v>
      </c>
      <c r="O499" s="9">
        <v>3205.3</v>
      </c>
      <c r="P499" s="9">
        <v>4.51</v>
      </c>
      <c r="Q499" s="9">
        <v>600</v>
      </c>
    </row>
    <row r="500" s="1" customFormat="1" ht="14.25" hidden="1" spans="1:17">
      <c r="A500" s="1" t="str">
        <f>VLOOKUP(B500,combinate!A:B,2,FALSE)</f>
        <v>Group C</v>
      </c>
      <c r="B500" s="8">
        <v>254706926939</v>
      </c>
      <c r="C500" s="9">
        <v>8309907</v>
      </c>
      <c r="D500" s="10">
        <v>46183.795474537</v>
      </c>
      <c r="E500" s="11" t="s">
        <v>250</v>
      </c>
      <c r="F500" s="9">
        <v>116.58</v>
      </c>
      <c r="G500" s="9">
        <v>15505</v>
      </c>
      <c r="H500" s="9">
        <v>0</v>
      </c>
      <c r="I500" s="9">
        <v>15505</v>
      </c>
      <c r="J500" s="9">
        <v>0</v>
      </c>
      <c r="K500" s="9">
        <v>3277.1</v>
      </c>
      <c r="L500" s="9">
        <v>24.64</v>
      </c>
      <c r="M500" s="9">
        <v>3277.1</v>
      </c>
      <c r="N500" s="9">
        <v>29.79</v>
      </c>
      <c r="O500" s="9">
        <v>3962.45</v>
      </c>
      <c r="P500" s="9">
        <v>34.85</v>
      </c>
      <c r="Q500" s="9">
        <v>4635.51</v>
      </c>
    </row>
    <row r="501" s="1" customFormat="1" ht="14.25" hidden="1" spans="1:17">
      <c r="A501" s="1" t="str">
        <f>VLOOKUP(B501,combinate!A:B,2,FALSE)</f>
        <v>Group A</v>
      </c>
      <c r="B501" s="8">
        <v>254114652944</v>
      </c>
      <c r="C501" s="9">
        <v>8953011</v>
      </c>
      <c r="D501" s="10">
        <v>46163.5058333333</v>
      </c>
      <c r="E501" s="12" t="s">
        <v>254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9">
        <v>0</v>
      </c>
      <c r="N501" s="9">
        <v>0</v>
      </c>
      <c r="O501" s="9">
        <v>0</v>
      </c>
      <c r="P501" s="9">
        <v>0</v>
      </c>
      <c r="Q501" s="9">
        <v>0</v>
      </c>
    </row>
    <row r="502" s="1" customFormat="1" ht="14.25" hidden="1" spans="1:17">
      <c r="A502" s="1" t="str">
        <f>VLOOKUP(B502,combinate!A:B,2,FALSE)</f>
        <v>Group C</v>
      </c>
      <c r="B502" s="8">
        <v>254705537358</v>
      </c>
      <c r="C502" s="9">
        <v>11735859</v>
      </c>
      <c r="D502" s="10">
        <v>46184.4365972222</v>
      </c>
      <c r="E502" s="12" t="s">
        <v>254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9">
        <v>0</v>
      </c>
      <c r="N502" s="9">
        <v>0</v>
      </c>
      <c r="O502" s="9">
        <v>0</v>
      </c>
      <c r="P502" s="9">
        <v>0</v>
      </c>
      <c r="Q502" s="9">
        <v>0</v>
      </c>
    </row>
    <row r="503" s="1" customFormat="1" ht="14.25" hidden="1" spans="1:17">
      <c r="A503" s="1" t="str">
        <f>VLOOKUP(B503,combinate!A:B,2,FALSE)</f>
        <v>Group C</v>
      </c>
      <c r="B503" s="8">
        <v>254714497291</v>
      </c>
      <c r="C503" s="9">
        <v>12403149</v>
      </c>
      <c r="D503" s="10">
        <v>46166.799537037</v>
      </c>
      <c r="E503" s="12" t="s">
        <v>254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  <c r="M503" s="9">
        <v>0</v>
      </c>
      <c r="N503" s="9">
        <v>0</v>
      </c>
      <c r="O503" s="9">
        <v>0</v>
      </c>
      <c r="P503" s="9">
        <v>0</v>
      </c>
      <c r="Q503" s="9">
        <v>0</v>
      </c>
    </row>
    <row r="504" s="1" customFormat="1" ht="14.25" hidden="1" spans="1:17">
      <c r="A504" s="1" t="str">
        <f>VLOOKUP(B504,combinate!A:B,2,FALSE)</f>
        <v>Group C</v>
      </c>
      <c r="B504" s="8">
        <v>254705000972</v>
      </c>
      <c r="C504" s="9">
        <v>12602626</v>
      </c>
      <c r="D504" s="10">
        <v>46183.6179282407</v>
      </c>
      <c r="E504" s="11" t="s">
        <v>250</v>
      </c>
      <c r="F504" s="9">
        <v>2.53</v>
      </c>
      <c r="G504" s="9">
        <v>336</v>
      </c>
      <c r="H504" s="9">
        <v>0</v>
      </c>
      <c r="I504" s="9">
        <v>336</v>
      </c>
      <c r="J504" s="9">
        <v>0</v>
      </c>
      <c r="K504" s="9">
        <v>336</v>
      </c>
      <c r="L504" s="9">
        <v>2.53</v>
      </c>
      <c r="M504" s="9">
        <v>336</v>
      </c>
      <c r="N504" s="9">
        <v>2.57</v>
      </c>
      <c r="O504" s="9">
        <v>342</v>
      </c>
      <c r="P504" s="9">
        <v>0</v>
      </c>
      <c r="Q504" s="9">
        <v>0</v>
      </c>
    </row>
    <row r="505" s="1" customFormat="1" ht="14.25" hidden="1" spans="1:17">
      <c r="A505" s="1" t="str">
        <f>VLOOKUP(B505,combinate!A:B,2,FALSE)</f>
        <v>Group C</v>
      </c>
      <c r="B505" s="8">
        <v>254793517303</v>
      </c>
      <c r="C505" s="9">
        <v>12635136</v>
      </c>
      <c r="D505" s="10">
        <v>46183.3037384259</v>
      </c>
      <c r="E505" s="12" t="s">
        <v>254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9">
        <v>0</v>
      </c>
      <c r="N505" s="9">
        <v>0</v>
      </c>
      <c r="O505" s="9">
        <v>0</v>
      </c>
      <c r="P505" s="9">
        <v>0</v>
      </c>
      <c r="Q505" s="9">
        <v>0</v>
      </c>
    </row>
    <row r="506" s="1" customFormat="1" ht="14.25" hidden="1" spans="1:17">
      <c r="A506" s="1" t="str">
        <f>VLOOKUP(B506,combinate!A:B,2,FALSE)</f>
        <v>Group C</v>
      </c>
      <c r="B506" s="8">
        <v>254708353655</v>
      </c>
      <c r="C506" s="9">
        <v>12674189</v>
      </c>
      <c r="D506" s="10">
        <v>46160.833275463</v>
      </c>
      <c r="E506" s="12" t="s">
        <v>254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0</v>
      </c>
      <c r="N506" s="9">
        <v>0</v>
      </c>
      <c r="O506" s="9">
        <v>0</v>
      </c>
      <c r="P506" s="9">
        <v>0</v>
      </c>
      <c r="Q506" s="9">
        <v>0</v>
      </c>
    </row>
    <row r="507" s="1" customFormat="1" ht="14.25" hidden="1" spans="1:17">
      <c r="A507" s="1" t="str">
        <f>VLOOKUP(B507,combinate!A:B,2,FALSE)</f>
        <v>Group B</v>
      </c>
      <c r="B507" s="8">
        <v>254721973796</v>
      </c>
      <c r="C507" s="9">
        <v>13348445</v>
      </c>
      <c r="D507" s="10">
        <v>46175.7086921296</v>
      </c>
      <c r="E507" s="11" t="s">
        <v>250</v>
      </c>
      <c r="F507" s="9">
        <v>27.59</v>
      </c>
      <c r="G507" s="9">
        <v>3670</v>
      </c>
      <c r="H507" s="9">
        <v>0</v>
      </c>
      <c r="I507" s="9">
        <v>3670</v>
      </c>
      <c r="J507" s="9">
        <v>0</v>
      </c>
      <c r="K507" s="9">
        <v>2081.2</v>
      </c>
      <c r="L507" s="9">
        <v>15.65</v>
      </c>
      <c r="M507" s="9">
        <v>2081.2</v>
      </c>
      <c r="N507" s="9">
        <v>15.04</v>
      </c>
      <c r="O507" s="9">
        <v>2000</v>
      </c>
      <c r="P507" s="9">
        <v>0</v>
      </c>
      <c r="Q507" s="9">
        <v>0</v>
      </c>
    </row>
    <row r="508" s="1" customFormat="1" ht="14.25" hidden="1" spans="1:17">
      <c r="A508" s="1" t="str">
        <f>VLOOKUP(B508,combinate!A:B,2,FALSE)</f>
        <v>Group A</v>
      </c>
      <c r="B508" s="8">
        <v>254769338060</v>
      </c>
      <c r="C508" s="9">
        <v>13569290</v>
      </c>
      <c r="D508" s="10">
        <v>46179.747962963</v>
      </c>
      <c r="E508" s="11" t="s">
        <v>250</v>
      </c>
      <c r="F508" s="9">
        <v>0.44</v>
      </c>
      <c r="G508" s="9">
        <v>59</v>
      </c>
      <c r="H508" s="9">
        <v>0</v>
      </c>
      <c r="I508" s="9">
        <v>59</v>
      </c>
      <c r="J508" s="9">
        <v>0</v>
      </c>
      <c r="K508" s="9">
        <v>4.54</v>
      </c>
      <c r="L508" s="9">
        <v>0.03</v>
      </c>
      <c r="M508" s="9">
        <v>4.54</v>
      </c>
      <c r="N508" s="9">
        <v>0</v>
      </c>
      <c r="O508" s="9">
        <v>0</v>
      </c>
      <c r="P508" s="9">
        <v>0</v>
      </c>
      <c r="Q508" s="9">
        <v>0</v>
      </c>
    </row>
    <row r="509" s="1" customFormat="1" ht="14.25" hidden="1" spans="1:17">
      <c r="A509" s="1" t="str">
        <f>VLOOKUP(B509,combinate!A:B,2,FALSE)</f>
        <v>Group C</v>
      </c>
      <c r="B509" s="8">
        <v>254794720751</v>
      </c>
      <c r="C509" s="9">
        <v>13976737</v>
      </c>
      <c r="D509" s="10">
        <v>46182.4755671296</v>
      </c>
      <c r="E509" s="11" t="s">
        <v>250</v>
      </c>
      <c r="F509" s="9">
        <v>8.28</v>
      </c>
      <c r="G509" s="9">
        <v>1101</v>
      </c>
      <c r="H509" s="9">
        <v>0</v>
      </c>
      <c r="I509" s="9">
        <v>1101</v>
      </c>
      <c r="J509" s="9">
        <v>0</v>
      </c>
      <c r="K509" s="9">
        <v>-46.44</v>
      </c>
      <c r="L509" s="9">
        <v>-0.35</v>
      </c>
      <c r="M509" s="9">
        <v>-46.44</v>
      </c>
      <c r="N509" s="9">
        <v>1.34</v>
      </c>
      <c r="O509" s="9">
        <v>178.6</v>
      </c>
      <c r="P509" s="9">
        <v>1.5</v>
      </c>
      <c r="Q509" s="9">
        <v>200</v>
      </c>
    </row>
    <row r="510" s="1" customFormat="1" ht="14.25" hidden="1" spans="1:17">
      <c r="A510" s="1" t="str">
        <f>VLOOKUP(B510,combinate!A:B,2,FALSE)</f>
        <v>Group C</v>
      </c>
      <c r="B510" s="8">
        <v>254700013083</v>
      </c>
      <c r="C510" s="9">
        <v>13977406</v>
      </c>
      <c r="D510" s="10">
        <v>46183.375625</v>
      </c>
      <c r="E510" s="11" t="s">
        <v>250</v>
      </c>
      <c r="F510" s="9">
        <v>366.82</v>
      </c>
      <c r="G510" s="9">
        <v>48786.88</v>
      </c>
      <c r="H510" s="9">
        <v>0</v>
      </c>
      <c r="I510" s="9">
        <v>48786.88</v>
      </c>
      <c r="J510" s="9">
        <v>0</v>
      </c>
      <c r="K510" s="9">
        <v>3033.14</v>
      </c>
      <c r="L510" s="9">
        <v>22.81</v>
      </c>
      <c r="M510" s="9">
        <v>3033.14</v>
      </c>
      <c r="N510" s="9">
        <v>40.23</v>
      </c>
      <c r="O510" s="9">
        <v>5350.4</v>
      </c>
      <c r="P510" s="9">
        <v>37.5</v>
      </c>
      <c r="Q510" s="9">
        <v>4987.86</v>
      </c>
    </row>
    <row r="511" s="1" customFormat="1" ht="14.25" hidden="1" spans="1:17">
      <c r="A511" s="1" t="str">
        <f>VLOOKUP(B511,combinate!A:B,2,FALSE)</f>
        <v>Group C</v>
      </c>
      <c r="B511" s="8">
        <v>254798584910</v>
      </c>
      <c r="C511" s="9">
        <v>14046176</v>
      </c>
      <c r="D511" s="10">
        <v>46160.8104282407</v>
      </c>
      <c r="E511" s="12" t="s">
        <v>254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0</v>
      </c>
      <c r="O511" s="9">
        <v>0</v>
      </c>
      <c r="P511" s="9">
        <v>0</v>
      </c>
      <c r="Q511" s="9">
        <v>0</v>
      </c>
    </row>
    <row r="512" s="1" customFormat="1" ht="14.25" hidden="1" spans="1:17">
      <c r="A512" s="1" t="str">
        <f>VLOOKUP(B512,combinate!A:B,2,FALSE)</f>
        <v>Group A</v>
      </c>
      <c r="B512" s="8">
        <v>254706572795</v>
      </c>
      <c r="C512" s="9">
        <v>14085322</v>
      </c>
      <c r="D512" s="10">
        <v>46163.8584490741</v>
      </c>
      <c r="E512" s="12" t="s">
        <v>254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9">
        <v>0</v>
      </c>
      <c r="N512" s="9">
        <v>0</v>
      </c>
      <c r="O512" s="9">
        <v>0</v>
      </c>
      <c r="P512" s="9">
        <v>0</v>
      </c>
      <c r="Q512" s="9">
        <v>0</v>
      </c>
    </row>
    <row r="513" s="1" customFormat="1" ht="14.25" hidden="1" spans="1:17">
      <c r="A513" s="1" t="str">
        <f>VLOOKUP(B513,combinate!A:B,2,FALSE)</f>
        <v>Group C</v>
      </c>
      <c r="B513" s="8">
        <v>254748246675</v>
      </c>
      <c r="C513" s="9">
        <v>14145086</v>
      </c>
      <c r="D513" s="10">
        <v>46166.7037615741</v>
      </c>
      <c r="E513" s="12" t="s">
        <v>254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9">
        <v>0</v>
      </c>
      <c r="N513" s="9">
        <v>0</v>
      </c>
      <c r="O513" s="9">
        <v>0</v>
      </c>
      <c r="P513" s="9">
        <v>0</v>
      </c>
      <c r="Q513" s="9">
        <v>0</v>
      </c>
    </row>
    <row r="514" s="1" customFormat="1" ht="14.25" hidden="1" spans="1:17">
      <c r="A514" s="1" t="str">
        <f>VLOOKUP(B514,combinate!A:B,2,FALSE)</f>
        <v>Group C</v>
      </c>
      <c r="B514" s="8">
        <v>254704092202</v>
      </c>
      <c r="C514" s="9">
        <v>16548419</v>
      </c>
      <c r="D514" s="10">
        <v>46179.7866898148</v>
      </c>
      <c r="E514" s="12" t="s">
        <v>254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0</v>
      </c>
      <c r="O514" s="9">
        <v>0</v>
      </c>
      <c r="P514" s="9">
        <v>0</v>
      </c>
      <c r="Q514" s="9">
        <v>0</v>
      </c>
    </row>
    <row r="515" s="1" customFormat="1" ht="14.25" hidden="1" spans="1:17">
      <c r="A515" s="1" t="str">
        <f>VLOOKUP(B515,combinate!A:B,2,FALSE)</f>
        <v>Group C</v>
      </c>
      <c r="B515" s="8">
        <v>254748087991</v>
      </c>
      <c r="C515" s="9">
        <v>17412107</v>
      </c>
      <c r="D515" s="10">
        <v>46162.3602893519</v>
      </c>
      <c r="E515" s="12" t="s">
        <v>254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9">
        <v>0</v>
      </c>
      <c r="N515" s="9">
        <v>0</v>
      </c>
      <c r="O515" s="9">
        <v>0</v>
      </c>
      <c r="P515" s="9">
        <v>0</v>
      </c>
      <c r="Q515" s="9">
        <v>0</v>
      </c>
    </row>
    <row r="516" s="1" customFormat="1" ht="14.25" hidden="1" spans="1:17">
      <c r="A516" s="1" t="str">
        <f>VLOOKUP(B516,combinate!A:B,2,FALSE)</f>
        <v>Group C</v>
      </c>
      <c r="B516" s="8">
        <v>254114536921</v>
      </c>
      <c r="C516" s="9">
        <v>17482598</v>
      </c>
      <c r="D516" s="10">
        <v>46166.7382407407</v>
      </c>
      <c r="E516" s="12" t="s">
        <v>254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9">
        <v>0</v>
      </c>
      <c r="N516" s="9">
        <v>0</v>
      </c>
      <c r="O516" s="9">
        <v>0</v>
      </c>
      <c r="P516" s="9">
        <v>0</v>
      </c>
      <c r="Q516" s="9">
        <v>0</v>
      </c>
    </row>
    <row r="517" s="1" customFormat="1" ht="14.25" hidden="1" spans="1:17">
      <c r="A517" s="1" t="str">
        <f>VLOOKUP(B517,combinate!A:B,2,FALSE)</f>
        <v>Group A</v>
      </c>
      <c r="B517" s="8">
        <v>254743247634</v>
      </c>
      <c r="C517" s="9">
        <v>17998400</v>
      </c>
      <c r="D517" s="10">
        <v>46182.8648263889</v>
      </c>
      <c r="E517" s="11" t="s">
        <v>250</v>
      </c>
      <c r="F517" s="9">
        <v>57.64</v>
      </c>
      <c r="G517" s="9">
        <v>7666.34</v>
      </c>
      <c r="H517" s="9">
        <v>0</v>
      </c>
      <c r="I517" s="9">
        <v>7666.34</v>
      </c>
      <c r="J517" s="9">
        <v>0</v>
      </c>
      <c r="K517" s="9">
        <v>2194.5</v>
      </c>
      <c r="L517" s="9">
        <v>16.5</v>
      </c>
      <c r="M517" s="9">
        <v>2194.5</v>
      </c>
      <c r="N517" s="9">
        <v>16.5</v>
      </c>
      <c r="O517" s="9">
        <v>2194.5</v>
      </c>
      <c r="P517" s="9">
        <v>0</v>
      </c>
      <c r="Q517" s="9">
        <v>0</v>
      </c>
    </row>
    <row r="518" s="1" customFormat="1" ht="14.25" hidden="1" spans="1:17">
      <c r="A518" s="1" t="str">
        <f>VLOOKUP(B518,combinate!A:B,2,FALSE)</f>
        <v>Group B</v>
      </c>
      <c r="B518" s="8">
        <v>254740725859</v>
      </c>
      <c r="C518" s="9">
        <v>18248033</v>
      </c>
      <c r="D518" s="10">
        <v>46160.3895601852</v>
      </c>
      <c r="E518" s="12" t="s">
        <v>254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9">
        <v>0</v>
      </c>
      <c r="N518" s="9">
        <v>0</v>
      </c>
      <c r="O518" s="9">
        <v>0</v>
      </c>
      <c r="P518" s="9">
        <v>0</v>
      </c>
      <c r="Q518" s="9">
        <v>0</v>
      </c>
    </row>
    <row r="519" s="1" customFormat="1" ht="14.25" hidden="1" spans="1:17">
      <c r="A519" s="1" t="str">
        <f>VLOOKUP(B519,combinate!A:B,2,FALSE)</f>
        <v>Group A</v>
      </c>
      <c r="B519" s="8">
        <v>254745486690</v>
      </c>
      <c r="C519" s="9">
        <v>18841080</v>
      </c>
      <c r="D519" s="10">
        <v>46161.2685532407</v>
      </c>
      <c r="E519" s="12" t="s">
        <v>254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  <c r="M519" s="9">
        <v>0</v>
      </c>
      <c r="N519" s="9">
        <v>0</v>
      </c>
      <c r="O519" s="9">
        <v>0</v>
      </c>
      <c r="P519" s="9">
        <v>0</v>
      </c>
      <c r="Q519" s="9">
        <v>0</v>
      </c>
    </row>
    <row r="520" s="1" customFormat="1" ht="14.25" hidden="1" spans="1:17">
      <c r="A520" s="1" t="str">
        <f>VLOOKUP(B520,combinate!A:B,2,FALSE)</f>
        <v>Group C</v>
      </c>
      <c r="B520" s="8">
        <v>254791527570</v>
      </c>
      <c r="C520" s="9">
        <v>19706277</v>
      </c>
      <c r="D520" s="10">
        <v>46160.5100231481</v>
      </c>
      <c r="E520" s="12" t="s">
        <v>254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  <c r="M520" s="9">
        <v>0</v>
      </c>
      <c r="N520" s="9">
        <v>0</v>
      </c>
      <c r="O520" s="9">
        <v>0</v>
      </c>
      <c r="P520" s="9">
        <v>0</v>
      </c>
      <c r="Q520" s="9">
        <v>0</v>
      </c>
    </row>
    <row r="521" s="1" customFormat="1" ht="14.25" hidden="1" spans="1:17">
      <c r="A521" s="1" t="str">
        <f>VLOOKUP(B521,combinate!A:B,2,FALSE)</f>
        <v>Group C</v>
      </c>
      <c r="B521" s="8">
        <v>254743978769</v>
      </c>
      <c r="C521" s="9">
        <v>20876749</v>
      </c>
      <c r="D521" s="10">
        <v>46162.7104050926</v>
      </c>
      <c r="E521" s="12" t="s">
        <v>254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9">
        <v>0</v>
      </c>
      <c r="M521" s="9">
        <v>0</v>
      </c>
      <c r="N521" s="9">
        <v>0</v>
      </c>
      <c r="O521" s="9">
        <v>0</v>
      </c>
      <c r="P521" s="9">
        <v>0</v>
      </c>
      <c r="Q521" s="9">
        <v>0</v>
      </c>
    </row>
    <row r="522" s="1" customFormat="1" ht="14.25" hidden="1" spans="1:17">
      <c r="A522" s="1" t="str">
        <f>VLOOKUP(B522,combinate!A:B,2,FALSE)</f>
        <v>Group C</v>
      </c>
      <c r="B522" s="8">
        <v>254118814497</v>
      </c>
      <c r="C522" s="9">
        <v>20893538</v>
      </c>
      <c r="D522" s="10">
        <v>46166.2140162037</v>
      </c>
      <c r="E522" s="12" t="s">
        <v>254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9">
        <v>0</v>
      </c>
      <c r="N522" s="9">
        <v>0</v>
      </c>
      <c r="O522" s="9">
        <v>0</v>
      </c>
      <c r="P522" s="9">
        <v>0</v>
      </c>
      <c r="Q522" s="9">
        <v>0</v>
      </c>
    </row>
    <row r="523" s="1" customFormat="1" ht="14.25" hidden="1" spans="1:17">
      <c r="A523" s="1" t="str">
        <f>VLOOKUP(B523,combinate!A:B,2,FALSE)</f>
        <v>Group A</v>
      </c>
      <c r="B523" s="8">
        <v>254798471798</v>
      </c>
      <c r="C523" s="9">
        <v>21000000</v>
      </c>
      <c r="D523" s="10">
        <v>46163.5165740741</v>
      </c>
      <c r="E523" s="12" t="s">
        <v>254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0</v>
      </c>
      <c r="N523" s="9">
        <v>0</v>
      </c>
      <c r="O523" s="9">
        <v>0</v>
      </c>
      <c r="P523" s="9">
        <v>0</v>
      </c>
      <c r="Q523" s="9">
        <v>0</v>
      </c>
    </row>
    <row r="524" s="1" customFormat="1" ht="14.25" hidden="1" spans="1:17">
      <c r="A524" s="1" t="str">
        <f>VLOOKUP(B524,combinate!A:B,2,FALSE)</f>
        <v>Group C</v>
      </c>
      <c r="B524" s="8">
        <v>254117086301</v>
      </c>
      <c r="C524" s="9">
        <v>21102058</v>
      </c>
      <c r="D524" s="10">
        <v>46184.3918865741</v>
      </c>
      <c r="E524" s="12" t="s">
        <v>254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9">
        <v>0</v>
      </c>
      <c r="N524" s="9">
        <v>0</v>
      </c>
      <c r="O524" s="9">
        <v>0</v>
      </c>
      <c r="P524" s="9">
        <v>0</v>
      </c>
      <c r="Q524" s="9">
        <v>0</v>
      </c>
    </row>
    <row r="525" s="1" customFormat="1" ht="14.25" hidden="1" spans="1:17">
      <c r="A525" s="1" t="str">
        <f>VLOOKUP(B525,combinate!A:B,2,FALSE)</f>
        <v>Group C</v>
      </c>
      <c r="B525" s="8">
        <v>254116021075</v>
      </c>
      <c r="C525" s="9">
        <v>21200368</v>
      </c>
      <c r="D525" s="10">
        <v>46161.7636921296</v>
      </c>
      <c r="E525" s="12" t="s">
        <v>254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0</v>
      </c>
      <c r="N525" s="9">
        <v>0</v>
      </c>
      <c r="O525" s="9">
        <v>0</v>
      </c>
      <c r="P525" s="9">
        <v>0</v>
      </c>
      <c r="Q525" s="9">
        <v>0</v>
      </c>
    </row>
    <row r="526" s="1" customFormat="1" ht="14.25" hidden="1" spans="1:17">
      <c r="A526" s="1" t="str">
        <f>VLOOKUP(B526,combinate!A:B,2,FALSE)</f>
        <v>Group C</v>
      </c>
      <c r="B526" s="8">
        <v>254746397511</v>
      </c>
      <c r="C526" s="9">
        <v>21384719</v>
      </c>
      <c r="D526" s="10">
        <v>46183.2495486111</v>
      </c>
      <c r="E526" s="12" t="s">
        <v>254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0</v>
      </c>
      <c r="N526" s="9">
        <v>0</v>
      </c>
      <c r="O526" s="9">
        <v>0</v>
      </c>
      <c r="P526" s="9">
        <v>0</v>
      </c>
      <c r="Q526" s="9">
        <v>0</v>
      </c>
    </row>
    <row r="527" s="1" customFormat="1" ht="14.25" hidden="1" spans="1:17">
      <c r="A527" s="1" t="str">
        <f>VLOOKUP(B527,combinate!A:B,2,FALSE)</f>
        <v>Group B</v>
      </c>
      <c r="B527" s="8">
        <v>254703671166</v>
      </c>
      <c r="C527" s="9">
        <v>21643304</v>
      </c>
      <c r="D527" s="10">
        <v>46178.9358796296</v>
      </c>
      <c r="E527" s="11" t="s">
        <v>250</v>
      </c>
      <c r="F527" s="9">
        <v>1.25</v>
      </c>
      <c r="G527" s="9">
        <v>166</v>
      </c>
      <c r="H527" s="9">
        <v>0</v>
      </c>
      <c r="I527" s="9">
        <v>166</v>
      </c>
      <c r="J527" s="9">
        <v>0</v>
      </c>
      <c r="K527" s="9">
        <v>166</v>
      </c>
      <c r="L527" s="9">
        <v>1.25</v>
      </c>
      <c r="M527" s="9">
        <v>166</v>
      </c>
      <c r="N527" s="9">
        <v>1.29</v>
      </c>
      <c r="O527" s="9">
        <v>171</v>
      </c>
      <c r="P527" s="9">
        <v>0</v>
      </c>
      <c r="Q527" s="9">
        <v>0</v>
      </c>
    </row>
    <row r="528" s="1" customFormat="1" ht="14.25" hidden="1" spans="1:17">
      <c r="A528" s="1" t="str">
        <f>VLOOKUP(B528,combinate!A:B,2,FALSE)</f>
        <v>Group A</v>
      </c>
      <c r="B528" s="8">
        <v>254724303827</v>
      </c>
      <c r="C528" s="9">
        <v>21703462</v>
      </c>
      <c r="D528" s="10">
        <v>46161.7908217593</v>
      </c>
      <c r="E528" s="12" t="s">
        <v>254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0</v>
      </c>
      <c r="O528" s="9">
        <v>0</v>
      </c>
      <c r="P528" s="9">
        <v>0</v>
      </c>
      <c r="Q528" s="9">
        <v>0</v>
      </c>
    </row>
    <row r="529" s="1" customFormat="1" ht="14.25" hidden="1" spans="1:17">
      <c r="A529" s="1" t="str">
        <f>VLOOKUP(B529,combinate!A:B,2,FALSE)</f>
        <v>Group A</v>
      </c>
      <c r="B529" s="8">
        <v>254726713819</v>
      </c>
      <c r="C529" s="9">
        <v>21745740</v>
      </c>
      <c r="D529" s="10">
        <v>46160.8337152778</v>
      </c>
      <c r="E529" s="12" t="s">
        <v>254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0</v>
      </c>
      <c r="N529" s="9">
        <v>0</v>
      </c>
      <c r="O529" s="9">
        <v>0</v>
      </c>
      <c r="P529" s="9">
        <v>0</v>
      </c>
      <c r="Q529" s="9">
        <v>0</v>
      </c>
    </row>
    <row r="530" s="1" customFormat="1" ht="14.25" hidden="1" spans="1:17">
      <c r="A530" s="1" t="str">
        <f>VLOOKUP(B530,combinate!A:B,2,FALSE)</f>
        <v>Group C</v>
      </c>
      <c r="B530" s="8">
        <v>254710867037</v>
      </c>
      <c r="C530" s="9">
        <v>21894498</v>
      </c>
      <c r="D530" s="10">
        <v>46160.2288310185</v>
      </c>
      <c r="E530" s="12" t="s">
        <v>254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  <c r="N530" s="9">
        <v>0</v>
      </c>
      <c r="O530" s="9">
        <v>0</v>
      </c>
      <c r="P530" s="9">
        <v>0</v>
      </c>
      <c r="Q530" s="9">
        <v>0</v>
      </c>
    </row>
    <row r="531" s="1" customFormat="1" ht="14.25" hidden="1" spans="1:17">
      <c r="A531" s="1" t="str">
        <f>VLOOKUP(B531,combinate!A:B,2,FALSE)</f>
        <v>Group A</v>
      </c>
      <c r="B531" s="8">
        <v>254119423828</v>
      </c>
      <c r="C531" s="9">
        <v>21897371</v>
      </c>
      <c r="D531" s="10">
        <v>46166.2709722222</v>
      </c>
      <c r="E531" s="12" t="s">
        <v>254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0</v>
      </c>
      <c r="N531" s="9">
        <v>0</v>
      </c>
      <c r="O531" s="9">
        <v>0</v>
      </c>
      <c r="P531" s="9">
        <v>0</v>
      </c>
      <c r="Q531" s="9">
        <v>0</v>
      </c>
    </row>
    <row r="532" s="1" customFormat="1" ht="14.25" hidden="1" spans="1:17">
      <c r="A532" s="1" t="str">
        <f>VLOOKUP(B532,combinate!A:B,2,FALSE)</f>
        <v>Group C</v>
      </c>
      <c r="B532" s="8">
        <v>254713314701</v>
      </c>
      <c r="C532" s="9">
        <v>21957326</v>
      </c>
      <c r="D532" s="10">
        <v>46161.8385300926</v>
      </c>
      <c r="E532" s="12" t="s">
        <v>254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9">
        <v>0</v>
      </c>
      <c r="O532" s="9">
        <v>0</v>
      </c>
      <c r="P532" s="9">
        <v>0</v>
      </c>
      <c r="Q532" s="9">
        <v>0</v>
      </c>
    </row>
    <row r="533" s="1" customFormat="1" ht="14.25" hidden="1" spans="1:17">
      <c r="A533" s="1" t="str">
        <f>VLOOKUP(B533,combinate!A:B,2,FALSE)</f>
        <v>Group C</v>
      </c>
      <c r="B533" s="8">
        <v>254711262353</v>
      </c>
      <c r="C533" s="9">
        <v>22328628</v>
      </c>
      <c r="D533" s="10">
        <v>46183.5807523148</v>
      </c>
      <c r="E533" s="11" t="s">
        <v>250</v>
      </c>
      <c r="F533" s="9">
        <v>1.98</v>
      </c>
      <c r="G533" s="9">
        <v>263</v>
      </c>
      <c r="H533" s="9">
        <v>0</v>
      </c>
      <c r="I533" s="9">
        <v>263</v>
      </c>
      <c r="J533" s="9">
        <v>0</v>
      </c>
      <c r="K533" s="9">
        <v>174.91</v>
      </c>
      <c r="L533" s="9">
        <v>1.32</v>
      </c>
      <c r="M533" s="9">
        <v>174.91</v>
      </c>
      <c r="N533" s="9">
        <v>1.31</v>
      </c>
      <c r="O533" s="9">
        <v>174.8</v>
      </c>
      <c r="P533" s="9">
        <v>0</v>
      </c>
      <c r="Q533" s="9">
        <v>0</v>
      </c>
    </row>
    <row r="534" s="1" customFormat="1" ht="14.25" hidden="1" spans="1:17">
      <c r="A534" s="1" t="str">
        <f>VLOOKUP(B534,combinate!A:B,2,FALSE)</f>
        <v>Group C</v>
      </c>
      <c r="B534" s="8">
        <v>254117789395</v>
      </c>
      <c r="C534" s="9">
        <v>22517226</v>
      </c>
      <c r="D534" s="10">
        <v>46161.2819444444</v>
      </c>
      <c r="E534" s="12" t="s">
        <v>254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  <c r="M534" s="9">
        <v>0</v>
      </c>
      <c r="N534" s="9">
        <v>0</v>
      </c>
      <c r="O534" s="9">
        <v>0</v>
      </c>
      <c r="P534" s="9">
        <v>0</v>
      </c>
      <c r="Q534" s="9">
        <v>0</v>
      </c>
    </row>
    <row r="535" s="1" customFormat="1" ht="14.25" hidden="1" spans="1:17">
      <c r="A535" s="1" t="str">
        <f>VLOOKUP(B535,combinate!A:B,2,FALSE)</f>
        <v>Group B</v>
      </c>
      <c r="B535" s="8">
        <v>254735955680</v>
      </c>
      <c r="C535" s="9">
        <v>22522135</v>
      </c>
      <c r="D535" s="10">
        <v>46181.2712037037</v>
      </c>
      <c r="E535" s="11" t="s">
        <v>250</v>
      </c>
      <c r="F535" s="9">
        <v>0.53</v>
      </c>
      <c r="G535" s="9">
        <v>70</v>
      </c>
      <c r="H535" s="9">
        <v>0</v>
      </c>
      <c r="I535" s="9">
        <v>70</v>
      </c>
      <c r="J535" s="9">
        <v>0</v>
      </c>
      <c r="K535" s="9">
        <v>70</v>
      </c>
      <c r="L535" s="9">
        <v>0.53</v>
      </c>
      <c r="M535" s="9">
        <v>70</v>
      </c>
      <c r="N535" s="9">
        <v>0.53</v>
      </c>
      <c r="O535" s="9">
        <v>70.3</v>
      </c>
      <c r="P535" s="9">
        <v>0</v>
      </c>
      <c r="Q535" s="9">
        <v>0</v>
      </c>
    </row>
    <row r="536" s="1" customFormat="1" ht="14.25" hidden="1" spans="1:17">
      <c r="A536" s="1" t="str">
        <f>VLOOKUP(B536,combinate!A:B,2,FALSE)</f>
        <v>Group C</v>
      </c>
      <c r="B536" s="8">
        <v>254724023704</v>
      </c>
      <c r="C536" s="9">
        <v>22628206</v>
      </c>
      <c r="D536" s="10">
        <v>46163.1742592593</v>
      </c>
      <c r="E536" s="12" t="s">
        <v>254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9">
        <v>0</v>
      </c>
      <c r="N536" s="9">
        <v>0</v>
      </c>
      <c r="O536" s="9">
        <v>0</v>
      </c>
      <c r="P536" s="9">
        <v>0</v>
      </c>
      <c r="Q536" s="9">
        <v>0</v>
      </c>
    </row>
    <row r="537" s="1" customFormat="1" ht="14.25" hidden="1" spans="1:17">
      <c r="A537" s="1" t="str">
        <f>VLOOKUP(B537,combinate!A:B,2,FALSE)</f>
        <v>Group A</v>
      </c>
      <c r="B537" s="8">
        <v>254748133967</v>
      </c>
      <c r="C537" s="9">
        <v>22705041</v>
      </c>
      <c r="D537" s="10">
        <v>46184.1704861111</v>
      </c>
      <c r="E537" s="11" t="s">
        <v>250</v>
      </c>
      <c r="F537" s="9">
        <v>11.15</v>
      </c>
      <c r="G537" s="9">
        <v>1483</v>
      </c>
      <c r="H537" s="9">
        <v>0</v>
      </c>
      <c r="I537" s="9">
        <v>1483</v>
      </c>
      <c r="J537" s="9">
        <v>0</v>
      </c>
      <c r="K537" s="9">
        <v>866.22</v>
      </c>
      <c r="L537" s="9">
        <v>6.51</v>
      </c>
      <c r="M537" s="9">
        <v>866.22</v>
      </c>
      <c r="N537" s="9">
        <v>6.49</v>
      </c>
      <c r="O537" s="9">
        <v>863.55</v>
      </c>
      <c r="P537" s="9">
        <v>0</v>
      </c>
      <c r="Q537" s="9">
        <v>0</v>
      </c>
    </row>
    <row r="538" s="1" customFormat="1" ht="14.25" hidden="1" spans="1:17">
      <c r="A538" s="1" t="str">
        <f>VLOOKUP(B538,combinate!A:B,2,FALSE)</f>
        <v>Group A</v>
      </c>
      <c r="B538" s="8">
        <v>254142167435</v>
      </c>
      <c r="C538" s="9">
        <v>22809741</v>
      </c>
      <c r="D538" s="10">
        <v>46163.6020138889</v>
      </c>
      <c r="E538" s="12" t="s">
        <v>254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0</v>
      </c>
      <c r="N538" s="9">
        <v>0</v>
      </c>
      <c r="O538" s="9">
        <v>0</v>
      </c>
      <c r="P538" s="9">
        <v>0</v>
      </c>
      <c r="Q538" s="9">
        <v>0</v>
      </c>
    </row>
    <row r="539" s="1" customFormat="1" ht="14.25" hidden="1" spans="1:17">
      <c r="A539" s="1" t="str">
        <f>VLOOKUP(B539,combinate!A:B,2,FALSE)</f>
        <v>Group A</v>
      </c>
      <c r="B539" s="8">
        <v>254768968416</v>
      </c>
      <c r="C539" s="9">
        <v>22891322</v>
      </c>
      <c r="D539" s="10">
        <v>46163.9683333333</v>
      </c>
      <c r="E539" s="12" t="s">
        <v>254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9">
        <v>0</v>
      </c>
      <c r="N539" s="9">
        <v>0</v>
      </c>
      <c r="O539" s="9">
        <v>0</v>
      </c>
      <c r="P539" s="9">
        <v>0</v>
      </c>
      <c r="Q539" s="9">
        <v>0</v>
      </c>
    </row>
    <row r="540" s="1" customFormat="1" ht="14.25" hidden="1" spans="1:17">
      <c r="A540" s="1" t="str">
        <f>VLOOKUP(B540,combinate!A:B,2,FALSE)</f>
        <v>Group A</v>
      </c>
      <c r="B540" s="8">
        <v>254717327791</v>
      </c>
      <c r="C540" s="9">
        <v>63270</v>
      </c>
      <c r="D540" s="10">
        <v>46184.0162731481</v>
      </c>
      <c r="E540" s="12" t="s">
        <v>254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0</v>
      </c>
      <c r="N540" s="9">
        <v>0</v>
      </c>
      <c r="O540" s="9">
        <v>0</v>
      </c>
      <c r="P540" s="9">
        <v>0</v>
      </c>
      <c r="Q540" s="9">
        <v>0</v>
      </c>
    </row>
    <row r="541" s="1" customFormat="1" ht="14.25" hidden="1" spans="1:17">
      <c r="A541" s="1" t="str">
        <f>VLOOKUP(B541,combinate!A:B,2,FALSE)</f>
        <v>Group A</v>
      </c>
      <c r="B541" s="8">
        <v>254795114307</v>
      </c>
      <c r="C541" s="9">
        <v>83472</v>
      </c>
      <c r="D541" s="10">
        <v>46182.8465393518</v>
      </c>
      <c r="E541" s="11" t="s">
        <v>250</v>
      </c>
      <c r="F541" s="9">
        <v>297.78</v>
      </c>
      <c r="G541" s="9">
        <v>39604.8</v>
      </c>
      <c r="H541" s="9">
        <v>0</v>
      </c>
      <c r="I541" s="9">
        <v>39604.8</v>
      </c>
      <c r="J541" s="9">
        <v>0</v>
      </c>
      <c r="K541" s="9">
        <v>11199.75</v>
      </c>
      <c r="L541" s="9">
        <v>84.21</v>
      </c>
      <c r="M541" s="9">
        <v>11199.75</v>
      </c>
      <c r="N541" s="9">
        <v>92.86</v>
      </c>
      <c r="O541" s="9">
        <v>12350</v>
      </c>
      <c r="P541" s="9">
        <v>8.27</v>
      </c>
      <c r="Q541" s="9">
        <v>1100</v>
      </c>
    </row>
    <row r="542" s="1" customFormat="1" ht="14.25" hidden="1" spans="1:17">
      <c r="A542" s="1" t="str">
        <f>VLOOKUP(B542,combinate!A:B,2,FALSE)</f>
        <v>Group B</v>
      </c>
      <c r="B542" s="8">
        <v>254721135551</v>
      </c>
      <c r="C542" s="9">
        <v>419825</v>
      </c>
      <c r="D542" s="10">
        <v>46177.6071064815</v>
      </c>
      <c r="E542" s="11" t="s">
        <v>250</v>
      </c>
      <c r="F542" s="9">
        <v>30.9</v>
      </c>
      <c r="G542" s="9">
        <v>4110</v>
      </c>
      <c r="H542" s="9">
        <v>0</v>
      </c>
      <c r="I542" s="9">
        <v>4110</v>
      </c>
      <c r="J542" s="9">
        <v>0</v>
      </c>
      <c r="K542" s="9">
        <v>662.5</v>
      </c>
      <c r="L542" s="9">
        <v>4.98</v>
      </c>
      <c r="M542" s="9">
        <v>662.5</v>
      </c>
      <c r="N542" s="9">
        <v>5</v>
      </c>
      <c r="O542" s="9">
        <v>665</v>
      </c>
      <c r="P542" s="9">
        <v>0</v>
      </c>
      <c r="Q542" s="9">
        <v>0</v>
      </c>
    </row>
    <row r="543" s="1" customFormat="1" ht="14.25" hidden="1" spans="1:17">
      <c r="A543" s="1" t="str">
        <f>VLOOKUP(B543,combinate!A:B,2,FALSE)</f>
        <v>Group C</v>
      </c>
      <c r="B543" s="8">
        <v>254740727423</v>
      </c>
      <c r="C543" s="9">
        <v>2021806</v>
      </c>
      <c r="D543" s="10">
        <v>46183.7353819444</v>
      </c>
      <c r="E543" s="11" t="s">
        <v>250</v>
      </c>
      <c r="F543" s="9">
        <v>159.08</v>
      </c>
      <c r="G543" s="9">
        <v>21157.25</v>
      </c>
      <c r="H543" s="9">
        <v>0</v>
      </c>
      <c r="I543" s="9">
        <v>21157.25</v>
      </c>
      <c r="J543" s="9">
        <v>0</v>
      </c>
      <c r="K543" s="9">
        <v>-2781.37</v>
      </c>
      <c r="L543" s="9">
        <v>-20.91</v>
      </c>
      <c r="M543" s="9">
        <v>-2781.37</v>
      </c>
      <c r="N543" s="9">
        <v>34.29</v>
      </c>
      <c r="O543" s="9">
        <v>4560</v>
      </c>
      <c r="P543" s="9">
        <v>107.92</v>
      </c>
      <c r="Q543" s="9">
        <v>14353.21</v>
      </c>
    </row>
    <row r="544" s="1" customFormat="1" ht="14.25" hidden="1" spans="1:17">
      <c r="A544" s="1" t="str">
        <f>VLOOKUP(B544,combinate!A:B,2,FALSE)</f>
        <v>Group C</v>
      </c>
      <c r="B544" s="8">
        <v>254729238726</v>
      </c>
      <c r="C544" s="9">
        <v>4908836</v>
      </c>
      <c r="D544" s="10">
        <v>46163.140787037</v>
      </c>
      <c r="E544" s="12" t="s">
        <v>254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0</v>
      </c>
      <c r="N544" s="9">
        <v>0</v>
      </c>
      <c r="O544" s="9">
        <v>0</v>
      </c>
      <c r="P544" s="9">
        <v>0</v>
      </c>
      <c r="Q544" s="9">
        <v>0</v>
      </c>
    </row>
    <row r="545" s="1" customFormat="1" ht="14.25" hidden="1" spans="1:17">
      <c r="A545" s="1" t="str">
        <f>VLOOKUP(B545,combinate!A:B,2,FALSE)</f>
        <v>Group A</v>
      </c>
      <c r="B545" s="8">
        <v>254712301798</v>
      </c>
      <c r="C545" s="9">
        <v>8747812</v>
      </c>
      <c r="D545" s="10">
        <v>46177.7286921296</v>
      </c>
      <c r="E545" s="11" t="s">
        <v>250</v>
      </c>
      <c r="F545" s="9">
        <v>8.17</v>
      </c>
      <c r="G545" s="9">
        <v>1087</v>
      </c>
      <c r="H545" s="9">
        <v>2</v>
      </c>
      <c r="I545" s="9">
        <v>1085</v>
      </c>
      <c r="J545" s="9">
        <v>2</v>
      </c>
      <c r="K545" s="9">
        <v>394.2</v>
      </c>
      <c r="L545" s="9">
        <v>2.98</v>
      </c>
      <c r="M545" s="9">
        <v>396.2</v>
      </c>
      <c r="N545" s="9">
        <v>2.86</v>
      </c>
      <c r="O545" s="9">
        <v>380</v>
      </c>
      <c r="P545" s="9">
        <v>0</v>
      </c>
      <c r="Q545" s="9">
        <v>0</v>
      </c>
    </row>
    <row r="546" s="1" customFormat="1" ht="14.25" hidden="1" spans="1:17">
      <c r="A546" s="1" t="str">
        <f>VLOOKUP(B546,combinate!A:B,2,FALSE)</f>
        <v>Group C</v>
      </c>
      <c r="B546" s="8">
        <v>254715027583</v>
      </c>
      <c r="C546" s="9">
        <v>10482149</v>
      </c>
      <c r="D546" s="10">
        <v>46184.0310069444</v>
      </c>
      <c r="E546" s="11" t="s">
        <v>250</v>
      </c>
      <c r="F546" s="9">
        <v>113.38</v>
      </c>
      <c r="G546" s="9">
        <v>15079.5</v>
      </c>
      <c r="H546" s="9">
        <v>0</v>
      </c>
      <c r="I546" s="9">
        <v>15079.5</v>
      </c>
      <c r="J546" s="9">
        <v>0</v>
      </c>
      <c r="K546" s="9">
        <v>199.5</v>
      </c>
      <c r="L546" s="9">
        <v>1.5</v>
      </c>
      <c r="M546" s="9">
        <v>199.5</v>
      </c>
      <c r="N546" s="9">
        <v>23</v>
      </c>
      <c r="O546" s="9">
        <v>3059</v>
      </c>
      <c r="P546" s="9">
        <v>14.29</v>
      </c>
      <c r="Q546" s="9">
        <v>1900</v>
      </c>
    </row>
    <row r="547" s="1" customFormat="1" ht="14.25" hidden="1" spans="1:17">
      <c r="A547" s="1" t="str">
        <f>VLOOKUP(B547,combinate!A:B,2,FALSE)</f>
        <v>Group B</v>
      </c>
      <c r="B547" s="8">
        <v>254793643443</v>
      </c>
      <c r="C547" s="9">
        <v>11116973</v>
      </c>
      <c r="D547" s="10">
        <v>46178.0725115741</v>
      </c>
      <c r="E547" s="12" t="s">
        <v>254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0</v>
      </c>
      <c r="N547" s="9">
        <v>0</v>
      </c>
      <c r="O547" s="9">
        <v>0</v>
      </c>
      <c r="P547" s="9">
        <v>0</v>
      </c>
      <c r="Q547" s="9">
        <v>0</v>
      </c>
    </row>
    <row r="548" s="1" customFormat="1" ht="14.25" hidden="1" spans="1:17">
      <c r="A548" s="1" t="str">
        <f>VLOOKUP(B548,combinate!A:B,2,FALSE)</f>
        <v>Group C</v>
      </c>
      <c r="B548" s="8">
        <v>254718031626</v>
      </c>
      <c r="C548" s="9">
        <v>12313549</v>
      </c>
      <c r="D548" s="10">
        <v>46180.9352314815</v>
      </c>
      <c r="E548" s="11" t="s">
        <v>250</v>
      </c>
      <c r="F548" s="9">
        <v>5.23</v>
      </c>
      <c r="G548" s="9">
        <v>695.76</v>
      </c>
      <c r="H548" s="9">
        <v>0</v>
      </c>
      <c r="I548" s="9">
        <v>695.76</v>
      </c>
      <c r="J548" s="9">
        <v>0</v>
      </c>
      <c r="K548" s="9">
        <v>90.49</v>
      </c>
      <c r="L548" s="9">
        <v>0.68</v>
      </c>
      <c r="M548" s="9">
        <v>90.49</v>
      </c>
      <c r="N548" s="9">
        <v>0.64</v>
      </c>
      <c r="O548" s="9">
        <v>85.5</v>
      </c>
      <c r="P548" s="9">
        <v>0</v>
      </c>
      <c r="Q548" s="9">
        <v>0</v>
      </c>
    </row>
    <row r="549" s="1" customFormat="1" ht="14.25" hidden="1" spans="1:17">
      <c r="A549" s="1" t="str">
        <f>VLOOKUP(B549,combinate!A:B,2,FALSE)</f>
        <v>Group A</v>
      </c>
      <c r="B549" s="8">
        <v>254745550973</v>
      </c>
      <c r="C549" s="9">
        <v>12620410</v>
      </c>
      <c r="D549" s="10">
        <v>46182.8758333333</v>
      </c>
      <c r="E549" s="12" t="s">
        <v>254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9">
        <v>0</v>
      </c>
      <c r="N549" s="9">
        <v>0</v>
      </c>
      <c r="O549" s="9">
        <v>0</v>
      </c>
      <c r="P549" s="9">
        <v>0</v>
      </c>
      <c r="Q549" s="9">
        <v>0</v>
      </c>
    </row>
    <row r="550" s="1" customFormat="1" ht="14.25" hidden="1" spans="1:17">
      <c r="A550" s="1" t="str">
        <f>VLOOKUP(B550,combinate!A:B,2,FALSE)</f>
        <v>Group A</v>
      </c>
      <c r="B550" s="8">
        <v>254713120430</v>
      </c>
      <c r="C550" s="9">
        <v>12692550</v>
      </c>
      <c r="D550" s="10">
        <v>46160.715462963</v>
      </c>
      <c r="E550" s="12" t="s">
        <v>254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9">
        <v>0</v>
      </c>
      <c r="N550" s="9">
        <v>0</v>
      </c>
      <c r="O550" s="9">
        <v>0</v>
      </c>
      <c r="P550" s="9">
        <v>0</v>
      </c>
      <c r="Q550" s="9">
        <v>0</v>
      </c>
    </row>
    <row r="551" s="1" customFormat="1" ht="14.25" hidden="1" spans="1:17">
      <c r="A551" s="1" t="str">
        <f>VLOOKUP(B551,combinate!A:B,2,FALSE)</f>
        <v>Group A</v>
      </c>
      <c r="B551" s="8">
        <v>254769651564</v>
      </c>
      <c r="C551" s="9">
        <v>12950221</v>
      </c>
      <c r="D551" s="10">
        <v>46162.5342361111</v>
      </c>
      <c r="E551" s="12" t="s">
        <v>254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9">
        <v>0</v>
      </c>
      <c r="N551" s="9">
        <v>0</v>
      </c>
      <c r="O551" s="9">
        <v>0</v>
      </c>
      <c r="P551" s="9">
        <v>0</v>
      </c>
      <c r="Q551" s="9">
        <v>0</v>
      </c>
    </row>
    <row r="552" s="1" customFormat="1" ht="14.25" hidden="1" spans="1:17">
      <c r="A552" s="1" t="str">
        <f>VLOOKUP(B552,combinate!A:B,2,FALSE)</f>
        <v>Group C</v>
      </c>
      <c r="B552" s="8">
        <v>254740105572</v>
      </c>
      <c r="C552" s="9">
        <v>13266707</v>
      </c>
      <c r="D552" s="10">
        <v>46182.5050231482</v>
      </c>
      <c r="E552" s="11" t="s">
        <v>250</v>
      </c>
      <c r="F552" s="9">
        <v>1.06</v>
      </c>
      <c r="G552" s="9">
        <v>141.3</v>
      </c>
      <c r="H552" s="9">
        <v>0</v>
      </c>
      <c r="I552" s="9">
        <v>141.3</v>
      </c>
      <c r="J552" s="9">
        <v>0</v>
      </c>
      <c r="K552" s="9">
        <v>92.98</v>
      </c>
      <c r="L552" s="9">
        <v>0.7</v>
      </c>
      <c r="M552" s="9">
        <v>92.98</v>
      </c>
      <c r="N552" s="9">
        <v>0.69</v>
      </c>
      <c r="O552" s="9">
        <v>92.15</v>
      </c>
      <c r="P552" s="9">
        <v>0</v>
      </c>
      <c r="Q552" s="9">
        <v>0</v>
      </c>
    </row>
    <row r="553" s="1" customFormat="1" ht="14.25" hidden="1" spans="1:17">
      <c r="A553" s="1" t="str">
        <f>VLOOKUP(B553,combinate!A:B,2,FALSE)</f>
        <v>Group A</v>
      </c>
      <c r="B553" s="8">
        <v>254719767266</v>
      </c>
      <c r="C553" s="9">
        <v>13453150</v>
      </c>
      <c r="D553" s="10">
        <v>46177.773900463</v>
      </c>
      <c r="E553" s="12" t="s">
        <v>254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9">
        <v>0</v>
      </c>
      <c r="N553" s="9">
        <v>0</v>
      </c>
      <c r="O553" s="9">
        <v>0</v>
      </c>
      <c r="P553" s="9">
        <v>0</v>
      </c>
      <c r="Q553" s="9">
        <v>0</v>
      </c>
    </row>
    <row r="554" s="1" customFormat="1" ht="14.25" hidden="1" spans="1:17">
      <c r="A554" s="1" t="str">
        <f>VLOOKUP(B554,combinate!A:B,2,FALSE)</f>
        <v>Group A</v>
      </c>
      <c r="B554" s="8">
        <v>254717525801</v>
      </c>
      <c r="C554" s="9">
        <v>13808752</v>
      </c>
      <c r="D554" s="10">
        <v>46176.8120486111</v>
      </c>
      <c r="E554" s="11" t="s">
        <v>250</v>
      </c>
      <c r="F554" s="9">
        <v>8.35</v>
      </c>
      <c r="G554" s="9">
        <v>1110</v>
      </c>
      <c r="H554" s="9">
        <v>0</v>
      </c>
      <c r="I554" s="9">
        <v>1110</v>
      </c>
      <c r="J554" s="9">
        <v>0</v>
      </c>
      <c r="K554" s="9">
        <v>376</v>
      </c>
      <c r="L554" s="9">
        <v>2.83</v>
      </c>
      <c r="M554" s="9">
        <v>376</v>
      </c>
      <c r="N554" s="9">
        <v>2.86</v>
      </c>
      <c r="O554" s="9">
        <v>380</v>
      </c>
      <c r="P554" s="9">
        <v>0</v>
      </c>
      <c r="Q554" s="9">
        <v>0</v>
      </c>
    </row>
    <row r="555" s="1" customFormat="1" ht="14.25" hidden="1" spans="1:17">
      <c r="A555" s="1" t="str">
        <f>VLOOKUP(B555,combinate!A:B,2,FALSE)</f>
        <v>Group A</v>
      </c>
      <c r="B555" s="8">
        <v>254700091090</v>
      </c>
      <c r="C555" s="9">
        <v>13982590</v>
      </c>
      <c r="D555" s="10">
        <v>46184.3866087963</v>
      </c>
      <c r="E555" s="12" t="s">
        <v>254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9">
        <v>0</v>
      </c>
      <c r="N555" s="9">
        <v>0</v>
      </c>
      <c r="O555" s="9">
        <v>0</v>
      </c>
      <c r="P555" s="9">
        <v>0</v>
      </c>
      <c r="Q555" s="9">
        <v>0</v>
      </c>
    </row>
    <row r="556" s="1" customFormat="1" ht="14.25" hidden="1" spans="1:17">
      <c r="A556" s="1" t="str">
        <f>VLOOKUP(B556,combinate!A:B,2,FALSE)</f>
        <v>Group A</v>
      </c>
      <c r="B556" s="8">
        <v>254795085758</v>
      </c>
      <c r="C556" s="9">
        <v>14048372</v>
      </c>
      <c r="D556" s="10">
        <v>46160.1449305556</v>
      </c>
      <c r="E556" s="12" t="s">
        <v>254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9">
        <v>0</v>
      </c>
      <c r="N556" s="9">
        <v>0</v>
      </c>
      <c r="O556" s="9">
        <v>0</v>
      </c>
      <c r="P556" s="9">
        <v>0</v>
      </c>
      <c r="Q556" s="9">
        <v>0</v>
      </c>
    </row>
    <row r="557" s="1" customFormat="1" ht="14.25" hidden="1" spans="1:17">
      <c r="A557" s="1" t="str">
        <f>VLOOKUP(B557,combinate!A:B,2,FALSE)</f>
        <v>Group C</v>
      </c>
      <c r="B557" s="8">
        <v>254721545343</v>
      </c>
      <c r="C557" s="9">
        <v>14793277</v>
      </c>
      <c r="D557" s="10">
        <v>46162.8178819444</v>
      </c>
      <c r="E557" s="12" t="s">
        <v>254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9">
        <v>0</v>
      </c>
      <c r="N557" s="9">
        <v>0</v>
      </c>
      <c r="O557" s="9">
        <v>0</v>
      </c>
      <c r="P557" s="9">
        <v>0</v>
      </c>
      <c r="Q557" s="9">
        <v>0</v>
      </c>
    </row>
    <row r="558" s="1" customFormat="1" ht="14.25" hidden="1" spans="1:17">
      <c r="A558" s="1" t="str">
        <f>VLOOKUP(B558,combinate!A:B,2,FALSE)</f>
        <v>Group A</v>
      </c>
      <c r="B558" s="8">
        <v>254718202188</v>
      </c>
      <c r="C558" s="9">
        <v>15553252</v>
      </c>
      <c r="D558" s="10">
        <v>46163.0639467593</v>
      </c>
      <c r="E558" s="12" t="s">
        <v>254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9">
        <v>0</v>
      </c>
      <c r="N558" s="9">
        <v>0</v>
      </c>
      <c r="O558" s="9">
        <v>0</v>
      </c>
      <c r="P558" s="9">
        <v>0</v>
      </c>
      <c r="Q558" s="9">
        <v>0</v>
      </c>
    </row>
    <row r="559" s="1" customFormat="1" ht="14.25" hidden="1" spans="1:17">
      <c r="A559" s="1" t="str">
        <f>VLOOKUP(B559,combinate!A:B,2,FALSE)</f>
        <v>Group A</v>
      </c>
      <c r="B559" s="8">
        <v>254705175527</v>
      </c>
      <c r="C559" s="9">
        <v>15913671</v>
      </c>
      <c r="D559" s="10">
        <v>46166.9050810185</v>
      </c>
      <c r="E559" s="12" t="s">
        <v>254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9">
        <v>0</v>
      </c>
      <c r="N559" s="9">
        <v>0</v>
      </c>
      <c r="O559" s="9">
        <v>0</v>
      </c>
      <c r="P559" s="9">
        <v>0</v>
      </c>
      <c r="Q559" s="9">
        <v>0</v>
      </c>
    </row>
    <row r="560" s="1" customFormat="1" ht="14.25" hidden="1" spans="1:17">
      <c r="A560" s="1" t="str">
        <f>VLOOKUP(B560,combinate!A:B,2,FALSE)</f>
        <v>Group A</v>
      </c>
      <c r="B560" s="8">
        <v>254721105988</v>
      </c>
      <c r="C560" s="9">
        <v>16156752</v>
      </c>
      <c r="D560" s="10">
        <v>46163.7943865741</v>
      </c>
      <c r="E560" s="12" t="s">
        <v>254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9">
        <v>0</v>
      </c>
      <c r="N560" s="9">
        <v>0</v>
      </c>
      <c r="O560" s="9">
        <v>0</v>
      </c>
      <c r="P560" s="9">
        <v>0</v>
      </c>
      <c r="Q560" s="9">
        <v>0</v>
      </c>
    </row>
    <row r="561" s="1" customFormat="1" ht="14.25" hidden="1" spans="1:17">
      <c r="A561" s="1" t="str">
        <f>VLOOKUP(B561,combinate!A:B,2,FALSE)</f>
        <v>Group C</v>
      </c>
      <c r="B561" s="8">
        <v>254797184647</v>
      </c>
      <c r="C561" s="9">
        <v>16512276</v>
      </c>
      <c r="D561" s="10">
        <v>46166.3596875</v>
      </c>
      <c r="E561" s="12" t="s">
        <v>254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9">
        <v>0</v>
      </c>
      <c r="N561" s="9">
        <v>0</v>
      </c>
      <c r="O561" s="9">
        <v>0</v>
      </c>
      <c r="P561" s="9">
        <v>0</v>
      </c>
      <c r="Q561" s="9">
        <v>0</v>
      </c>
    </row>
    <row r="562" s="1" customFormat="1" ht="14.25" hidden="1" spans="1:17">
      <c r="A562" s="1" t="str">
        <f>VLOOKUP(B562,combinate!A:B,2,FALSE)</f>
        <v>Group A</v>
      </c>
      <c r="B562" s="8">
        <v>254717058936</v>
      </c>
      <c r="C562" s="9">
        <v>16666892</v>
      </c>
      <c r="D562" s="10">
        <v>46178.9038310185</v>
      </c>
      <c r="E562" s="12" t="s">
        <v>254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9">
        <v>0</v>
      </c>
      <c r="N562" s="9">
        <v>0</v>
      </c>
      <c r="O562" s="9">
        <v>0</v>
      </c>
      <c r="P562" s="9">
        <v>0</v>
      </c>
      <c r="Q562" s="9">
        <v>0</v>
      </c>
    </row>
    <row r="563" s="1" customFormat="1" ht="14.25" hidden="1" spans="1:17">
      <c r="A563" s="1" t="str">
        <f>VLOOKUP(B563,combinate!A:B,2,FALSE)</f>
        <v>Group B</v>
      </c>
      <c r="B563" s="8">
        <v>254702516739</v>
      </c>
      <c r="C563" s="9">
        <v>16780144</v>
      </c>
      <c r="D563" s="10">
        <v>46177.8534375</v>
      </c>
      <c r="E563" s="11" t="s">
        <v>250</v>
      </c>
      <c r="F563" s="9">
        <v>1.79</v>
      </c>
      <c r="G563" s="9">
        <v>238</v>
      </c>
      <c r="H563" s="9">
        <v>238</v>
      </c>
      <c r="I563" s="9">
        <v>0</v>
      </c>
      <c r="J563" s="9">
        <v>238</v>
      </c>
      <c r="K563" s="9">
        <v>0</v>
      </c>
      <c r="L563" s="9">
        <v>1.79</v>
      </c>
      <c r="M563" s="9">
        <v>238</v>
      </c>
      <c r="N563" s="9">
        <v>1.79</v>
      </c>
      <c r="O563" s="9">
        <v>237.5</v>
      </c>
      <c r="P563" s="9">
        <v>0</v>
      </c>
      <c r="Q563" s="9">
        <v>0</v>
      </c>
    </row>
    <row r="564" s="1" customFormat="1" ht="14.25" hidden="1" spans="1:17">
      <c r="A564" s="1" t="str">
        <f>VLOOKUP(B564,combinate!A:B,2,FALSE)</f>
        <v>Group C</v>
      </c>
      <c r="B564" s="8">
        <v>254741043822</v>
      </c>
      <c r="C564" s="9">
        <v>16961139</v>
      </c>
      <c r="D564" s="10">
        <v>46166.3979398148</v>
      </c>
      <c r="E564" s="12" t="s">
        <v>254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  <c r="M564" s="9">
        <v>0</v>
      </c>
      <c r="N564" s="9">
        <v>0</v>
      </c>
      <c r="O564" s="9">
        <v>0</v>
      </c>
      <c r="P564" s="9">
        <v>0</v>
      </c>
      <c r="Q564" s="9">
        <v>0</v>
      </c>
    </row>
    <row r="565" s="1" customFormat="1" ht="14.25" hidden="1" spans="1:17">
      <c r="A565" s="1" t="str">
        <f>VLOOKUP(B565,combinate!A:B,2,FALSE)</f>
        <v>Group C</v>
      </c>
      <c r="B565" s="8">
        <v>254740503616</v>
      </c>
      <c r="C565" s="9">
        <v>17600418</v>
      </c>
      <c r="D565" s="10">
        <v>46177.3047222222</v>
      </c>
      <c r="E565" s="11" t="s">
        <v>250</v>
      </c>
      <c r="F565" s="9">
        <v>2.92</v>
      </c>
      <c r="G565" s="9">
        <v>388</v>
      </c>
      <c r="H565" s="9">
        <v>0</v>
      </c>
      <c r="I565" s="9">
        <v>388</v>
      </c>
      <c r="J565" s="9">
        <v>0</v>
      </c>
      <c r="K565" s="9">
        <v>284.95</v>
      </c>
      <c r="L565" s="9">
        <v>2.14</v>
      </c>
      <c r="M565" s="9">
        <v>284.95</v>
      </c>
      <c r="N565" s="9">
        <v>2.14</v>
      </c>
      <c r="O565" s="9">
        <v>285</v>
      </c>
      <c r="P565" s="9">
        <v>0</v>
      </c>
      <c r="Q565" s="9">
        <v>0</v>
      </c>
    </row>
    <row r="566" s="1" customFormat="1" ht="14.25" hidden="1" spans="1:17">
      <c r="A566" s="1" t="str">
        <f>VLOOKUP(B566,combinate!A:B,2,FALSE)</f>
        <v>Group A</v>
      </c>
      <c r="B566" s="8">
        <v>254795705873</v>
      </c>
      <c r="C566" s="9">
        <v>18379840</v>
      </c>
      <c r="D566" s="10">
        <v>46181.7190972222</v>
      </c>
      <c r="E566" s="12" t="s">
        <v>254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9">
        <v>0</v>
      </c>
      <c r="N566" s="9">
        <v>0</v>
      </c>
      <c r="O566" s="9">
        <v>0</v>
      </c>
      <c r="P566" s="9">
        <v>0</v>
      </c>
      <c r="Q566" s="9">
        <v>0</v>
      </c>
    </row>
    <row r="567" s="1" customFormat="1" ht="14.25" hidden="1" spans="1:17">
      <c r="A567" s="1" t="str">
        <f>VLOOKUP(B567,combinate!A:B,2,FALSE)</f>
        <v>Group C</v>
      </c>
      <c r="B567" s="8">
        <v>254114595365</v>
      </c>
      <c r="C567" s="9">
        <v>18696947</v>
      </c>
      <c r="D567" s="10">
        <v>46163.3084143518</v>
      </c>
      <c r="E567" s="12" t="s">
        <v>254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9">
        <v>0</v>
      </c>
      <c r="N567" s="9">
        <v>0</v>
      </c>
      <c r="O567" s="9">
        <v>0</v>
      </c>
      <c r="P567" s="9">
        <v>0</v>
      </c>
      <c r="Q567" s="9">
        <v>0</v>
      </c>
    </row>
    <row r="568" s="1" customFormat="1" ht="14.25" hidden="1" spans="1:17">
      <c r="A568" s="1" t="str">
        <f>VLOOKUP(B568,combinate!A:B,2,FALSE)</f>
        <v>Group A</v>
      </c>
      <c r="B568" s="8">
        <v>254796589435</v>
      </c>
      <c r="C568" s="9">
        <v>19115352</v>
      </c>
      <c r="D568" s="10">
        <v>46161.5197800926</v>
      </c>
      <c r="E568" s="12" t="s">
        <v>254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9">
        <v>0</v>
      </c>
      <c r="N568" s="9">
        <v>0</v>
      </c>
      <c r="O568" s="9">
        <v>0</v>
      </c>
      <c r="P568" s="9">
        <v>0</v>
      </c>
      <c r="Q568" s="9">
        <v>0</v>
      </c>
    </row>
    <row r="569" s="1" customFormat="1" ht="14.25" hidden="1" spans="1:17">
      <c r="A569" s="1" t="str">
        <f>VLOOKUP(B569,combinate!A:B,2,FALSE)</f>
        <v>Group C</v>
      </c>
      <c r="B569" s="8">
        <v>254719108107</v>
      </c>
      <c r="C569" s="9">
        <v>19429329</v>
      </c>
      <c r="D569" s="10">
        <v>46182.854849537</v>
      </c>
      <c r="E569" s="11" t="s">
        <v>250</v>
      </c>
      <c r="F569" s="9">
        <v>41.11</v>
      </c>
      <c r="G569" s="9">
        <v>5468</v>
      </c>
      <c r="H569" s="9">
        <v>0</v>
      </c>
      <c r="I569" s="9">
        <v>5468</v>
      </c>
      <c r="J569" s="9">
        <v>0</v>
      </c>
      <c r="K569" s="9">
        <v>378</v>
      </c>
      <c r="L569" s="9">
        <v>2.84</v>
      </c>
      <c r="M569" s="9">
        <v>378</v>
      </c>
      <c r="N569" s="9">
        <v>2.86</v>
      </c>
      <c r="O569" s="9">
        <v>380</v>
      </c>
      <c r="P569" s="9">
        <v>0</v>
      </c>
      <c r="Q569" s="9">
        <v>0</v>
      </c>
    </row>
    <row r="570" s="1" customFormat="1" ht="14.25" hidden="1" spans="1:17">
      <c r="A570" s="1" t="str">
        <f>VLOOKUP(B570,combinate!A:B,2,FALSE)</f>
        <v>Group A</v>
      </c>
      <c r="B570" s="8">
        <v>254758678467</v>
      </c>
      <c r="C570" s="9">
        <v>19444992</v>
      </c>
      <c r="D570" s="10">
        <v>46160.9452314815</v>
      </c>
      <c r="E570" s="12" t="s">
        <v>254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9">
        <v>0</v>
      </c>
      <c r="N570" s="9">
        <v>0</v>
      </c>
      <c r="O570" s="9">
        <v>0</v>
      </c>
      <c r="P570" s="9">
        <v>0</v>
      </c>
      <c r="Q570" s="9">
        <v>0</v>
      </c>
    </row>
    <row r="571" s="1" customFormat="1" ht="14.25" hidden="1" spans="1:17">
      <c r="A571" s="1" t="str">
        <f>VLOOKUP(B571,combinate!A:B,2,FALSE)</f>
        <v>Group C</v>
      </c>
      <c r="B571" s="8">
        <v>254727949458</v>
      </c>
      <c r="C571" s="9">
        <v>19605367</v>
      </c>
      <c r="D571" s="10">
        <v>46179.7030902778</v>
      </c>
      <c r="E571" s="12" t="s">
        <v>254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9">
        <v>0</v>
      </c>
      <c r="N571" s="9">
        <v>0</v>
      </c>
      <c r="O571" s="9">
        <v>0</v>
      </c>
      <c r="P571" s="9">
        <v>0</v>
      </c>
      <c r="Q571" s="9">
        <v>0</v>
      </c>
    </row>
    <row r="572" s="1" customFormat="1" ht="14.25" hidden="1" spans="1:17">
      <c r="A572" s="1" t="str">
        <f>VLOOKUP(B572,combinate!A:B,2,FALSE)</f>
        <v>Group C</v>
      </c>
      <c r="B572" s="8">
        <v>254111735831</v>
      </c>
      <c r="C572" s="9">
        <v>20446276</v>
      </c>
      <c r="D572" s="10">
        <v>46166.6855208333</v>
      </c>
      <c r="E572" s="12" t="s">
        <v>254</v>
      </c>
      <c r="F572" s="9">
        <v>0</v>
      </c>
      <c r="G572" s="9">
        <v>0</v>
      </c>
      <c r="H572" s="9">
        <v>0</v>
      </c>
      <c r="I572" s="9">
        <v>0</v>
      </c>
      <c r="J572" s="9">
        <v>0</v>
      </c>
      <c r="K572" s="9">
        <v>0</v>
      </c>
      <c r="L572" s="9">
        <v>0</v>
      </c>
      <c r="M572" s="9">
        <v>0</v>
      </c>
      <c r="N572" s="9">
        <v>0</v>
      </c>
      <c r="O572" s="9">
        <v>0</v>
      </c>
      <c r="P572" s="9">
        <v>0</v>
      </c>
      <c r="Q572" s="9">
        <v>0</v>
      </c>
    </row>
    <row r="573" s="1" customFormat="1" ht="14.25" hidden="1" spans="1:17">
      <c r="A573" s="1" t="str">
        <f>VLOOKUP(B573,combinate!A:B,2,FALSE)</f>
        <v>Group A</v>
      </c>
      <c r="B573" s="8">
        <v>254710180740</v>
      </c>
      <c r="C573" s="9">
        <v>113761</v>
      </c>
      <c r="D573" s="10">
        <v>46166.7677314815</v>
      </c>
      <c r="E573" s="12" t="s">
        <v>254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0</v>
      </c>
      <c r="N573" s="9">
        <v>0</v>
      </c>
      <c r="O573" s="9">
        <v>0</v>
      </c>
      <c r="P573" s="9">
        <v>0</v>
      </c>
      <c r="Q573" s="9">
        <v>0</v>
      </c>
    </row>
    <row r="574" s="1" customFormat="1" ht="14.25" hidden="1" spans="1:17">
      <c r="A574" s="1" t="str">
        <f>VLOOKUP(B574,combinate!A:B,2,FALSE)</f>
        <v>Group B</v>
      </c>
      <c r="B574" s="8">
        <v>254714772960</v>
      </c>
      <c r="C574" s="9">
        <v>136795</v>
      </c>
      <c r="D574" s="10">
        <v>46180.1671296296</v>
      </c>
      <c r="E574" s="11" t="s">
        <v>250</v>
      </c>
      <c r="F574" s="9">
        <v>28.91</v>
      </c>
      <c r="G574" s="9">
        <v>3844.45</v>
      </c>
      <c r="H574" s="9">
        <v>0</v>
      </c>
      <c r="I574" s="9">
        <v>3844.45</v>
      </c>
      <c r="J574" s="9">
        <v>0</v>
      </c>
      <c r="K574" s="9">
        <v>1821.15</v>
      </c>
      <c r="L574" s="9">
        <v>13.69</v>
      </c>
      <c r="M574" s="9">
        <v>1821.15</v>
      </c>
      <c r="N574" s="9">
        <v>7.14</v>
      </c>
      <c r="O574" s="9">
        <v>950</v>
      </c>
      <c r="P574" s="9">
        <v>0</v>
      </c>
      <c r="Q574" s="9">
        <v>0</v>
      </c>
    </row>
    <row r="575" s="1" customFormat="1" ht="14.25" hidden="1" spans="1:17">
      <c r="A575" s="1" t="str">
        <f>VLOOKUP(B575,combinate!A:B,2,FALSE)</f>
        <v>Group B</v>
      </c>
      <c r="B575" s="8">
        <v>254702551241</v>
      </c>
      <c r="C575" s="9">
        <v>201673</v>
      </c>
      <c r="D575" s="10">
        <v>46183.2872453704</v>
      </c>
      <c r="E575" s="11" t="s">
        <v>250</v>
      </c>
      <c r="F575" s="9">
        <v>212.05</v>
      </c>
      <c r="G575" s="9">
        <v>28203</v>
      </c>
      <c r="H575" s="9">
        <v>0</v>
      </c>
      <c r="I575" s="9">
        <v>28203</v>
      </c>
      <c r="J575" s="9">
        <v>0</v>
      </c>
      <c r="K575" s="9">
        <v>1470.25</v>
      </c>
      <c r="L575" s="9">
        <v>11.05</v>
      </c>
      <c r="M575" s="9">
        <v>1470.25</v>
      </c>
      <c r="N575" s="9">
        <v>13.89</v>
      </c>
      <c r="O575" s="9">
        <v>1846.8</v>
      </c>
      <c r="P575" s="9">
        <v>3.76</v>
      </c>
      <c r="Q575" s="9">
        <v>500</v>
      </c>
    </row>
    <row r="576" s="1" customFormat="1" ht="14.25" hidden="1" spans="1:17">
      <c r="A576" s="1" t="str">
        <f>VLOOKUP(B576,combinate!A:B,2,FALSE)</f>
        <v>Group A</v>
      </c>
      <c r="B576" s="8">
        <v>254768766227</v>
      </c>
      <c r="C576" s="9">
        <v>675391</v>
      </c>
      <c r="D576" s="10">
        <v>46181.1317824074</v>
      </c>
      <c r="E576" s="12" t="s">
        <v>254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9">
        <v>0</v>
      </c>
      <c r="N576" s="9">
        <v>0</v>
      </c>
      <c r="O576" s="9">
        <v>0</v>
      </c>
      <c r="P576" s="9">
        <v>0</v>
      </c>
      <c r="Q576" s="9">
        <v>0</v>
      </c>
    </row>
    <row r="577" s="1" customFormat="1" ht="14.25" hidden="1" spans="1:17">
      <c r="A577" s="1" t="str">
        <f>VLOOKUP(B577,combinate!A:B,2,FALSE)</f>
        <v>Group C</v>
      </c>
      <c r="B577" s="8">
        <v>254714457970</v>
      </c>
      <c r="C577" s="9">
        <v>781558</v>
      </c>
      <c r="D577" s="10">
        <v>46183.4714351852</v>
      </c>
      <c r="E577" s="12" t="s">
        <v>254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9">
        <v>0</v>
      </c>
      <c r="N577" s="9">
        <v>0</v>
      </c>
      <c r="O577" s="9">
        <v>0</v>
      </c>
      <c r="P577" s="9">
        <v>0</v>
      </c>
      <c r="Q577" s="9">
        <v>0</v>
      </c>
    </row>
    <row r="578" s="1" customFormat="1" ht="14.25" hidden="1" spans="1:17">
      <c r="A578" s="1" t="str">
        <f>VLOOKUP(B578,combinate!A:B,2,FALSE)</f>
        <v>Group A</v>
      </c>
      <c r="B578" s="8">
        <v>254715397260</v>
      </c>
      <c r="C578" s="9">
        <v>814580</v>
      </c>
      <c r="D578" s="10">
        <v>46160.5641319444</v>
      </c>
      <c r="E578" s="12" t="s">
        <v>254</v>
      </c>
      <c r="F578" s="9">
        <v>0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9">
        <v>0</v>
      </c>
      <c r="N578" s="9">
        <v>0</v>
      </c>
      <c r="O578" s="9">
        <v>0</v>
      </c>
      <c r="P578" s="9">
        <v>0</v>
      </c>
      <c r="Q578" s="9">
        <v>0</v>
      </c>
    </row>
    <row r="579" s="1" customFormat="1" ht="14.25" hidden="1" spans="1:17">
      <c r="A579" s="1" t="str">
        <f>VLOOKUP(B579,combinate!A:B,2,FALSE)</f>
        <v>Group C</v>
      </c>
      <c r="B579" s="8">
        <v>254722586989</v>
      </c>
      <c r="C579" s="9">
        <v>1668818</v>
      </c>
      <c r="D579" s="10">
        <v>46166.1446875</v>
      </c>
      <c r="E579" s="12" t="s">
        <v>254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9">
        <v>0</v>
      </c>
      <c r="N579" s="9">
        <v>0</v>
      </c>
      <c r="O579" s="9">
        <v>0</v>
      </c>
      <c r="P579" s="9">
        <v>0</v>
      </c>
      <c r="Q579" s="9">
        <v>0</v>
      </c>
    </row>
    <row r="580" s="1" customFormat="1" ht="14.25" hidden="1" spans="1:17">
      <c r="A580" s="1" t="str">
        <f>VLOOKUP(B580,combinate!A:B,2,FALSE)</f>
        <v>Group B</v>
      </c>
      <c r="B580" s="8">
        <v>254740655805</v>
      </c>
      <c r="C580" s="9">
        <v>2056974</v>
      </c>
      <c r="D580" s="10">
        <v>46183.4632523148</v>
      </c>
      <c r="E580" s="11" t="s">
        <v>250</v>
      </c>
      <c r="F580" s="9">
        <v>2.8</v>
      </c>
      <c r="G580" s="9">
        <v>373</v>
      </c>
      <c r="H580" s="9">
        <v>0</v>
      </c>
      <c r="I580" s="9">
        <v>373</v>
      </c>
      <c r="J580" s="9">
        <v>0</v>
      </c>
      <c r="K580" s="9">
        <v>182.95</v>
      </c>
      <c r="L580" s="9">
        <v>1.38</v>
      </c>
      <c r="M580" s="9">
        <v>182.95</v>
      </c>
      <c r="N580" s="9">
        <v>1.38</v>
      </c>
      <c r="O580" s="9">
        <v>183.35</v>
      </c>
      <c r="P580" s="9">
        <v>0</v>
      </c>
      <c r="Q580" s="9">
        <v>0</v>
      </c>
    </row>
    <row r="581" s="1" customFormat="1" ht="14.25" hidden="1" spans="1:17">
      <c r="A581" s="1" t="str">
        <f>VLOOKUP(B581,combinate!A:B,2,FALSE)</f>
        <v>Group A</v>
      </c>
      <c r="B581" s="8">
        <v>254795874620</v>
      </c>
      <c r="C581" s="9">
        <v>2225702</v>
      </c>
      <c r="D581" s="10">
        <v>46160.99375</v>
      </c>
      <c r="E581" s="12" t="s">
        <v>254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9">
        <v>0</v>
      </c>
      <c r="N581" s="9">
        <v>0</v>
      </c>
      <c r="O581" s="9">
        <v>0</v>
      </c>
      <c r="P581" s="9">
        <v>0</v>
      </c>
      <c r="Q581" s="9">
        <v>0</v>
      </c>
    </row>
    <row r="582" s="1" customFormat="1" ht="14.25" hidden="1" spans="1:17">
      <c r="A582" s="1" t="str">
        <f>VLOOKUP(B582,combinate!A:B,2,FALSE)</f>
        <v>Group C</v>
      </c>
      <c r="B582" s="8">
        <v>254793810037</v>
      </c>
      <c r="C582" s="9">
        <v>2960066</v>
      </c>
      <c r="D582" s="10">
        <v>46182.6304513889</v>
      </c>
      <c r="E582" s="12" t="s">
        <v>254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9">
        <v>0</v>
      </c>
      <c r="N582" s="9">
        <v>0</v>
      </c>
      <c r="O582" s="9">
        <v>0</v>
      </c>
      <c r="P582" s="9">
        <v>0</v>
      </c>
      <c r="Q582" s="9">
        <v>0</v>
      </c>
    </row>
    <row r="583" s="1" customFormat="1" ht="14.25" hidden="1" spans="1:17">
      <c r="A583" s="1" t="str">
        <f>VLOOKUP(B583,combinate!A:B,2,FALSE)</f>
        <v>Group C</v>
      </c>
      <c r="B583" s="8">
        <v>254712358769</v>
      </c>
      <c r="C583" s="9">
        <v>3770646</v>
      </c>
      <c r="D583" s="10">
        <v>46166.5563541667</v>
      </c>
      <c r="E583" s="12" t="s">
        <v>254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9">
        <v>0</v>
      </c>
      <c r="N583" s="9">
        <v>0</v>
      </c>
      <c r="O583" s="9">
        <v>0</v>
      </c>
      <c r="P583" s="9">
        <v>0</v>
      </c>
      <c r="Q583" s="9">
        <v>0</v>
      </c>
    </row>
    <row r="584" s="1" customFormat="1" ht="14.25" hidden="1" spans="1:17">
      <c r="A584" s="1" t="str">
        <f>VLOOKUP(B584,combinate!A:B,2,FALSE)</f>
        <v>Group A</v>
      </c>
      <c r="B584" s="8">
        <v>254740659395</v>
      </c>
      <c r="C584" s="9">
        <v>8736450</v>
      </c>
      <c r="D584" s="10">
        <v>46181.8539467593</v>
      </c>
      <c r="E584" s="11" t="s">
        <v>250</v>
      </c>
      <c r="F584" s="9">
        <v>233.35</v>
      </c>
      <c r="G584" s="9">
        <v>31035.03</v>
      </c>
      <c r="H584" s="9">
        <v>0</v>
      </c>
      <c r="I584" s="9">
        <v>31035.03</v>
      </c>
      <c r="J584" s="9">
        <v>0</v>
      </c>
      <c r="K584" s="9">
        <v>-3028.66</v>
      </c>
      <c r="L584" s="9">
        <v>-22.77</v>
      </c>
      <c r="M584" s="9">
        <v>-3028.66</v>
      </c>
      <c r="N584" s="9">
        <v>18.28</v>
      </c>
      <c r="O584" s="9">
        <v>2431.05</v>
      </c>
      <c r="P584" s="9">
        <v>39.1</v>
      </c>
      <c r="Q584" s="9">
        <v>5200</v>
      </c>
    </row>
    <row r="585" s="1" customFormat="1" ht="14.25" hidden="1" spans="1:17">
      <c r="A585" s="1" t="str">
        <f>VLOOKUP(B585,combinate!A:B,2,FALSE)</f>
        <v>Group A</v>
      </c>
      <c r="B585" s="8">
        <v>254795624281</v>
      </c>
      <c r="C585" s="9">
        <v>9875132</v>
      </c>
      <c r="D585" s="10">
        <v>46163.7752777778</v>
      </c>
      <c r="E585" s="12" t="s">
        <v>254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9">
        <v>0</v>
      </c>
      <c r="N585" s="9">
        <v>0</v>
      </c>
      <c r="O585" s="9">
        <v>0</v>
      </c>
      <c r="P585" s="9">
        <v>0</v>
      </c>
      <c r="Q585" s="9">
        <v>0</v>
      </c>
    </row>
    <row r="586" s="1" customFormat="1" ht="14.25" hidden="1" spans="1:17">
      <c r="A586" s="1" t="str">
        <f>VLOOKUP(B586,combinate!A:B,2,FALSE)</f>
        <v>Group C</v>
      </c>
      <c r="B586" s="8">
        <v>254799286851</v>
      </c>
      <c r="C586" s="9">
        <v>10089858</v>
      </c>
      <c r="D586" s="10">
        <v>46166.1128819444</v>
      </c>
      <c r="E586" s="12" t="s">
        <v>254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9">
        <v>0</v>
      </c>
      <c r="N586" s="9">
        <v>0</v>
      </c>
      <c r="O586" s="9">
        <v>0</v>
      </c>
      <c r="P586" s="9">
        <v>0</v>
      </c>
      <c r="Q586" s="9">
        <v>0</v>
      </c>
    </row>
    <row r="587" s="1" customFormat="1" ht="14.25" hidden="1" spans="1:17">
      <c r="A587" s="1" t="str">
        <f>VLOOKUP(B587,combinate!A:B,2,FALSE)</f>
        <v>Group C</v>
      </c>
      <c r="B587" s="8">
        <v>254727221477</v>
      </c>
      <c r="C587" s="9">
        <v>10514266</v>
      </c>
      <c r="D587" s="10">
        <v>46184.2539467593</v>
      </c>
      <c r="E587" s="11" t="s">
        <v>250</v>
      </c>
      <c r="F587" s="9">
        <v>61.26</v>
      </c>
      <c r="G587" s="9">
        <v>8147.95</v>
      </c>
      <c r="H587" s="9">
        <v>0</v>
      </c>
      <c r="I587" s="9">
        <v>8147.95</v>
      </c>
      <c r="J587" s="9">
        <v>0</v>
      </c>
      <c r="K587" s="9">
        <v>-592.85</v>
      </c>
      <c r="L587" s="9">
        <v>-4.46</v>
      </c>
      <c r="M587" s="9">
        <v>-592.85</v>
      </c>
      <c r="N587" s="9">
        <v>17.86</v>
      </c>
      <c r="O587" s="9">
        <v>2375</v>
      </c>
      <c r="P587" s="9">
        <v>39.45</v>
      </c>
      <c r="Q587" s="9">
        <v>5247.19</v>
      </c>
    </row>
    <row r="588" s="1" customFormat="1" ht="14.25" hidden="1" spans="1:17">
      <c r="A588" s="1" t="str">
        <f>VLOOKUP(B588,combinate!A:B,2,FALSE)</f>
        <v>Group A</v>
      </c>
      <c r="B588" s="8">
        <v>254710861165</v>
      </c>
      <c r="C588" s="9">
        <v>11496691</v>
      </c>
      <c r="D588" s="10">
        <v>46177.327962963</v>
      </c>
      <c r="E588" s="12" t="s">
        <v>254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0</v>
      </c>
      <c r="M588" s="9">
        <v>0</v>
      </c>
      <c r="N588" s="9">
        <v>0</v>
      </c>
      <c r="O588" s="9">
        <v>0</v>
      </c>
      <c r="P588" s="9">
        <v>0</v>
      </c>
      <c r="Q588" s="9">
        <v>0</v>
      </c>
    </row>
    <row r="589" s="1" customFormat="1" ht="14.25" hidden="1" spans="1:17">
      <c r="A589" s="1" t="str">
        <f>VLOOKUP(B589,combinate!A:B,2,FALSE)</f>
        <v>Group C</v>
      </c>
      <c r="B589" s="8">
        <v>254708265869</v>
      </c>
      <c r="C589" s="9">
        <v>12151226</v>
      </c>
      <c r="D589" s="10">
        <v>46160.5513425926</v>
      </c>
      <c r="E589" s="12" t="s">
        <v>254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  <c r="M589" s="9">
        <v>0</v>
      </c>
      <c r="N589" s="9">
        <v>0</v>
      </c>
      <c r="O589" s="9">
        <v>0</v>
      </c>
      <c r="P589" s="9">
        <v>0</v>
      </c>
      <c r="Q589" s="9">
        <v>0</v>
      </c>
    </row>
    <row r="590" s="1" customFormat="1" ht="14.25" hidden="1" spans="1:17">
      <c r="A590" s="1" t="str">
        <f>VLOOKUP(B590,combinate!A:B,2,FALSE)</f>
        <v>Group A</v>
      </c>
      <c r="B590" s="8">
        <v>254725075313</v>
      </c>
      <c r="C590" s="9">
        <v>12651370</v>
      </c>
      <c r="D590" s="10">
        <v>46182.8155555556</v>
      </c>
      <c r="E590" s="11" t="s">
        <v>250</v>
      </c>
      <c r="F590" s="9">
        <v>0.38</v>
      </c>
      <c r="G590" s="9">
        <v>50</v>
      </c>
      <c r="H590" s="9">
        <v>50</v>
      </c>
      <c r="I590" s="9">
        <v>0</v>
      </c>
      <c r="J590" s="9">
        <v>50</v>
      </c>
      <c r="K590" s="9">
        <v>0</v>
      </c>
      <c r="L590" s="9">
        <v>0.38</v>
      </c>
      <c r="M590" s="9">
        <v>50</v>
      </c>
      <c r="N590" s="9">
        <v>0.36</v>
      </c>
      <c r="O590" s="9">
        <v>47.5</v>
      </c>
      <c r="P590" s="9">
        <v>0</v>
      </c>
      <c r="Q590" s="9">
        <v>0</v>
      </c>
    </row>
    <row r="591" s="1" customFormat="1" ht="14.25" hidden="1" spans="1:17">
      <c r="A591" s="1" t="str">
        <f>VLOOKUP(B591,combinate!A:B,2,FALSE)</f>
        <v>Group A</v>
      </c>
      <c r="B591" s="8">
        <v>254721620737</v>
      </c>
      <c r="C591" s="9">
        <v>13012582</v>
      </c>
      <c r="D591" s="10">
        <v>46180.5675462963</v>
      </c>
      <c r="E591" s="11" t="s">
        <v>250</v>
      </c>
      <c r="F591" s="9">
        <v>2.03</v>
      </c>
      <c r="G591" s="9">
        <v>270</v>
      </c>
      <c r="H591" s="9">
        <v>0</v>
      </c>
      <c r="I591" s="9">
        <v>270</v>
      </c>
      <c r="J591" s="9">
        <v>0</v>
      </c>
      <c r="K591" s="9">
        <v>90</v>
      </c>
      <c r="L591" s="9">
        <v>0.68</v>
      </c>
      <c r="M591" s="9">
        <v>90</v>
      </c>
      <c r="N591" s="9">
        <v>0.64</v>
      </c>
      <c r="O591" s="9">
        <v>85.5</v>
      </c>
      <c r="P591" s="9">
        <v>0</v>
      </c>
      <c r="Q591" s="9">
        <v>0</v>
      </c>
    </row>
    <row r="592" s="1" customFormat="1" ht="14.25" hidden="1" spans="1:17">
      <c r="A592" s="1" t="str">
        <f>VLOOKUP(B592,combinate!A:B,2,FALSE)</f>
        <v>Group A</v>
      </c>
      <c r="B592" s="8">
        <v>254705375701</v>
      </c>
      <c r="C592" s="9">
        <v>13125261</v>
      </c>
      <c r="D592" s="10">
        <v>46178.4761689815</v>
      </c>
      <c r="E592" s="12" t="s">
        <v>254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  <c r="M592" s="9">
        <v>0</v>
      </c>
      <c r="N592" s="9">
        <v>0</v>
      </c>
      <c r="O592" s="9">
        <v>0</v>
      </c>
      <c r="P592" s="9">
        <v>0</v>
      </c>
      <c r="Q592" s="9">
        <v>0</v>
      </c>
    </row>
    <row r="593" s="1" customFormat="1" ht="14.25" hidden="1" spans="1:17">
      <c r="A593" s="1" t="str">
        <f>VLOOKUP(B593,combinate!A:B,2,FALSE)</f>
        <v>Group C</v>
      </c>
      <c r="B593" s="8">
        <v>254757853772</v>
      </c>
      <c r="C593" s="9">
        <v>13716069</v>
      </c>
      <c r="D593" s="10">
        <v>46160.0152777778</v>
      </c>
      <c r="E593" s="12" t="s">
        <v>254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9">
        <v>0</v>
      </c>
      <c r="N593" s="9">
        <v>0</v>
      </c>
      <c r="O593" s="9">
        <v>0</v>
      </c>
      <c r="P593" s="9">
        <v>0</v>
      </c>
      <c r="Q593" s="9">
        <v>0</v>
      </c>
    </row>
    <row r="594" s="1" customFormat="1" ht="14.25" hidden="1" spans="1:17">
      <c r="A594" s="1" t="str">
        <f>VLOOKUP(B594,combinate!A:B,2,FALSE)</f>
        <v>Group C</v>
      </c>
      <c r="B594" s="8">
        <v>254704158703</v>
      </c>
      <c r="C594" s="9">
        <v>15361986</v>
      </c>
      <c r="D594" s="10">
        <v>46183.2836805556</v>
      </c>
      <c r="E594" s="11" t="s">
        <v>250</v>
      </c>
      <c r="F594" s="9">
        <v>6.36</v>
      </c>
      <c r="G594" s="9">
        <v>845.26</v>
      </c>
      <c r="H594" s="9">
        <v>0</v>
      </c>
      <c r="I594" s="9">
        <v>845.26</v>
      </c>
      <c r="J594" s="9">
        <v>0</v>
      </c>
      <c r="K594" s="9">
        <v>440.76</v>
      </c>
      <c r="L594" s="9">
        <v>3.31</v>
      </c>
      <c r="M594" s="9">
        <v>440.76</v>
      </c>
      <c r="N594" s="9">
        <v>3.31</v>
      </c>
      <c r="O594" s="9">
        <v>439.85</v>
      </c>
      <c r="P594" s="9">
        <v>0</v>
      </c>
      <c r="Q594" s="9">
        <v>0</v>
      </c>
    </row>
    <row r="595" s="1" customFormat="1" ht="14.25" hidden="1" spans="1:17">
      <c r="A595" s="1" t="str">
        <f>VLOOKUP(B595,combinate!A:B,2,FALSE)</f>
        <v>Group C</v>
      </c>
      <c r="B595" s="8">
        <v>254745459474</v>
      </c>
      <c r="C595" s="9">
        <v>16156727</v>
      </c>
      <c r="D595" s="10">
        <v>46160.0212962963</v>
      </c>
      <c r="E595" s="12" t="s">
        <v>254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  <c r="M595" s="9">
        <v>0</v>
      </c>
      <c r="N595" s="9">
        <v>0</v>
      </c>
      <c r="O595" s="9">
        <v>0</v>
      </c>
      <c r="P595" s="9">
        <v>0</v>
      </c>
      <c r="Q595" s="9">
        <v>0</v>
      </c>
    </row>
    <row r="596" s="1" customFormat="1" ht="14.25" hidden="1" spans="1:17">
      <c r="A596" s="1" t="str">
        <f>VLOOKUP(B596,combinate!A:B,2,FALSE)</f>
        <v>Group C</v>
      </c>
      <c r="B596" s="8">
        <v>254729673790</v>
      </c>
      <c r="C596" s="9">
        <v>16781039</v>
      </c>
      <c r="D596" s="10">
        <v>46163.2185069444</v>
      </c>
      <c r="E596" s="12" t="s">
        <v>254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9">
        <v>0</v>
      </c>
      <c r="N596" s="9">
        <v>0</v>
      </c>
      <c r="O596" s="9">
        <v>0</v>
      </c>
      <c r="P596" s="9">
        <v>0</v>
      </c>
      <c r="Q596" s="9">
        <v>0</v>
      </c>
    </row>
    <row r="597" s="1" customFormat="1" ht="14.25" hidden="1" spans="1:17">
      <c r="A597" s="1" t="str">
        <f>VLOOKUP(B597,combinate!A:B,2,FALSE)</f>
        <v>Group A</v>
      </c>
      <c r="B597" s="8">
        <v>254727855867</v>
      </c>
      <c r="C597" s="9">
        <v>17043271</v>
      </c>
      <c r="D597" s="10">
        <v>46166.3851851852</v>
      </c>
      <c r="E597" s="12" t="s">
        <v>254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9">
        <v>0</v>
      </c>
      <c r="N597" s="9">
        <v>0</v>
      </c>
      <c r="O597" s="9">
        <v>0</v>
      </c>
      <c r="P597" s="9">
        <v>0</v>
      </c>
      <c r="Q597" s="9">
        <v>0</v>
      </c>
    </row>
    <row r="598" s="1" customFormat="1" ht="14.25" hidden="1" spans="1:17">
      <c r="A598" s="1" t="str">
        <f>VLOOKUP(B598,combinate!A:B,2,FALSE)</f>
        <v>Group C</v>
      </c>
      <c r="B598" s="8">
        <v>254748638509</v>
      </c>
      <c r="C598" s="9">
        <v>17349408</v>
      </c>
      <c r="D598" s="10">
        <v>46180.9113078704</v>
      </c>
      <c r="E598" s="11" t="s">
        <v>250</v>
      </c>
      <c r="F598" s="9">
        <v>25.43</v>
      </c>
      <c r="G598" s="9">
        <v>3382</v>
      </c>
      <c r="H598" s="9">
        <v>0</v>
      </c>
      <c r="I598" s="9">
        <v>3382</v>
      </c>
      <c r="J598" s="9">
        <v>0</v>
      </c>
      <c r="K598" s="9">
        <v>-502.23</v>
      </c>
      <c r="L598" s="9">
        <v>-3.78</v>
      </c>
      <c r="M598" s="9">
        <v>-502.23</v>
      </c>
      <c r="N598" s="9">
        <v>3.96</v>
      </c>
      <c r="O598" s="9">
        <v>526.3</v>
      </c>
      <c r="P598" s="9">
        <v>7.26</v>
      </c>
      <c r="Q598" s="9">
        <v>965</v>
      </c>
    </row>
    <row r="599" s="1" customFormat="1" ht="14.25" hidden="1" spans="1:17">
      <c r="A599" s="1" t="str">
        <f>VLOOKUP(B599,combinate!A:B,2,FALSE)</f>
        <v>Group B</v>
      </c>
      <c r="B599" s="8">
        <v>254717518237</v>
      </c>
      <c r="C599" s="9">
        <v>17354293</v>
      </c>
      <c r="D599" s="10">
        <v>46178.6152546296</v>
      </c>
      <c r="E599" s="11" t="s">
        <v>250</v>
      </c>
      <c r="F599" s="9">
        <v>0.35</v>
      </c>
      <c r="G599" s="9">
        <v>47</v>
      </c>
      <c r="H599" s="9">
        <v>47</v>
      </c>
      <c r="I599" s="9">
        <v>0</v>
      </c>
      <c r="J599" s="9">
        <v>47</v>
      </c>
      <c r="K599" s="9">
        <v>0</v>
      </c>
      <c r="L599" s="9">
        <v>0.35</v>
      </c>
      <c r="M599" s="9">
        <v>47</v>
      </c>
      <c r="N599" s="9">
        <v>0.36</v>
      </c>
      <c r="O599" s="9">
        <v>47.5</v>
      </c>
      <c r="P599" s="9">
        <v>0</v>
      </c>
      <c r="Q599" s="9">
        <v>0</v>
      </c>
    </row>
    <row r="600" s="1" customFormat="1" ht="14.25" hidden="1" spans="1:17">
      <c r="A600" s="1" t="str">
        <f>VLOOKUP(B600,combinate!A:B,2,FALSE)</f>
        <v>Group A</v>
      </c>
      <c r="B600" s="8">
        <v>254794006614</v>
      </c>
      <c r="C600" s="9">
        <v>17955140</v>
      </c>
      <c r="D600" s="10">
        <v>46183.7537615741</v>
      </c>
      <c r="E600" s="11" t="s">
        <v>250</v>
      </c>
      <c r="F600" s="9">
        <v>33.57</v>
      </c>
      <c r="G600" s="9">
        <v>4464.9</v>
      </c>
      <c r="H600" s="9">
        <v>0</v>
      </c>
      <c r="I600" s="9">
        <v>4464.9</v>
      </c>
      <c r="J600" s="9">
        <v>0</v>
      </c>
      <c r="K600" s="9">
        <v>286.3</v>
      </c>
      <c r="L600" s="9">
        <v>2.15</v>
      </c>
      <c r="M600" s="9">
        <v>286.3</v>
      </c>
      <c r="N600" s="9">
        <v>2.21</v>
      </c>
      <c r="O600" s="9">
        <v>294.5</v>
      </c>
      <c r="P600" s="9">
        <v>0</v>
      </c>
      <c r="Q600" s="9">
        <v>0</v>
      </c>
    </row>
    <row r="601" s="1" customFormat="1" ht="14.25" hidden="1" spans="1:17">
      <c r="A601" s="1" t="str">
        <f>VLOOKUP(B601,combinate!A:B,2,FALSE)</f>
        <v>Group A</v>
      </c>
      <c r="B601" s="8">
        <v>254718718653</v>
      </c>
      <c r="C601" s="9">
        <v>18358052</v>
      </c>
      <c r="D601" s="10">
        <v>46180.9462962963</v>
      </c>
      <c r="E601" s="12" t="s">
        <v>254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9">
        <v>0</v>
      </c>
      <c r="N601" s="9">
        <v>0</v>
      </c>
      <c r="O601" s="9">
        <v>0</v>
      </c>
      <c r="P601" s="9">
        <v>0</v>
      </c>
      <c r="Q601" s="9">
        <v>0</v>
      </c>
    </row>
    <row r="602" s="1" customFormat="1" ht="14.25" hidden="1" spans="1:17">
      <c r="A602" s="1" t="str">
        <f>VLOOKUP(B602,combinate!A:B,2,FALSE)</f>
        <v>Group C</v>
      </c>
      <c r="B602" s="8">
        <v>254729144332</v>
      </c>
      <c r="C602" s="9">
        <v>18698689</v>
      </c>
      <c r="D602" s="10">
        <v>46160.0838310185</v>
      </c>
      <c r="E602" s="12" t="s">
        <v>254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9">
        <v>0</v>
      </c>
      <c r="N602" s="9">
        <v>0</v>
      </c>
      <c r="O602" s="9">
        <v>0</v>
      </c>
      <c r="P602" s="9">
        <v>0</v>
      </c>
      <c r="Q602" s="9">
        <v>0</v>
      </c>
    </row>
    <row r="603" s="1" customFormat="1" ht="14.25" hidden="1" spans="1:17">
      <c r="A603" s="1" t="str">
        <f>VLOOKUP(B603,combinate!A:B,2,FALSE)</f>
        <v>Group A</v>
      </c>
      <c r="B603" s="8">
        <v>254748657306</v>
      </c>
      <c r="C603" s="9">
        <v>18888250</v>
      </c>
      <c r="D603" s="10">
        <v>46161.5938541667</v>
      </c>
      <c r="E603" s="12" t="s">
        <v>254</v>
      </c>
      <c r="F603" s="9">
        <v>0</v>
      </c>
      <c r="G603" s="9">
        <v>0</v>
      </c>
      <c r="H603" s="9">
        <v>0</v>
      </c>
      <c r="I603" s="9">
        <v>0</v>
      </c>
      <c r="J603" s="9">
        <v>0</v>
      </c>
      <c r="K603" s="9">
        <v>0</v>
      </c>
      <c r="L603" s="9">
        <v>0</v>
      </c>
      <c r="M603" s="9">
        <v>0</v>
      </c>
      <c r="N603" s="9">
        <v>0</v>
      </c>
      <c r="O603" s="9">
        <v>0</v>
      </c>
      <c r="P603" s="9">
        <v>0</v>
      </c>
      <c r="Q603" s="9">
        <v>0</v>
      </c>
    </row>
    <row r="604" s="1" customFormat="1" ht="14.25" hidden="1" spans="1:17">
      <c r="A604" s="1" t="str">
        <f>VLOOKUP(B604,combinate!A:B,2,FALSE)</f>
        <v>Group B</v>
      </c>
      <c r="B604" s="8">
        <v>254712037335</v>
      </c>
      <c r="C604" s="9">
        <v>19589453</v>
      </c>
      <c r="D604" s="10">
        <v>46161.6799189815</v>
      </c>
      <c r="E604" s="12" t="s">
        <v>254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9">
        <v>0</v>
      </c>
      <c r="N604" s="9">
        <v>0</v>
      </c>
      <c r="O604" s="9">
        <v>0</v>
      </c>
      <c r="P604" s="9">
        <v>0</v>
      </c>
      <c r="Q604" s="9">
        <v>0</v>
      </c>
    </row>
    <row r="605" s="1" customFormat="1" ht="14.25" hidden="1" spans="1:17">
      <c r="A605" s="1" t="str">
        <f>VLOOKUP(B605,combinate!A:B,2,FALSE)</f>
        <v>Group A</v>
      </c>
      <c r="B605" s="8">
        <v>254714511213</v>
      </c>
      <c r="C605" s="9">
        <v>19869210</v>
      </c>
      <c r="D605" s="10">
        <v>46160.7045138889</v>
      </c>
      <c r="E605" s="12" t="s">
        <v>254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9">
        <v>0</v>
      </c>
      <c r="N605" s="9">
        <v>0</v>
      </c>
      <c r="O605" s="9">
        <v>0</v>
      </c>
      <c r="P605" s="9">
        <v>0</v>
      </c>
      <c r="Q605" s="9">
        <v>0</v>
      </c>
    </row>
    <row r="606" s="1" customFormat="1" ht="14.25" hidden="1" spans="1:17">
      <c r="A606" s="1" t="str">
        <f>VLOOKUP(B606,combinate!A:B,2,FALSE)</f>
        <v>Group C</v>
      </c>
      <c r="B606" s="8">
        <v>254728234091</v>
      </c>
      <c r="C606" s="9">
        <v>19955929</v>
      </c>
      <c r="D606" s="10">
        <v>46182.7211805556</v>
      </c>
      <c r="E606" s="11" t="s">
        <v>250</v>
      </c>
      <c r="F606" s="9">
        <v>0.67</v>
      </c>
      <c r="G606" s="9">
        <v>89.3</v>
      </c>
      <c r="H606" s="9">
        <v>0</v>
      </c>
      <c r="I606" s="9">
        <v>89.3</v>
      </c>
      <c r="J606" s="9">
        <v>0</v>
      </c>
      <c r="K606" s="9">
        <v>89.3</v>
      </c>
      <c r="L606" s="9">
        <v>0.67</v>
      </c>
      <c r="M606" s="9">
        <v>89.3</v>
      </c>
      <c r="N606" s="9">
        <v>0.67</v>
      </c>
      <c r="O606" s="9">
        <v>89.3</v>
      </c>
      <c r="P606" s="9">
        <v>0</v>
      </c>
      <c r="Q606" s="9">
        <v>0</v>
      </c>
    </row>
    <row r="607" s="1" customFormat="1" ht="14.25" hidden="1" spans="1:17">
      <c r="A607" s="1" t="str">
        <f>VLOOKUP(B607,combinate!A:B,2,FALSE)</f>
        <v>Group C</v>
      </c>
      <c r="B607" s="8">
        <v>254726785034</v>
      </c>
      <c r="C607" s="9">
        <v>20339536</v>
      </c>
      <c r="D607" s="10">
        <v>46161.0561458333</v>
      </c>
      <c r="E607" s="12" t="s">
        <v>254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9">
        <v>0</v>
      </c>
      <c r="N607" s="9">
        <v>0</v>
      </c>
      <c r="O607" s="9">
        <v>0</v>
      </c>
      <c r="P607" s="9">
        <v>0</v>
      </c>
      <c r="Q607" s="9">
        <v>0</v>
      </c>
    </row>
    <row r="608" s="1" customFormat="1" ht="14.25" hidden="1" spans="1:17">
      <c r="A608" s="1" t="str">
        <f>VLOOKUP(B608,combinate!A:B,2,FALSE)</f>
        <v>Group A</v>
      </c>
      <c r="B608" s="8">
        <v>254745165908</v>
      </c>
      <c r="C608" s="9">
        <v>20531102</v>
      </c>
      <c r="D608" s="10">
        <v>46166.8085069444</v>
      </c>
      <c r="E608" s="12" t="s">
        <v>254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9">
        <v>0</v>
      </c>
      <c r="N608" s="9">
        <v>0</v>
      </c>
      <c r="O608" s="9">
        <v>0</v>
      </c>
      <c r="P608" s="9">
        <v>0</v>
      </c>
      <c r="Q608" s="9">
        <v>0</v>
      </c>
    </row>
    <row r="609" s="1" customFormat="1" ht="14.25" hidden="1" spans="1:17">
      <c r="A609" s="1" t="str">
        <f>VLOOKUP(B609,combinate!A:B,2,FALSE)</f>
        <v>Group C</v>
      </c>
      <c r="B609" s="8">
        <v>254727673573</v>
      </c>
      <c r="C609" s="9">
        <v>20565706</v>
      </c>
      <c r="D609" s="10">
        <v>46161.9914930556</v>
      </c>
      <c r="E609" s="12" t="s">
        <v>254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9">
        <v>0</v>
      </c>
      <c r="N609" s="9">
        <v>0</v>
      </c>
      <c r="O609" s="9">
        <v>0</v>
      </c>
      <c r="P609" s="9">
        <v>0</v>
      </c>
      <c r="Q609" s="9">
        <v>0</v>
      </c>
    </row>
    <row r="610" s="1" customFormat="1" ht="14.25" hidden="1" spans="1:17">
      <c r="A610" s="1" t="str">
        <f>VLOOKUP(B610,combinate!A:B,2,FALSE)</f>
        <v>Group C</v>
      </c>
      <c r="B610" s="8">
        <v>254710976519</v>
      </c>
      <c r="C610" s="9">
        <v>20688479</v>
      </c>
      <c r="D610" s="10">
        <v>46161.8842824074</v>
      </c>
      <c r="E610" s="12" t="s">
        <v>254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9">
        <v>0</v>
      </c>
      <c r="N610" s="9">
        <v>0</v>
      </c>
      <c r="O610" s="9">
        <v>0</v>
      </c>
      <c r="P610" s="9">
        <v>0</v>
      </c>
      <c r="Q610" s="9">
        <v>0</v>
      </c>
    </row>
    <row r="611" s="1" customFormat="1" ht="14.25" hidden="1" spans="1:17">
      <c r="A611" s="1" t="str">
        <f>VLOOKUP(B611,combinate!A:B,2,FALSE)</f>
        <v>Group C</v>
      </c>
      <c r="B611" s="8">
        <v>254722495359</v>
      </c>
      <c r="C611" s="9">
        <v>29789</v>
      </c>
      <c r="D611" s="10">
        <v>46178.055462963</v>
      </c>
      <c r="E611" s="12" t="s">
        <v>254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  <c r="M611" s="9">
        <v>0</v>
      </c>
      <c r="N611" s="9">
        <v>0</v>
      </c>
      <c r="O611" s="9">
        <v>0</v>
      </c>
      <c r="P611" s="9">
        <v>0</v>
      </c>
      <c r="Q611" s="9">
        <v>0</v>
      </c>
    </row>
    <row r="612" s="1" customFormat="1" ht="14.25" hidden="1" spans="1:17">
      <c r="A612" s="1" t="str">
        <f>VLOOKUP(B612,combinate!A:B,2,FALSE)</f>
        <v>Group C</v>
      </c>
      <c r="B612" s="8">
        <v>254720144371</v>
      </c>
      <c r="C612" s="9">
        <v>130027</v>
      </c>
      <c r="D612" s="10">
        <v>46179.6645717593</v>
      </c>
      <c r="E612" s="11" t="s">
        <v>250</v>
      </c>
      <c r="F612" s="9">
        <v>1.05</v>
      </c>
      <c r="G612" s="9">
        <v>139</v>
      </c>
      <c r="H612" s="9">
        <v>9</v>
      </c>
      <c r="I612" s="9">
        <v>130</v>
      </c>
      <c r="J612" s="9">
        <v>9</v>
      </c>
      <c r="K612" s="9">
        <v>90</v>
      </c>
      <c r="L612" s="9">
        <v>0.74</v>
      </c>
      <c r="M612" s="9">
        <v>99</v>
      </c>
      <c r="N612" s="9">
        <v>0.68</v>
      </c>
      <c r="O612" s="9">
        <v>90.25</v>
      </c>
      <c r="P612" s="9">
        <v>0</v>
      </c>
      <c r="Q612" s="9">
        <v>0</v>
      </c>
    </row>
    <row r="613" s="1" customFormat="1" ht="14.25" hidden="1" spans="1:17">
      <c r="A613" s="1" t="str">
        <f>VLOOKUP(B613,combinate!A:B,2,FALSE)</f>
        <v>Group A</v>
      </c>
      <c r="B613" s="8">
        <v>254706336147</v>
      </c>
      <c r="C613" s="9">
        <v>342930</v>
      </c>
      <c r="D613" s="10">
        <v>46183.6163078704</v>
      </c>
      <c r="E613" s="12" t="s">
        <v>254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  <c r="M613" s="9">
        <v>0</v>
      </c>
      <c r="N613" s="9">
        <v>0</v>
      </c>
      <c r="O613" s="9">
        <v>0</v>
      </c>
      <c r="P613" s="9">
        <v>0</v>
      </c>
      <c r="Q613" s="9">
        <v>0</v>
      </c>
    </row>
    <row r="614" s="1" customFormat="1" ht="14.25" hidden="1" spans="1:17">
      <c r="A614" s="1" t="str">
        <f>VLOOKUP(B614,combinate!A:B,2,FALSE)</f>
        <v>Group A</v>
      </c>
      <c r="B614" s="8">
        <v>254758816540</v>
      </c>
      <c r="C614" s="9">
        <v>731432</v>
      </c>
      <c r="D614" s="10">
        <v>46161.5367476852</v>
      </c>
      <c r="E614" s="12" t="s">
        <v>254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0</v>
      </c>
      <c r="M614" s="9">
        <v>0</v>
      </c>
      <c r="N614" s="9">
        <v>0</v>
      </c>
      <c r="O614" s="9">
        <v>0</v>
      </c>
      <c r="P614" s="9">
        <v>0</v>
      </c>
      <c r="Q614" s="9">
        <v>0</v>
      </c>
    </row>
    <row r="615" s="1" customFormat="1" ht="14.25" hidden="1" spans="1:17">
      <c r="A615" s="1" t="str">
        <f>VLOOKUP(B615,combinate!A:B,2,FALSE)</f>
        <v>Group C</v>
      </c>
      <c r="B615" s="8">
        <v>254727596655</v>
      </c>
      <c r="C615" s="9">
        <v>1087839</v>
      </c>
      <c r="D615" s="10">
        <v>46162.4780092593</v>
      </c>
      <c r="E615" s="12" t="s">
        <v>254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9">
        <v>0</v>
      </c>
      <c r="N615" s="9">
        <v>0</v>
      </c>
      <c r="O615" s="9">
        <v>0</v>
      </c>
      <c r="P615" s="9">
        <v>0</v>
      </c>
      <c r="Q615" s="9">
        <v>0</v>
      </c>
    </row>
    <row r="616" s="1" customFormat="1" ht="14.25" hidden="1" spans="1:17">
      <c r="A616" s="1" t="str">
        <f>VLOOKUP(B616,combinate!A:B,2,FALSE)</f>
        <v>Group A</v>
      </c>
      <c r="B616" s="8">
        <v>254717758954</v>
      </c>
      <c r="C616" s="9">
        <v>2098932</v>
      </c>
      <c r="D616" s="10">
        <v>46162.7319907407</v>
      </c>
      <c r="E616" s="12" t="s">
        <v>254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9">
        <v>0</v>
      </c>
      <c r="N616" s="9">
        <v>0</v>
      </c>
      <c r="O616" s="9">
        <v>0</v>
      </c>
      <c r="P616" s="9">
        <v>0</v>
      </c>
      <c r="Q616" s="9">
        <v>0</v>
      </c>
    </row>
    <row r="617" s="1" customFormat="1" ht="14.25" hidden="1" spans="1:17">
      <c r="A617" s="1" t="str">
        <f>VLOOKUP(B617,combinate!A:B,2,FALSE)</f>
        <v>Group C</v>
      </c>
      <c r="B617" s="8">
        <v>254728066488</v>
      </c>
      <c r="C617" s="9">
        <v>3147398</v>
      </c>
      <c r="D617" s="10">
        <v>46183.7805208333</v>
      </c>
      <c r="E617" s="11" t="s">
        <v>250</v>
      </c>
      <c r="F617" s="9">
        <v>36.78</v>
      </c>
      <c r="G617" s="9">
        <v>4892</v>
      </c>
      <c r="H617" s="9">
        <v>0</v>
      </c>
      <c r="I617" s="9">
        <v>4892</v>
      </c>
      <c r="J617" s="9">
        <v>0</v>
      </c>
      <c r="K617" s="9">
        <v>362.85</v>
      </c>
      <c r="L617" s="9">
        <v>2.73</v>
      </c>
      <c r="M617" s="9">
        <v>362.85</v>
      </c>
      <c r="N617" s="9">
        <v>12.64</v>
      </c>
      <c r="O617" s="9">
        <v>1681.5</v>
      </c>
      <c r="P617" s="9">
        <v>22.28</v>
      </c>
      <c r="Q617" s="9">
        <v>2962.89</v>
      </c>
    </row>
    <row r="618" s="1" customFormat="1" ht="14.25" hidden="1" spans="1:17">
      <c r="A618" s="1" t="str">
        <f>VLOOKUP(B618,combinate!A:B,2,FALSE)</f>
        <v>Group A</v>
      </c>
      <c r="B618" s="8">
        <v>254726552750</v>
      </c>
      <c r="C618" s="9">
        <v>3908470</v>
      </c>
      <c r="D618" s="10">
        <v>46176.5824305556</v>
      </c>
      <c r="E618" s="12" t="s">
        <v>254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9">
        <v>0</v>
      </c>
      <c r="N618" s="9">
        <v>0</v>
      </c>
      <c r="O618" s="9">
        <v>0</v>
      </c>
      <c r="P618" s="9">
        <v>0</v>
      </c>
      <c r="Q618" s="9">
        <v>0</v>
      </c>
    </row>
    <row r="619" s="1" customFormat="1" ht="14.25" hidden="1" spans="1:17">
      <c r="A619" s="1" t="str">
        <f>VLOOKUP(B619,combinate!A:B,2,FALSE)</f>
        <v>Group C</v>
      </c>
      <c r="B619" s="8">
        <v>254115792654</v>
      </c>
      <c r="C619" s="9">
        <v>8455158</v>
      </c>
      <c r="D619" s="10">
        <v>46182.349849537</v>
      </c>
      <c r="E619" s="11" t="s">
        <v>250</v>
      </c>
      <c r="F619" s="9">
        <v>2.86</v>
      </c>
      <c r="G619" s="9">
        <v>381</v>
      </c>
      <c r="H619" s="9">
        <v>0</v>
      </c>
      <c r="I619" s="9">
        <v>381</v>
      </c>
      <c r="J619" s="9">
        <v>0</v>
      </c>
      <c r="K619" s="9">
        <v>94.46</v>
      </c>
      <c r="L619" s="9">
        <v>0.71</v>
      </c>
      <c r="M619" s="9">
        <v>94.46</v>
      </c>
      <c r="N619" s="9">
        <v>0.71</v>
      </c>
      <c r="O619" s="9">
        <v>94.05</v>
      </c>
      <c r="P619" s="9">
        <v>0</v>
      </c>
      <c r="Q619" s="9">
        <v>0</v>
      </c>
    </row>
    <row r="620" s="1" customFormat="1" ht="14.25" hidden="1" spans="1:17">
      <c r="A620" s="1" t="str">
        <f>VLOOKUP(B620,combinate!A:B,2,FALSE)</f>
        <v>Group C</v>
      </c>
      <c r="B620" s="8">
        <v>254720796675</v>
      </c>
      <c r="C620" s="9">
        <v>8687959</v>
      </c>
      <c r="D620" s="10">
        <v>46183.7533912037</v>
      </c>
      <c r="E620" s="11" t="s">
        <v>250</v>
      </c>
      <c r="F620" s="9">
        <v>12.11</v>
      </c>
      <c r="G620" s="9">
        <v>1610</v>
      </c>
      <c r="H620" s="9">
        <v>0</v>
      </c>
      <c r="I620" s="9">
        <v>1610</v>
      </c>
      <c r="J620" s="9">
        <v>0</v>
      </c>
      <c r="K620" s="9">
        <v>-495</v>
      </c>
      <c r="L620" s="9">
        <v>-3.72</v>
      </c>
      <c r="M620" s="9">
        <v>-495</v>
      </c>
      <c r="N620" s="9">
        <v>2.86</v>
      </c>
      <c r="O620" s="9">
        <v>380</v>
      </c>
      <c r="P620" s="9">
        <v>13.64</v>
      </c>
      <c r="Q620" s="9">
        <v>1813.77</v>
      </c>
    </row>
    <row r="621" s="1" customFormat="1" ht="14.25" hidden="1" spans="1:17">
      <c r="A621" s="1" t="str">
        <f>VLOOKUP(B621,combinate!A:B,2,FALSE)</f>
        <v>Group B</v>
      </c>
      <c r="B621" s="8">
        <v>254742716099</v>
      </c>
      <c r="C621" s="9">
        <v>10542134</v>
      </c>
      <c r="D621" s="10">
        <v>46183.1825694444</v>
      </c>
      <c r="E621" s="11" t="s">
        <v>250</v>
      </c>
      <c r="F621" s="9">
        <v>86.69</v>
      </c>
      <c r="G621" s="9">
        <v>11530</v>
      </c>
      <c r="H621" s="9">
        <v>0</v>
      </c>
      <c r="I621" s="9">
        <v>11530</v>
      </c>
      <c r="J621" s="9">
        <v>0</v>
      </c>
      <c r="K621" s="9">
        <v>1438.5</v>
      </c>
      <c r="L621" s="9">
        <v>10.82</v>
      </c>
      <c r="M621" s="9">
        <v>1438.5</v>
      </c>
      <c r="N621" s="9">
        <v>9.64</v>
      </c>
      <c r="O621" s="9">
        <v>1282.5</v>
      </c>
      <c r="P621" s="9">
        <v>0</v>
      </c>
      <c r="Q621" s="9">
        <v>0</v>
      </c>
    </row>
    <row r="622" s="1" customFormat="1" ht="14.25" hidden="1" spans="1:17">
      <c r="A622" s="1" t="str">
        <f>VLOOKUP(B622,combinate!A:B,2,FALSE)</f>
        <v>Group C</v>
      </c>
      <c r="B622" s="8">
        <v>254795172129</v>
      </c>
      <c r="C622" s="9">
        <v>11533099</v>
      </c>
      <c r="D622" s="10">
        <v>46180.4466203704</v>
      </c>
      <c r="E622" s="12" t="s">
        <v>254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  <c r="L622" s="9">
        <v>0</v>
      </c>
      <c r="M622" s="9">
        <v>0</v>
      </c>
      <c r="N622" s="9">
        <v>0</v>
      </c>
      <c r="O622" s="9">
        <v>0</v>
      </c>
      <c r="P622" s="9">
        <v>0</v>
      </c>
      <c r="Q622" s="9">
        <v>0</v>
      </c>
    </row>
    <row r="623" s="1" customFormat="1" ht="14.25" hidden="1" spans="1:17">
      <c r="A623" s="1" t="str">
        <f>VLOOKUP(B623,combinate!A:B,2,FALSE)</f>
        <v>Group C</v>
      </c>
      <c r="B623" s="8">
        <v>254113240758</v>
      </c>
      <c r="C623" s="9">
        <v>11858149</v>
      </c>
      <c r="D623" s="10">
        <v>46163.7125115741</v>
      </c>
      <c r="E623" s="12" t="s">
        <v>254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9">
        <v>0</v>
      </c>
      <c r="N623" s="9">
        <v>0</v>
      </c>
      <c r="O623" s="9">
        <v>0</v>
      </c>
      <c r="P623" s="9">
        <v>0</v>
      </c>
      <c r="Q623" s="9">
        <v>0</v>
      </c>
    </row>
    <row r="624" s="1" customFormat="1" ht="14.25" hidden="1" spans="1:17">
      <c r="A624" s="1" t="str">
        <f>VLOOKUP(B624,combinate!A:B,2,FALSE)</f>
        <v>Group A</v>
      </c>
      <c r="B624" s="8">
        <v>254728421694</v>
      </c>
      <c r="C624" s="9">
        <v>12275972</v>
      </c>
      <c r="D624" s="10">
        <v>46183.9633217593</v>
      </c>
      <c r="E624" s="11" t="s">
        <v>250</v>
      </c>
      <c r="F624" s="9">
        <v>240.93</v>
      </c>
      <c r="G624" s="9">
        <v>32043.03</v>
      </c>
      <c r="H624" s="9">
        <v>0</v>
      </c>
      <c r="I624" s="9">
        <v>32043.03</v>
      </c>
      <c r="J624" s="9">
        <v>0</v>
      </c>
      <c r="K624" s="9">
        <v>-799.8</v>
      </c>
      <c r="L624" s="9">
        <v>-6.01</v>
      </c>
      <c r="M624" s="9">
        <v>-799.8</v>
      </c>
      <c r="N624" s="9">
        <v>25.21</v>
      </c>
      <c r="O624" s="9">
        <v>3352.55</v>
      </c>
      <c r="P624" s="9">
        <v>29.79</v>
      </c>
      <c r="Q624" s="9">
        <v>3962.45</v>
      </c>
    </row>
    <row r="625" s="1" customFormat="1" ht="14.25" hidden="1" spans="1:17">
      <c r="A625" s="1" t="str">
        <f>VLOOKUP(B625,combinate!A:B,2,FALSE)</f>
        <v>Group C</v>
      </c>
      <c r="B625" s="8">
        <v>254745032967</v>
      </c>
      <c r="C625" s="9">
        <v>12365466</v>
      </c>
      <c r="D625" s="10">
        <v>46166.6543055556</v>
      </c>
      <c r="E625" s="12" t="s">
        <v>254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  <c r="M625" s="9">
        <v>0</v>
      </c>
      <c r="N625" s="9">
        <v>0</v>
      </c>
      <c r="O625" s="9">
        <v>0</v>
      </c>
      <c r="P625" s="9">
        <v>0</v>
      </c>
      <c r="Q625" s="9">
        <v>0</v>
      </c>
    </row>
    <row r="626" s="1" customFormat="1" ht="14.25" hidden="1" spans="1:17">
      <c r="A626" s="1" t="str">
        <f>VLOOKUP(B626,combinate!A:B,2,FALSE)</f>
        <v>Group A</v>
      </c>
      <c r="B626" s="8">
        <v>254110174274</v>
      </c>
      <c r="C626" s="9">
        <v>12849632</v>
      </c>
      <c r="D626" s="10">
        <v>46166.2148611111</v>
      </c>
      <c r="E626" s="12" t="s">
        <v>254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0</v>
      </c>
      <c r="M626" s="9">
        <v>0</v>
      </c>
      <c r="N626" s="9">
        <v>0</v>
      </c>
      <c r="O626" s="9">
        <v>0</v>
      </c>
      <c r="P626" s="9">
        <v>0</v>
      </c>
      <c r="Q626" s="9">
        <v>0</v>
      </c>
    </row>
    <row r="627" s="1" customFormat="1" ht="14.25" hidden="1" spans="1:17">
      <c r="A627" s="1" t="str">
        <f>VLOOKUP(B627,combinate!A:B,2,FALSE)</f>
        <v>Group C</v>
      </c>
      <c r="B627" s="8">
        <v>254748721300</v>
      </c>
      <c r="C627" s="9">
        <v>13283928</v>
      </c>
      <c r="D627" s="10">
        <v>46178.5325810185</v>
      </c>
      <c r="E627" s="12" t="s">
        <v>254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0</v>
      </c>
      <c r="M627" s="9">
        <v>0</v>
      </c>
      <c r="N627" s="9">
        <v>0</v>
      </c>
      <c r="O627" s="9">
        <v>0</v>
      </c>
      <c r="P627" s="9">
        <v>0</v>
      </c>
      <c r="Q627" s="9">
        <v>0</v>
      </c>
    </row>
    <row r="628" s="1" customFormat="1" ht="14.25" hidden="1" spans="1:17">
      <c r="A628" s="1" t="str">
        <f>VLOOKUP(B628,combinate!A:B,2,FALSE)</f>
        <v>Group A</v>
      </c>
      <c r="B628" s="8">
        <v>254741183990</v>
      </c>
      <c r="C628" s="9">
        <v>13374912</v>
      </c>
      <c r="D628" s="10">
        <v>46166.457337963</v>
      </c>
      <c r="E628" s="12" t="s">
        <v>254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  <c r="M628" s="9">
        <v>0</v>
      </c>
      <c r="N628" s="9">
        <v>0</v>
      </c>
      <c r="O628" s="9">
        <v>0</v>
      </c>
      <c r="P628" s="9">
        <v>0</v>
      </c>
      <c r="Q628" s="9">
        <v>0</v>
      </c>
    </row>
    <row r="629" s="1" customFormat="1" ht="14.25" hidden="1" spans="1:17">
      <c r="A629" s="1" t="str">
        <f>VLOOKUP(B629,combinate!A:B,2,FALSE)</f>
        <v>Group C</v>
      </c>
      <c r="B629" s="8">
        <v>254797641344</v>
      </c>
      <c r="C629" s="9">
        <v>13610419</v>
      </c>
      <c r="D629" s="10">
        <v>46184.3983217593</v>
      </c>
      <c r="E629" s="11" t="s">
        <v>250</v>
      </c>
      <c r="F629" s="9">
        <v>2.49</v>
      </c>
      <c r="G629" s="9">
        <v>331</v>
      </c>
      <c r="H629" s="9">
        <v>0</v>
      </c>
      <c r="I629" s="9">
        <v>331</v>
      </c>
      <c r="J629" s="9">
        <v>0</v>
      </c>
      <c r="K629" s="9">
        <v>245.6</v>
      </c>
      <c r="L629" s="9">
        <v>1.85</v>
      </c>
      <c r="M629" s="9">
        <v>245.6</v>
      </c>
      <c r="N629" s="9">
        <v>1.79</v>
      </c>
      <c r="O629" s="9">
        <v>237.5</v>
      </c>
      <c r="P629" s="9">
        <v>0</v>
      </c>
      <c r="Q629" s="9">
        <v>0</v>
      </c>
    </row>
    <row r="630" s="1" customFormat="1" ht="14.25" hidden="1" spans="1:17">
      <c r="A630" s="1" t="str">
        <f>VLOOKUP(B630,combinate!A:B,2,FALSE)</f>
        <v>Group C</v>
      </c>
      <c r="B630" s="8">
        <v>254704359713</v>
      </c>
      <c r="C630" s="9">
        <v>13783887</v>
      </c>
      <c r="D630" s="10">
        <v>46160.7664236111</v>
      </c>
      <c r="E630" s="12" t="s">
        <v>254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9">
        <v>0</v>
      </c>
      <c r="N630" s="9">
        <v>0</v>
      </c>
      <c r="O630" s="9">
        <v>0</v>
      </c>
      <c r="P630" s="9">
        <v>0</v>
      </c>
      <c r="Q630" s="9">
        <v>0</v>
      </c>
    </row>
    <row r="631" s="1" customFormat="1" ht="14.25" hidden="1" spans="1:17">
      <c r="A631" s="1" t="str">
        <f>VLOOKUP(B631,combinate!A:B,2,FALSE)</f>
        <v>Group A</v>
      </c>
      <c r="B631" s="8">
        <v>254745065176</v>
      </c>
      <c r="C631" s="9">
        <v>14024781</v>
      </c>
      <c r="D631" s="10">
        <v>46166.1721296296</v>
      </c>
      <c r="E631" s="12" t="s">
        <v>254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9">
        <v>0</v>
      </c>
      <c r="N631" s="9">
        <v>0</v>
      </c>
      <c r="O631" s="9">
        <v>0</v>
      </c>
      <c r="P631" s="9">
        <v>0</v>
      </c>
      <c r="Q631" s="9">
        <v>0</v>
      </c>
    </row>
    <row r="632" s="1" customFormat="1" ht="14.25" hidden="1" spans="1:17">
      <c r="A632" s="1" t="str">
        <f>VLOOKUP(B632,combinate!A:B,2,FALSE)</f>
        <v>Group C</v>
      </c>
      <c r="B632" s="8">
        <v>254758866282</v>
      </c>
      <c r="C632" s="9">
        <v>15418376</v>
      </c>
      <c r="D632" s="10">
        <v>46162.9225115741</v>
      </c>
      <c r="E632" s="12" t="s">
        <v>254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9">
        <v>0</v>
      </c>
      <c r="N632" s="9">
        <v>0</v>
      </c>
      <c r="O632" s="9">
        <v>0</v>
      </c>
      <c r="P632" s="9">
        <v>0</v>
      </c>
      <c r="Q632" s="9">
        <v>0</v>
      </c>
    </row>
    <row r="633" s="1" customFormat="1" ht="14.25" hidden="1" spans="1:17">
      <c r="A633" s="1" t="str">
        <f>VLOOKUP(B633,combinate!A:B,2,FALSE)</f>
        <v>Group A</v>
      </c>
      <c r="B633" s="8">
        <v>254718317195</v>
      </c>
      <c r="C633" s="9">
        <v>15462671</v>
      </c>
      <c r="D633" s="10">
        <v>46166.418587963</v>
      </c>
      <c r="E633" s="12" t="s">
        <v>254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  <c r="M633" s="9">
        <v>0</v>
      </c>
      <c r="N633" s="9">
        <v>0</v>
      </c>
      <c r="O633" s="9">
        <v>0</v>
      </c>
      <c r="P633" s="9">
        <v>0</v>
      </c>
      <c r="Q633" s="9">
        <v>0</v>
      </c>
    </row>
    <row r="634" s="1" customFormat="1" ht="14.25" hidden="1" spans="1:17">
      <c r="A634" s="1" t="str">
        <f>VLOOKUP(B634,combinate!A:B,2,FALSE)</f>
        <v>Group A</v>
      </c>
      <c r="B634" s="8">
        <v>254720046513</v>
      </c>
      <c r="C634" s="9">
        <v>15864150</v>
      </c>
      <c r="D634" s="10">
        <v>46166.6311111111</v>
      </c>
      <c r="E634" s="12" t="s">
        <v>254</v>
      </c>
      <c r="F634" s="9">
        <v>0</v>
      </c>
      <c r="G634" s="9">
        <v>0</v>
      </c>
      <c r="H634" s="9">
        <v>0</v>
      </c>
      <c r="I634" s="9">
        <v>0</v>
      </c>
      <c r="J634" s="9">
        <v>0</v>
      </c>
      <c r="K634" s="9">
        <v>0</v>
      </c>
      <c r="L634" s="9">
        <v>0</v>
      </c>
      <c r="M634" s="9">
        <v>0</v>
      </c>
      <c r="N634" s="9">
        <v>0</v>
      </c>
      <c r="O634" s="9">
        <v>0</v>
      </c>
      <c r="P634" s="9">
        <v>0</v>
      </c>
      <c r="Q634" s="9">
        <v>0</v>
      </c>
    </row>
    <row r="635" s="1" customFormat="1" ht="14.25" hidden="1" spans="1:17">
      <c r="A635" s="1" t="str">
        <f>VLOOKUP(B635,combinate!A:B,2,FALSE)</f>
        <v>Group B</v>
      </c>
      <c r="B635" s="8">
        <v>254705881860</v>
      </c>
      <c r="C635" s="9">
        <v>15895264</v>
      </c>
      <c r="D635" s="10">
        <v>46160.3012037037</v>
      </c>
      <c r="E635" s="12" t="s">
        <v>254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9">
        <v>0</v>
      </c>
      <c r="N635" s="9">
        <v>0</v>
      </c>
      <c r="O635" s="9">
        <v>0</v>
      </c>
      <c r="P635" s="9">
        <v>0</v>
      </c>
      <c r="Q635" s="9">
        <v>0</v>
      </c>
    </row>
    <row r="636" s="1" customFormat="1" ht="14.25" hidden="1" spans="1:17">
      <c r="A636" s="1" t="str">
        <f>VLOOKUP(B636,combinate!A:B,2,FALSE)</f>
        <v>Group A</v>
      </c>
      <c r="B636" s="8">
        <v>254710702119</v>
      </c>
      <c r="C636" s="9">
        <v>16630581</v>
      </c>
      <c r="D636" s="10">
        <v>46161.7509027778</v>
      </c>
      <c r="E636" s="12" t="s">
        <v>254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9">
        <v>0</v>
      </c>
      <c r="N636" s="9">
        <v>0</v>
      </c>
      <c r="O636" s="9">
        <v>0</v>
      </c>
      <c r="P636" s="9">
        <v>0</v>
      </c>
      <c r="Q636" s="9">
        <v>0</v>
      </c>
    </row>
    <row r="637" s="1" customFormat="1" ht="14.25" hidden="1" spans="1:17">
      <c r="A637" s="1" t="str">
        <f>VLOOKUP(B637,combinate!A:B,2,FALSE)</f>
        <v>Group C</v>
      </c>
      <c r="B637" s="8">
        <v>254116138504</v>
      </c>
      <c r="C637" s="9">
        <v>16735809</v>
      </c>
      <c r="D637" s="10">
        <v>46163.7415046296</v>
      </c>
      <c r="E637" s="12" t="s">
        <v>254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9">
        <v>0</v>
      </c>
      <c r="N637" s="9">
        <v>0</v>
      </c>
      <c r="O637" s="9">
        <v>0</v>
      </c>
      <c r="P637" s="9">
        <v>0</v>
      </c>
      <c r="Q637" s="9">
        <v>0</v>
      </c>
    </row>
    <row r="638" s="1" customFormat="1" ht="14.25" hidden="1" spans="1:17">
      <c r="A638" s="1" t="str">
        <f>VLOOKUP(B638,combinate!A:B,2,FALSE)</f>
        <v>Group B</v>
      </c>
      <c r="B638" s="8">
        <v>254724864149</v>
      </c>
      <c r="C638" s="9">
        <v>16840454</v>
      </c>
      <c r="D638" s="10">
        <v>46177.6220486111</v>
      </c>
      <c r="E638" s="11" t="s">
        <v>250</v>
      </c>
      <c r="F638" s="9">
        <v>0.05</v>
      </c>
      <c r="G638" s="9">
        <v>6</v>
      </c>
      <c r="H638" s="9">
        <v>0</v>
      </c>
      <c r="I638" s="9">
        <v>6</v>
      </c>
      <c r="J638" s="9">
        <v>0</v>
      </c>
      <c r="K638" s="9">
        <v>0.22</v>
      </c>
      <c r="L638" s="9">
        <v>0</v>
      </c>
      <c r="M638" s="9">
        <v>0.22</v>
      </c>
      <c r="N638" s="9">
        <v>0.04</v>
      </c>
      <c r="O638" s="9">
        <v>4.75</v>
      </c>
      <c r="P638" s="9">
        <v>0</v>
      </c>
      <c r="Q638" s="9">
        <v>0</v>
      </c>
    </row>
    <row r="639" s="1" customFormat="1" ht="14.25" hidden="1" spans="1:17">
      <c r="A639" s="1" t="str">
        <f>VLOOKUP(B639,combinate!A:B,2,FALSE)</f>
        <v>Group C</v>
      </c>
      <c r="B639" s="8">
        <v>254792689725</v>
      </c>
      <c r="C639" s="9">
        <v>16885437</v>
      </c>
      <c r="D639" s="10">
        <v>46184.2881365741</v>
      </c>
      <c r="E639" s="11" t="s">
        <v>250</v>
      </c>
      <c r="F639" s="9">
        <v>106.02</v>
      </c>
      <c r="G639" s="9">
        <v>14100.13</v>
      </c>
      <c r="H639" s="9">
        <v>0</v>
      </c>
      <c r="I639" s="9">
        <v>14100.13</v>
      </c>
      <c r="J639" s="9">
        <v>0</v>
      </c>
      <c r="K639" s="9">
        <v>692.3</v>
      </c>
      <c r="L639" s="9">
        <v>5.21</v>
      </c>
      <c r="M639" s="9">
        <v>692.3</v>
      </c>
      <c r="N639" s="9">
        <v>7.39</v>
      </c>
      <c r="O639" s="9">
        <v>982.3</v>
      </c>
      <c r="P639" s="9">
        <v>12.42</v>
      </c>
      <c r="Q639" s="9">
        <v>1652.12</v>
      </c>
    </row>
    <row r="640" s="1" customFormat="1" ht="14.25" hidden="1" spans="1:17">
      <c r="A640" s="1" t="str">
        <f>VLOOKUP(B640,combinate!A:B,2,FALSE)</f>
        <v>Group C</v>
      </c>
      <c r="B640" s="8">
        <v>254746961975</v>
      </c>
      <c r="C640" s="9">
        <v>17495437</v>
      </c>
      <c r="D640" s="10">
        <v>46166.8023148148</v>
      </c>
      <c r="E640" s="12" t="s">
        <v>254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9">
        <v>0</v>
      </c>
      <c r="N640" s="9">
        <v>0</v>
      </c>
      <c r="O640" s="9">
        <v>0</v>
      </c>
      <c r="P640" s="9">
        <v>0</v>
      </c>
      <c r="Q640" s="9">
        <v>0</v>
      </c>
    </row>
    <row r="641" s="1" customFormat="1" ht="14.25" hidden="1" spans="1:17">
      <c r="A641" s="1" t="str">
        <f>VLOOKUP(B641,combinate!A:B,2,FALSE)</f>
        <v>Group C</v>
      </c>
      <c r="B641" s="8">
        <v>254750057497</v>
      </c>
      <c r="C641" s="9">
        <v>18250728</v>
      </c>
      <c r="D641" s="10">
        <v>46179.7583680556</v>
      </c>
      <c r="E641" s="11" t="s">
        <v>250</v>
      </c>
      <c r="F641" s="9">
        <v>9.62</v>
      </c>
      <c r="G641" s="9">
        <v>1280</v>
      </c>
      <c r="H641" s="9">
        <v>0</v>
      </c>
      <c r="I641" s="9">
        <v>1280</v>
      </c>
      <c r="J641" s="9">
        <v>0</v>
      </c>
      <c r="K641" s="9">
        <v>372.5</v>
      </c>
      <c r="L641" s="9">
        <v>2.8</v>
      </c>
      <c r="M641" s="9">
        <v>372.5</v>
      </c>
      <c r="N641" s="9">
        <v>2</v>
      </c>
      <c r="O641" s="9">
        <v>266</v>
      </c>
      <c r="P641" s="9">
        <v>0</v>
      </c>
      <c r="Q641" s="9">
        <v>0</v>
      </c>
    </row>
    <row r="642" s="1" customFormat="1" ht="14.25" hidden="1" spans="1:17">
      <c r="A642" s="1" t="str">
        <f>VLOOKUP(B642,combinate!A:B,2,FALSE)</f>
        <v>Group A</v>
      </c>
      <c r="B642" s="8">
        <v>254728525727</v>
      </c>
      <c r="C642" s="9">
        <v>18847660</v>
      </c>
      <c r="D642" s="10">
        <v>46182.405462963</v>
      </c>
      <c r="E642" s="11" t="s">
        <v>250</v>
      </c>
      <c r="F642" s="9">
        <v>5.44</v>
      </c>
      <c r="G642" s="9">
        <v>724</v>
      </c>
      <c r="H642" s="9">
        <v>0</v>
      </c>
      <c r="I642" s="9">
        <v>724</v>
      </c>
      <c r="J642" s="9">
        <v>0</v>
      </c>
      <c r="K642" s="9">
        <v>370.52</v>
      </c>
      <c r="L642" s="9">
        <v>2.79</v>
      </c>
      <c r="M642" s="9">
        <v>370.52</v>
      </c>
      <c r="N642" s="9">
        <v>2.79</v>
      </c>
      <c r="O642" s="9">
        <v>370.5</v>
      </c>
      <c r="P642" s="9">
        <v>0</v>
      </c>
      <c r="Q642" s="9">
        <v>0</v>
      </c>
    </row>
    <row r="643" s="1" customFormat="1" ht="14.25" hidden="1" spans="1:17">
      <c r="A643" s="1" t="str">
        <f>VLOOKUP(B643,combinate!A:B,2,FALSE)</f>
        <v>Group A</v>
      </c>
      <c r="B643" s="8">
        <v>254741423183</v>
      </c>
      <c r="C643" s="9">
        <v>19420552</v>
      </c>
      <c r="D643" s="10">
        <v>46183.9346990741</v>
      </c>
      <c r="E643" s="11" t="s">
        <v>250</v>
      </c>
      <c r="F643" s="9">
        <v>93.61</v>
      </c>
      <c r="G643" s="9">
        <v>12450</v>
      </c>
      <c r="H643" s="9">
        <v>0</v>
      </c>
      <c r="I643" s="9">
        <v>12450</v>
      </c>
      <c r="J643" s="9">
        <v>0</v>
      </c>
      <c r="K643" s="9">
        <v>-3019.9</v>
      </c>
      <c r="L643" s="9">
        <v>-22.71</v>
      </c>
      <c r="M643" s="9">
        <v>-3019.9</v>
      </c>
      <c r="N643" s="9">
        <v>44.07</v>
      </c>
      <c r="O643" s="9">
        <v>5861.5</v>
      </c>
      <c r="P643" s="9">
        <v>63.62</v>
      </c>
      <c r="Q643" s="9">
        <v>8461.19</v>
      </c>
    </row>
    <row r="644" s="1" customFormat="1" ht="14.25" hidden="1" spans="1:17">
      <c r="A644" s="1" t="str">
        <f>VLOOKUP(B644,combinate!A:B,2,FALSE)</f>
        <v>Group B</v>
      </c>
      <c r="B644" s="8">
        <v>254711464717</v>
      </c>
      <c r="C644" s="9">
        <v>19610105</v>
      </c>
      <c r="D644" s="10">
        <v>46161.8930787037</v>
      </c>
      <c r="E644" s="12" t="s">
        <v>254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9">
        <v>0</v>
      </c>
      <c r="N644" s="9">
        <v>0</v>
      </c>
      <c r="O644" s="9">
        <v>0</v>
      </c>
      <c r="P644" s="9">
        <v>0</v>
      </c>
      <c r="Q644" s="9">
        <v>0</v>
      </c>
    </row>
    <row r="645" s="1" customFormat="1" ht="14.25" hidden="1" spans="1:17">
      <c r="A645" s="1" t="str">
        <f>VLOOKUP(B645,combinate!A:B,2,FALSE)</f>
        <v>Group C</v>
      </c>
      <c r="B645" s="8">
        <v>254740968402</v>
      </c>
      <c r="C645" s="9">
        <v>20149006</v>
      </c>
      <c r="D645" s="10">
        <v>46182.2180671296</v>
      </c>
      <c r="E645" s="11" t="s">
        <v>250</v>
      </c>
      <c r="F645" s="9">
        <v>26.73</v>
      </c>
      <c r="G645" s="9">
        <v>3555</v>
      </c>
      <c r="H645" s="9">
        <v>0</v>
      </c>
      <c r="I645" s="9">
        <v>3555</v>
      </c>
      <c r="J645" s="9">
        <v>0</v>
      </c>
      <c r="K645" s="9">
        <v>-2535.58</v>
      </c>
      <c r="L645" s="9">
        <v>-19.06</v>
      </c>
      <c r="M645" s="9">
        <v>-2535.58</v>
      </c>
      <c r="N645" s="9">
        <v>4.12</v>
      </c>
      <c r="O645" s="9">
        <v>548.15</v>
      </c>
      <c r="P645" s="9">
        <v>24.44</v>
      </c>
      <c r="Q645" s="9">
        <v>3250</v>
      </c>
    </row>
    <row r="646" s="1" customFormat="1" ht="14.25" hidden="1" spans="1:17">
      <c r="A646" s="1" t="str">
        <f>VLOOKUP(B646,combinate!A:B,2,FALSE)</f>
        <v>Group C</v>
      </c>
      <c r="B646" s="8">
        <v>254717521940</v>
      </c>
      <c r="C646" s="9">
        <v>20196936</v>
      </c>
      <c r="D646" s="10">
        <v>46163.4394212963</v>
      </c>
      <c r="E646" s="12" t="s">
        <v>254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9">
        <v>0</v>
      </c>
      <c r="N646" s="9">
        <v>0</v>
      </c>
      <c r="O646" s="9">
        <v>0</v>
      </c>
      <c r="P646" s="9">
        <v>0</v>
      </c>
      <c r="Q646" s="9">
        <v>0</v>
      </c>
    </row>
    <row r="647" s="1" customFormat="1" ht="14.25" hidden="1" spans="1:17">
      <c r="A647" s="1" t="str">
        <f>VLOOKUP(B647,combinate!A:B,2,FALSE)</f>
        <v>Group C</v>
      </c>
      <c r="B647" s="8">
        <v>254700114311</v>
      </c>
      <c r="C647" s="9">
        <v>20276979</v>
      </c>
      <c r="D647" s="10">
        <v>46160.6947685185</v>
      </c>
      <c r="E647" s="12" t="s">
        <v>254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9">
        <v>0</v>
      </c>
      <c r="N647" s="9">
        <v>0</v>
      </c>
      <c r="O647" s="9">
        <v>0</v>
      </c>
      <c r="P647" s="9">
        <v>0</v>
      </c>
      <c r="Q647" s="9">
        <v>0</v>
      </c>
    </row>
    <row r="648" s="1" customFormat="1" ht="14.25" hidden="1" spans="1:17">
      <c r="A648" s="1" t="str">
        <f>VLOOKUP(B648,combinate!A:B,2,FALSE)</f>
        <v>Group A</v>
      </c>
      <c r="B648" s="8">
        <v>254757846804</v>
      </c>
      <c r="C648" s="9">
        <v>20415890</v>
      </c>
      <c r="D648" s="10">
        <v>46179.2559953704</v>
      </c>
      <c r="E648" s="12" t="s">
        <v>254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9">
        <v>0</v>
      </c>
      <c r="N648" s="9">
        <v>0</v>
      </c>
      <c r="O648" s="9">
        <v>0</v>
      </c>
      <c r="P648" s="9">
        <v>0</v>
      </c>
      <c r="Q648" s="9">
        <v>0</v>
      </c>
    </row>
    <row r="649" s="1" customFormat="1" ht="14.25" hidden="1" spans="1:17">
      <c r="A649" s="1" t="str">
        <f>VLOOKUP(B649,combinate!A:B,2,FALSE)</f>
        <v>Group C</v>
      </c>
      <c r="B649" s="8">
        <v>254720402664</v>
      </c>
      <c r="C649" s="9">
        <v>20547639</v>
      </c>
      <c r="D649" s="10">
        <v>46166.9274074074</v>
      </c>
      <c r="E649" s="12" t="s">
        <v>254</v>
      </c>
      <c r="F649" s="9">
        <v>0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  <c r="M649" s="9">
        <v>0</v>
      </c>
      <c r="N649" s="9">
        <v>0</v>
      </c>
      <c r="O649" s="9">
        <v>0</v>
      </c>
      <c r="P649" s="9">
        <v>0</v>
      </c>
      <c r="Q649" s="9">
        <v>0</v>
      </c>
    </row>
    <row r="650" s="1" customFormat="1" ht="14.25" hidden="1" spans="1:17">
      <c r="A650" s="1" t="str">
        <f>VLOOKUP(B650,combinate!A:B,2,FALSE)</f>
        <v>Group C</v>
      </c>
      <c r="B650" s="8">
        <v>254741955930</v>
      </c>
      <c r="C650" s="9">
        <v>151649</v>
      </c>
      <c r="D650" s="10">
        <v>46182.7154398148</v>
      </c>
      <c r="E650" s="12" t="s">
        <v>254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9">
        <v>0</v>
      </c>
      <c r="N650" s="9">
        <v>0</v>
      </c>
      <c r="O650" s="9">
        <v>0</v>
      </c>
      <c r="P650" s="9">
        <v>0</v>
      </c>
      <c r="Q650" s="9">
        <v>0</v>
      </c>
    </row>
    <row r="651" s="1" customFormat="1" ht="14.25" hidden="1" spans="1:17">
      <c r="A651" s="1" t="str">
        <f>VLOOKUP(B651,combinate!A:B,2,FALSE)</f>
        <v>Group A</v>
      </c>
      <c r="B651" s="8">
        <v>254707502701</v>
      </c>
      <c r="C651" s="9">
        <v>959901</v>
      </c>
      <c r="D651" s="10">
        <v>46184.060787037</v>
      </c>
      <c r="E651" s="11" t="s">
        <v>250</v>
      </c>
      <c r="F651" s="9">
        <v>0.98</v>
      </c>
      <c r="G651" s="9">
        <v>130</v>
      </c>
      <c r="H651" s="9">
        <v>0</v>
      </c>
      <c r="I651" s="9">
        <v>130</v>
      </c>
      <c r="J651" s="9">
        <v>0</v>
      </c>
      <c r="K651" s="9">
        <v>90</v>
      </c>
      <c r="L651" s="9">
        <v>0.68</v>
      </c>
      <c r="M651" s="9">
        <v>90</v>
      </c>
      <c r="N651" s="9">
        <v>0.69</v>
      </c>
      <c r="O651" s="9">
        <v>91.2</v>
      </c>
      <c r="P651" s="9">
        <v>0</v>
      </c>
      <c r="Q651" s="9">
        <v>0</v>
      </c>
    </row>
    <row r="652" s="1" customFormat="1" ht="14.25" hidden="1" spans="1:17">
      <c r="A652" s="1" t="str">
        <f>VLOOKUP(B652,combinate!A:B,2,FALSE)</f>
        <v>Group C</v>
      </c>
      <c r="B652" s="8">
        <v>254705284360</v>
      </c>
      <c r="C652" s="9">
        <v>2282736</v>
      </c>
      <c r="D652" s="10">
        <v>46183.709224537</v>
      </c>
      <c r="E652" s="11" t="s">
        <v>250</v>
      </c>
      <c r="F652" s="9">
        <v>19.25</v>
      </c>
      <c r="G652" s="9">
        <v>2560</v>
      </c>
      <c r="H652" s="9">
        <v>0</v>
      </c>
      <c r="I652" s="9">
        <v>2560</v>
      </c>
      <c r="J652" s="9">
        <v>0</v>
      </c>
      <c r="K652" s="9">
        <v>346.6</v>
      </c>
      <c r="L652" s="9">
        <v>2.61</v>
      </c>
      <c r="M652" s="9">
        <v>346.6</v>
      </c>
      <c r="N652" s="9">
        <v>0.68</v>
      </c>
      <c r="O652" s="9">
        <v>90.25</v>
      </c>
      <c r="P652" s="9">
        <v>1.39</v>
      </c>
      <c r="Q652" s="9">
        <v>184.55</v>
      </c>
    </row>
    <row r="653" s="1" customFormat="1" ht="14.25" hidden="1" spans="1:17">
      <c r="A653" s="1" t="str">
        <f>VLOOKUP(B653,combinate!A:B,2,FALSE)</f>
        <v>Group C</v>
      </c>
      <c r="B653" s="8">
        <v>254720082630</v>
      </c>
      <c r="C653" s="9">
        <v>2620599</v>
      </c>
      <c r="D653" s="10">
        <v>46160.2135185185</v>
      </c>
      <c r="E653" s="12" t="s">
        <v>254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9">
        <v>0</v>
      </c>
      <c r="N653" s="9">
        <v>0</v>
      </c>
      <c r="O653" s="9">
        <v>0</v>
      </c>
      <c r="P653" s="9">
        <v>0</v>
      </c>
      <c r="Q653" s="9">
        <v>0</v>
      </c>
    </row>
    <row r="654" s="1" customFormat="1" ht="14.25" hidden="1" spans="1:17">
      <c r="A654" s="1" t="str">
        <f>VLOOKUP(B654,combinate!A:B,2,FALSE)</f>
        <v>Group A</v>
      </c>
      <c r="B654" s="8">
        <v>254794966115</v>
      </c>
      <c r="C654" s="9">
        <v>2633202</v>
      </c>
      <c r="D654" s="10">
        <v>46180.4100925926</v>
      </c>
      <c r="E654" s="11" t="s">
        <v>250</v>
      </c>
      <c r="F654" s="9">
        <v>0</v>
      </c>
      <c r="G654" s="9">
        <v>0.14</v>
      </c>
      <c r="H654" s="9">
        <v>0</v>
      </c>
      <c r="I654" s="9">
        <v>0.14</v>
      </c>
      <c r="J654" s="9">
        <v>0</v>
      </c>
      <c r="K654" s="9">
        <v>0.14</v>
      </c>
      <c r="L654" s="9">
        <v>0</v>
      </c>
      <c r="M654" s="9">
        <v>0.14</v>
      </c>
      <c r="N654" s="9">
        <v>0</v>
      </c>
      <c r="O654" s="9">
        <v>0</v>
      </c>
      <c r="P654" s="9">
        <v>0</v>
      </c>
      <c r="Q654" s="9">
        <v>0</v>
      </c>
    </row>
    <row r="655" s="1" customFormat="1" ht="14.25" hidden="1" spans="1:17">
      <c r="A655" s="1" t="str">
        <f>VLOOKUP(B655,combinate!A:B,2,FALSE)</f>
        <v>Group A</v>
      </c>
      <c r="B655" s="8">
        <v>254711357330</v>
      </c>
      <c r="C655" s="9">
        <v>4841172</v>
      </c>
      <c r="D655" s="10">
        <v>46162.3054513889</v>
      </c>
      <c r="E655" s="12" t="s">
        <v>254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  <c r="M655" s="9">
        <v>0</v>
      </c>
      <c r="N655" s="9">
        <v>0</v>
      </c>
      <c r="O655" s="9">
        <v>0</v>
      </c>
      <c r="P655" s="9">
        <v>0</v>
      </c>
      <c r="Q655" s="9">
        <v>0</v>
      </c>
    </row>
    <row r="656" s="1" customFormat="1" ht="14.25" hidden="1" spans="1:17">
      <c r="A656" s="1" t="str">
        <f>VLOOKUP(B656,combinate!A:B,2,FALSE)</f>
        <v>Group A</v>
      </c>
      <c r="B656" s="8">
        <v>254790925761</v>
      </c>
      <c r="C656" s="9">
        <v>11224712</v>
      </c>
      <c r="D656" s="10">
        <v>46183.7622222222</v>
      </c>
      <c r="E656" s="12" t="s">
        <v>254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9">
        <v>0</v>
      </c>
      <c r="N656" s="9">
        <v>0</v>
      </c>
      <c r="O656" s="9">
        <v>0</v>
      </c>
      <c r="P656" s="9">
        <v>0</v>
      </c>
      <c r="Q656" s="9">
        <v>0</v>
      </c>
    </row>
    <row r="657" s="1" customFormat="1" ht="14.25" hidden="1" spans="1:17">
      <c r="A657" s="1" t="str">
        <f>VLOOKUP(B657,combinate!A:B,2,FALSE)</f>
        <v>Group C</v>
      </c>
      <c r="B657" s="8">
        <v>254715500402</v>
      </c>
      <c r="C657" s="9">
        <v>11622627</v>
      </c>
      <c r="D657" s="10">
        <v>46160.7702199074</v>
      </c>
      <c r="E657" s="12" t="s">
        <v>254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9">
        <v>0</v>
      </c>
      <c r="N657" s="9">
        <v>0</v>
      </c>
      <c r="O657" s="9">
        <v>0</v>
      </c>
      <c r="P657" s="9">
        <v>0</v>
      </c>
      <c r="Q657" s="9">
        <v>0</v>
      </c>
    </row>
    <row r="658" s="1" customFormat="1" ht="14.25" hidden="1" spans="1:17">
      <c r="A658" s="1" t="str">
        <f>VLOOKUP(B658,combinate!A:B,2,FALSE)</f>
        <v>Group B</v>
      </c>
      <c r="B658" s="8">
        <v>254722811615</v>
      </c>
      <c r="C658" s="9">
        <v>12050133</v>
      </c>
      <c r="D658" s="10">
        <v>46183.8427199074</v>
      </c>
      <c r="E658" s="11" t="s">
        <v>250</v>
      </c>
      <c r="F658" s="9">
        <v>26.7</v>
      </c>
      <c r="G658" s="9">
        <v>3550.5</v>
      </c>
      <c r="H658" s="9">
        <v>0</v>
      </c>
      <c r="I658" s="9">
        <v>3550.5</v>
      </c>
      <c r="J658" s="9">
        <v>0</v>
      </c>
      <c r="K658" s="9">
        <v>589.38</v>
      </c>
      <c r="L658" s="9">
        <v>4.43</v>
      </c>
      <c r="M658" s="9">
        <v>589.38</v>
      </c>
      <c r="N658" s="9">
        <v>4.44</v>
      </c>
      <c r="O658" s="9">
        <v>589.95</v>
      </c>
      <c r="P658" s="9">
        <v>0</v>
      </c>
      <c r="Q658" s="9">
        <v>0</v>
      </c>
    </row>
    <row r="659" s="1" customFormat="1" ht="14.25" hidden="1" spans="1:17">
      <c r="A659" s="1" t="str">
        <f>VLOOKUP(B659,combinate!A:B,2,FALSE)</f>
        <v>Group A</v>
      </c>
      <c r="B659" s="8">
        <v>254710269121</v>
      </c>
      <c r="C659" s="9">
        <v>13247522</v>
      </c>
      <c r="D659" s="10">
        <v>46182.6449884259</v>
      </c>
      <c r="E659" s="12" t="s">
        <v>254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9">
        <v>0</v>
      </c>
      <c r="N659" s="9">
        <v>0</v>
      </c>
      <c r="O659" s="9">
        <v>0</v>
      </c>
      <c r="P659" s="9">
        <v>0</v>
      </c>
      <c r="Q659" s="9">
        <v>0</v>
      </c>
    </row>
    <row r="660" s="1" customFormat="1" ht="14.25" hidden="1" spans="1:17">
      <c r="A660" s="1" t="str">
        <f>VLOOKUP(B660,combinate!A:B,2,FALSE)</f>
        <v>Group C</v>
      </c>
      <c r="B660" s="8">
        <v>254741989458</v>
      </c>
      <c r="C660" s="9">
        <v>13405287</v>
      </c>
      <c r="D660" s="10">
        <v>46182.6084259259</v>
      </c>
      <c r="E660" s="11" t="s">
        <v>250</v>
      </c>
      <c r="F660" s="9">
        <v>1.8</v>
      </c>
      <c r="G660" s="9">
        <v>240</v>
      </c>
      <c r="H660" s="9">
        <v>0</v>
      </c>
      <c r="I660" s="9">
        <v>240</v>
      </c>
      <c r="J660" s="9">
        <v>0</v>
      </c>
      <c r="K660" s="9">
        <v>169.5</v>
      </c>
      <c r="L660" s="9">
        <v>1.27</v>
      </c>
      <c r="M660" s="9">
        <v>169.5</v>
      </c>
      <c r="N660" s="9">
        <v>1.29</v>
      </c>
      <c r="O660" s="9">
        <v>171</v>
      </c>
      <c r="P660" s="9">
        <v>0</v>
      </c>
      <c r="Q660" s="9">
        <v>0</v>
      </c>
    </row>
    <row r="661" s="1" customFormat="1" ht="14.25" hidden="1" spans="1:17">
      <c r="A661" s="1" t="str">
        <f>VLOOKUP(B661,combinate!A:B,2,FALSE)</f>
        <v>Group B</v>
      </c>
      <c r="B661" s="8">
        <v>254748781832</v>
      </c>
      <c r="C661" s="9">
        <v>15191613</v>
      </c>
      <c r="D661" s="10">
        <v>46160.2987384259</v>
      </c>
      <c r="E661" s="12" t="s">
        <v>254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9">
        <v>0</v>
      </c>
      <c r="N661" s="9">
        <v>0</v>
      </c>
      <c r="O661" s="9">
        <v>0</v>
      </c>
      <c r="P661" s="9">
        <v>0</v>
      </c>
      <c r="Q661" s="9">
        <v>0</v>
      </c>
    </row>
    <row r="662" s="1" customFormat="1" ht="14.25" hidden="1" spans="1:17">
      <c r="A662" s="1" t="str">
        <f>VLOOKUP(B662,combinate!A:B,2,FALSE)</f>
        <v>Group C</v>
      </c>
      <c r="B662" s="8">
        <v>254116203844</v>
      </c>
      <c r="C662" s="9">
        <v>15510988</v>
      </c>
      <c r="D662" s="10">
        <v>46166.1997222222</v>
      </c>
      <c r="E662" s="12" t="s">
        <v>254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9">
        <v>0</v>
      </c>
      <c r="N662" s="9">
        <v>0</v>
      </c>
      <c r="O662" s="9">
        <v>0</v>
      </c>
      <c r="P662" s="9">
        <v>0</v>
      </c>
      <c r="Q662" s="9">
        <v>0</v>
      </c>
    </row>
    <row r="663" s="1" customFormat="1" ht="14.25" spans="1:17">
      <c r="A663" s="1" t="str">
        <f>VLOOKUP(B663,combinate!A:B,2,FALSE)</f>
        <v>Group C</v>
      </c>
      <c r="B663" s="8">
        <v>254707483532</v>
      </c>
      <c r="C663" s="9">
        <v>16248466</v>
      </c>
      <c r="D663" s="10">
        <v>46183.6522569444</v>
      </c>
      <c r="E663" s="11" t="s">
        <v>250</v>
      </c>
      <c r="F663" s="9">
        <v>587.85</v>
      </c>
      <c r="G663" s="9">
        <v>78184</v>
      </c>
      <c r="H663" s="9">
        <v>0</v>
      </c>
      <c r="I663" s="9">
        <v>78184</v>
      </c>
      <c r="J663" s="9">
        <v>0</v>
      </c>
      <c r="K663" s="9">
        <v>1007</v>
      </c>
      <c r="L663" s="9">
        <v>7.57</v>
      </c>
      <c r="M663" s="9">
        <v>1007</v>
      </c>
      <c r="N663" s="9">
        <v>49</v>
      </c>
      <c r="O663" s="9">
        <v>6517</v>
      </c>
      <c r="P663" s="9">
        <v>105.54</v>
      </c>
      <c r="Q663" s="9">
        <v>14036.67</v>
      </c>
    </row>
    <row r="664" s="1" customFormat="1" ht="14.25" hidden="1" spans="1:17">
      <c r="A664" s="1" t="str">
        <f>VLOOKUP(B664,combinate!A:B,2,FALSE)</f>
        <v>Group B</v>
      </c>
      <c r="B664" s="8">
        <v>254719510946</v>
      </c>
      <c r="C664" s="9">
        <v>16728953</v>
      </c>
      <c r="D664" s="10">
        <v>46160.8144444444</v>
      </c>
      <c r="E664" s="12" t="s">
        <v>254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9">
        <v>0</v>
      </c>
      <c r="N664" s="9">
        <v>0</v>
      </c>
      <c r="O664" s="9">
        <v>0</v>
      </c>
      <c r="P664" s="9">
        <v>0</v>
      </c>
      <c r="Q664" s="9">
        <v>0</v>
      </c>
    </row>
    <row r="665" s="1" customFormat="1" ht="14.25" hidden="1" spans="1:17">
      <c r="A665" s="1" t="str">
        <f>VLOOKUP(B665,combinate!A:B,2,FALSE)</f>
        <v>Group C</v>
      </c>
      <c r="B665" s="8">
        <v>254721248123</v>
      </c>
      <c r="C665" s="9">
        <v>16842829</v>
      </c>
      <c r="D665" s="10">
        <v>46166.4901736111</v>
      </c>
      <c r="E665" s="12" t="s">
        <v>254</v>
      </c>
      <c r="F665" s="9">
        <v>0</v>
      </c>
      <c r="G665" s="9">
        <v>0</v>
      </c>
      <c r="H665" s="9">
        <v>0</v>
      </c>
      <c r="I665" s="9">
        <v>0</v>
      </c>
      <c r="J665" s="9">
        <v>0</v>
      </c>
      <c r="K665" s="9">
        <v>0</v>
      </c>
      <c r="L665" s="9">
        <v>0</v>
      </c>
      <c r="M665" s="9">
        <v>0</v>
      </c>
      <c r="N665" s="9">
        <v>0</v>
      </c>
      <c r="O665" s="9">
        <v>0</v>
      </c>
      <c r="P665" s="9">
        <v>0</v>
      </c>
      <c r="Q665" s="9">
        <v>0</v>
      </c>
    </row>
    <row r="666" s="1" customFormat="1" ht="14.25" hidden="1" spans="1:17">
      <c r="A666" s="1" t="str">
        <f>VLOOKUP(B666,combinate!A:B,2,FALSE)</f>
        <v>Group C</v>
      </c>
      <c r="B666" s="8">
        <v>254726203784</v>
      </c>
      <c r="C666" s="9">
        <v>16935977</v>
      </c>
      <c r="D666" s="10">
        <v>46182.34875</v>
      </c>
      <c r="E666" s="12" t="s">
        <v>254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9">
        <v>0</v>
      </c>
      <c r="N666" s="9">
        <v>0</v>
      </c>
      <c r="O666" s="9">
        <v>0</v>
      </c>
      <c r="P666" s="9">
        <v>0</v>
      </c>
      <c r="Q666" s="9">
        <v>0</v>
      </c>
    </row>
    <row r="667" s="1" customFormat="1" ht="14.25" hidden="1" spans="1:17">
      <c r="A667" s="1" t="str">
        <f>VLOOKUP(B667,combinate!A:B,2,FALSE)</f>
        <v>Group A</v>
      </c>
      <c r="B667" s="8">
        <v>254715722490</v>
      </c>
      <c r="C667" s="9">
        <v>17023880</v>
      </c>
      <c r="D667" s="10">
        <v>46181.7924884259</v>
      </c>
      <c r="E667" s="11" t="s">
        <v>250</v>
      </c>
      <c r="F667" s="9">
        <v>2.65</v>
      </c>
      <c r="G667" s="9">
        <v>352</v>
      </c>
      <c r="H667" s="9">
        <v>0</v>
      </c>
      <c r="I667" s="9">
        <v>352</v>
      </c>
      <c r="J667" s="9">
        <v>0</v>
      </c>
      <c r="K667" s="9">
        <v>173.8</v>
      </c>
      <c r="L667" s="9">
        <v>1.31</v>
      </c>
      <c r="M667" s="9">
        <v>173.8</v>
      </c>
      <c r="N667" s="9">
        <v>1.32</v>
      </c>
      <c r="O667" s="9">
        <v>175.75</v>
      </c>
      <c r="P667" s="9">
        <v>0</v>
      </c>
      <c r="Q667" s="9">
        <v>0</v>
      </c>
    </row>
    <row r="668" s="1" customFormat="1" ht="14.25" hidden="1" spans="1:17">
      <c r="A668" s="1" t="str">
        <f>VLOOKUP(B668,combinate!A:B,2,FALSE)</f>
        <v>Group C</v>
      </c>
      <c r="B668" s="8">
        <v>254114598823</v>
      </c>
      <c r="C668" s="9">
        <v>17363757</v>
      </c>
      <c r="D668" s="10">
        <v>46183.8766319444</v>
      </c>
      <c r="E668" s="12" t="s">
        <v>254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9">
        <v>0</v>
      </c>
      <c r="N668" s="9">
        <v>0</v>
      </c>
      <c r="O668" s="9">
        <v>0</v>
      </c>
      <c r="P668" s="9">
        <v>0</v>
      </c>
      <c r="Q668" s="9">
        <v>0</v>
      </c>
    </row>
    <row r="669" s="1" customFormat="1" ht="14.25" hidden="1" spans="1:17">
      <c r="A669" s="1" t="str">
        <f>VLOOKUP(B669,combinate!A:B,2,FALSE)</f>
        <v>Group B</v>
      </c>
      <c r="B669" s="8">
        <v>254790955065</v>
      </c>
      <c r="C669" s="9">
        <v>17538915</v>
      </c>
      <c r="D669" s="10">
        <v>46160.7027199074</v>
      </c>
      <c r="E669" s="12" t="s">
        <v>254</v>
      </c>
      <c r="F669" s="9">
        <v>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9">
        <v>0</v>
      </c>
      <c r="N669" s="9">
        <v>0</v>
      </c>
      <c r="O669" s="9">
        <v>0</v>
      </c>
      <c r="P669" s="9">
        <v>0</v>
      </c>
      <c r="Q669" s="9">
        <v>0</v>
      </c>
    </row>
    <row r="670" s="1" customFormat="1" ht="14.25" hidden="1" spans="1:17">
      <c r="A670" s="1" t="str">
        <f>VLOOKUP(B670,combinate!A:B,2,FALSE)</f>
        <v>Group C</v>
      </c>
      <c r="B670" s="8">
        <v>254741921570</v>
      </c>
      <c r="C670" s="9">
        <v>17580579</v>
      </c>
      <c r="D670" s="10">
        <v>46182.7508912037</v>
      </c>
      <c r="E670" s="11" t="s">
        <v>250</v>
      </c>
      <c r="F670" s="9">
        <v>0.1</v>
      </c>
      <c r="G670" s="9">
        <v>13</v>
      </c>
      <c r="H670" s="9">
        <v>0</v>
      </c>
      <c r="I670" s="9">
        <v>13</v>
      </c>
      <c r="J670" s="9">
        <v>0</v>
      </c>
      <c r="K670" s="9">
        <v>0.54</v>
      </c>
      <c r="L670" s="9">
        <v>0</v>
      </c>
      <c r="M670" s="9">
        <v>0.54</v>
      </c>
      <c r="N670" s="9">
        <v>0</v>
      </c>
      <c r="O670" s="9">
        <v>0</v>
      </c>
      <c r="P670" s="9">
        <v>0</v>
      </c>
      <c r="Q670" s="9">
        <v>0</v>
      </c>
    </row>
    <row r="671" s="1" customFormat="1" ht="14.25" hidden="1" spans="1:17">
      <c r="A671" s="1" t="str">
        <f>VLOOKUP(B671,combinate!A:B,2,FALSE)</f>
        <v>Group A</v>
      </c>
      <c r="B671" s="8">
        <v>254758323547</v>
      </c>
      <c r="C671" s="9">
        <v>18095941</v>
      </c>
      <c r="D671" s="10">
        <v>46160.8500115741</v>
      </c>
      <c r="E671" s="12" t="s">
        <v>254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9">
        <v>0</v>
      </c>
      <c r="M671" s="9">
        <v>0</v>
      </c>
      <c r="N671" s="9">
        <v>0</v>
      </c>
      <c r="O671" s="9">
        <v>0</v>
      </c>
      <c r="P671" s="9">
        <v>0</v>
      </c>
      <c r="Q671" s="9">
        <v>0</v>
      </c>
    </row>
    <row r="672" s="1" customFormat="1" ht="14.25" hidden="1" spans="1:17">
      <c r="A672" s="1" t="str">
        <f>VLOOKUP(B672,combinate!A:B,2,FALSE)</f>
        <v>Group C</v>
      </c>
      <c r="B672" s="8">
        <v>254727813284</v>
      </c>
      <c r="C672" s="9">
        <v>18694226</v>
      </c>
      <c r="D672" s="10">
        <v>46166.6232175926</v>
      </c>
      <c r="E672" s="12" t="s">
        <v>254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9">
        <v>0</v>
      </c>
      <c r="N672" s="9">
        <v>0</v>
      </c>
      <c r="O672" s="9">
        <v>0</v>
      </c>
      <c r="P672" s="9">
        <v>0</v>
      </c>
      <c r="Q672" s="9">
        <v>0</v>
      </c>
    </row>
    <row r="673" s="1" customFormat="1" ht="14.25" hidden="1" spans="1:17">
      <c r="A673" s="1" t="str">
        <f>VLOOKUP(B673,combinate!A:B,2,FALSE)</f>
        <v>Group A</v>
      </c>
      <c r="B673" s="8">
        <v>254799976195</v>
      </c>
      <c r="C673" s="9">
        <v>18786440</v>
      </c>
      <c r="D673" s="10">
        <v>46166.718287037</v>
      </c>
      <c r="E673" s="12" t="s">
        <v>254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9">
        <v>0</v>
      </c>
      <c r="N673" s="9">
        <v>0</v>
      </c>
      <c r="O673" s="9">
        <v>0</v>
      </c>
      <c r="P673" s="9">
        <v>0</v>
      </c>
      <c r="Q673" s="9">
        <v>0</v>
      </c>
    </row>
    <row r="674" s="1" customFormat="1" ht="14.25" hidden="1" spans="1:17">
      <c r="A674" s="1" t="str">
        <f>VLOOKUP(B674,combinate!A:B,2,FALSE)</f>
        <v>Group C</v>
      </c>
      <c r="B674" s="8">
        <v>254728583614</v>
      </c>
      <c r="C674" s="9">
        <v>19530698</v>
      </c>
      <c r="D674" s="10">
        <v>46166.8775462963</v>
      </c>
      <c r="E674" s="12" t="s">
        <v>254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9">
        <v>0</v>
      </c>
      <c r="N674" s="9">
        <v>0</v>
      </c>
      <c r="O674" s="9">
        <v>0</v>
      </c>
      <c r="P674" s="9">
        <v>0</v>
      </c>
      <c r="Q674" s="9">
        <v>0</v>
      </c>
    </row>
    <row r="675" s="1" customFormat="1" ht="14.25" hidden="1" spans="1:17">
      <c r="A675" s="1" t="str">
        <f>VLOOKUP(B675,combinate!A:B,2,FALSE)</f>
        <v>Group C</v>
      </c>
      <c r="B675" s="8">
        <v>254793860652</v>
      </c>
      <c r="C675" s="9">
        <v>19964298</v>
      </c>
      <c r="D675" s="10">
        <v>46162.9688773148</v>
      </c>
      <c r="E675" s="12" t="s">
        <v>254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  <c r="M675" s="9">
        <v>0</v>
      </c>
      <c r="N675" s="9">
        <v>0</v>
      </c>
      <c r="O675" s="9">
        <v>0</v>
      </c>
      <c r="P675" s="9">
        <v>0</v>
      </c>
      <c r="Q675" s="9">
        <v>0</v>
      </c>
    </row>
    <row r="676" s="1" customFormat="1" ht="14.25" hidden="1" spans="1:17">
      <c r="A676" s="1" t="str">
        <f>VLOOKUP(B676,combinate!A:B,2,FALSE)</f>
        <v>Group C</v>
      </c>
      <c r="B676" s="8">
        <v>254748931810</v>
      </c>
      <c r="C676" s="9">
        <v>20555026</v>
      </c>
      <c r="D676" s="10">
        <v>46184.2498958333</v>
      </c>
      <c r="E676" s="12" t="s">
        <v>254</v>
      </c>
      <c r="F676" s="9">
        <v>0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9">
        <v>0</v>
      </c>
      <c r="N676" s="9">
        <v>0</v>
      </c>
      <c r="O676" s="9">
        <v>0</v>
      </c>
      <c r="P676" s="9">
        <v>0</v>
      </c>
      <c r="Q676" s="9">
        <v>0</v>
      </c>
    </row>
    <row r="677" s="1" customFormat="1" ht="14.25" hidden="1" spans="1:17">
      <c r="A677" s="1" t="str">
        <f>VLOOKUP(B677,combinate!A:B,2,FALSE)</f>
        <v>Group C</v>
      </c>
      <c r="B677" s="8">
        <v>254729980427</v>
      </c>
      <c r="C677" s="9">
        <v>689056</v>
      </c>
      <c r="D677" s="10">
        <v>46183.3814583333</v>
      </c>
      <c r="E677" s="12" t="s">
        <v>254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  <c r="L677" s="9">
        <v>0</v>
      </c>
      <c r="M677" s="9">
        <v>0</v>
      </c>
      <c r="N677" s="9">
        <v>0</v>
      </c>
      <c r="O677" s="9">
        <v>0</v>
      </c>
      <c r="P677" s="9">
        <v>0</v>
      </c>
      <c r="Q677" s="9">
        <v>0</v>
      </c>
    </row>
    <row r="678" s="1" customFormat="1" ht="14.25" spans="1:17">
      <c r="A678" s="1" t="str">
        <f>VLOOKUP(B678,combinate!A:B,2,FALSE)</f>
        <v>Group C</v>
      </c>
      <c r="B678" s="8">
        <v>254718130507</v>
      </c>
      <c r="C678" s="9">
        <v>730826</v>
      </c>
      <c r="D678" s="10">
        <v>46183.6859606481</v>
      </c>
      <c r="E678" s="11" t="s">
        <v>250</v>
      </c>
      <c r="F678" s="9">
        <v>439.14</v>
      </c>
      <c r="G678" s="9">
        <v>58405.78</v>
      </c>
      <c r="H678" s="9">
        <v>1</v>
      </c>
      <c r="I678" s="9">
        <v>58404.78</v>
      </c>
      <c r="J678" s="9">
        <v>1</v>
      </c>
      <c r="K678" s="9">
        <v>-4668.23</v>
      </c>
      <c r="L678" s="9">
        <v>-35.09</v>
      </c>
      <c r="M678" s="9">
        <v>-4667.23</v>
      </c>
      <c r="N678" s="9">
        <v>51.43</v>
      </c>
      <c r="O678" s="9">
        <v>6840</v>
      </c>
      <c r="P678" s="9">
        <v>87.45</v>
      </c>
      <c r="Q678" s="9">
        <v>11630.84</v>
      </c>
    </row>
    <row r="679" s="1" customFormat="1" ht="14.25" hidden="1" spans="1:17">
      <c r="A679" s="1" t="str">
        <f>VLOOKUP(B679,combinate!A:B,2,FALSE)</f>
        <v>Group C</v>
      </c>
      <c r="B679" s="8">
        <v>254706670874</v>
      </c>
      <c r="C679" s="9">
        <v>839358</v>
      </c>
      <c r="D679" s="10">
        <v>46183.6997222222</v>
      </c>
      <c r="E679" s="11" t="s">
        <v>250</v>
      </c>
      <c r="F679" s="9">
        <v>1.2</v>
      </c>
      <c r="G679" s="9">
        <v>160</v>
      </c>
      <c r="H679" s="9">
        <v>0</v>
      </c>
      <c r="I679" s="9">
        <v>160</v>
      </c>
      <c r="J679" s="9">
        <v>0</v>
      </c>
      <c r="K679" s="9">
        <v>88</v>
      </c>
      <c r="L679" s="9">
        <v>0.66</v>
      </c>
      <c r="M679" s="9">
        <v>88</v>
      </c>
      <c r="N679" s="9">
        <v>0.71</v>
      </c>
      <c r="O679" s="9">
        <v>94.05</v>
      </c>
      <c r="P679" s="9">
        <v>0.76</v>
      </c>
      <c r="Q679" s="9">
        <v>101.31</v>
      </c>
    </row>
    <row r="680" s="1" customFormat="1" ht="14.25" hidden="1" spans="1:17">
      <c r="A680" s="1" t="str">
        <f>VLOOKUP(B680,combinate!A:B,2,FALSE)</f>
        <v>Group C</v>
      </c>
      <c r="B680" s="8">
        <v>254769010326</v>
      </c>
      <c r="C680" s="9">
        <v>1007768</v>
      </c>
      <c r="D680" s="10">
        <v>46182.4527083333</v>
      </c>
      <c r="E680" s="11" t="s">
        <v>250</v>
      </c>
      <c r="F680" s="9">
        <v>2.02</v>
      </c>
      <c r="G680" s="9">
        <v>269</v>
      </c>
      <c r="H680" s="9">
        <v>9</v>
      </c>
      <c r="I680" s="9">
        <v>260</v>
      </c>
      <c r="J680" s="9">
        <v>9</v>
      </c>
      <c r="K680" s="9">
        <v>95</v>
      </c>
      <c r="L680" s="9">
        <v>0.78</v>
      </c>
      <c r="M680" s="9">
        <v>104</v>
      </c>
      <c r="N680" s="9">
        <v>0.71</v>
      </c>
      <c r="O680" s="9">
        <v>95</v>
      </c>
      <c r="P680" s="9">
        <v>0</v>
      </c>
      <c r="Q680" s="9">
        <v>0</v>
      </c>
    </row>
    <row r="681" s="1" customFormat="1" ht="14.25" hidden="1" spans="1:17">
      <c r="A681" s="1" t="str">
        <f>VLOOKUP(B681,combinate!A:B,2,FALSE)</f>
        <v>Group C</v>
      </c>
      <c r="B681" s="8">
        <v>254727685355</v>
      </c>
      <c r="C681" s="9">
        <v>2419117</v>
      </c>
      <c r="D681" s="10">
        <v>46179.7059375</v>
      </c>
      <c r="E681" s="12" t="s">
        <v>254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0</v>
      </c>
      <c r="M681" s="9">
        <v>0</v>
      </c>
      <c r="N681" s="9">
        <v>0</v>
      </c>
      <c r="O681" s="9">
        <v>0</v>
      </c>
      <c r="P681" s="9">
        <v>0</v>
      </c>
      <c r="Q681" s="9">
        <v>0</v>
      </c>
    </row>
    <row r="682" s="1" customFormat="1" ht="14.25" hidden="1" spans="1:17">
      <c r="A682" s="1" t="str">
        <f>VLOOKUP(B682,combinate!A:B,2,FALSE)</f>
        <v>Group C</v>
      </c>
      <c r="B682" s="8">
        <v>254711766410</v>
      </c>
      <c r="C682" s="9">
        <v>2734076</v>
      </c>
      <c r="D682" s="10">
        <v>46166.5273726852</v>
      </c>
      <c r="E682" s="12" t="s">
        <v>254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L682" s="9">
        <v>0</v>
      </c>
      <c r="M682" s="9">
        <v>0</v>
      </c>
      <c r="N682" s="9">
        <v>0</v>
      </c>
      <c r="O682" s="9">
        <v>0</v>
      </c>
      <c r="P682" s="9">
        <v>0</v>
      </c>
      <c r="Q682" s="9">
        <v>0</v>
      </c>
    </row>
    <row r="683" s="1" customFormat="1" ht="14.25" hidden="1" spans="1:17">
      <c r="A683" s="1" t="str">
        <f>VLOOKUP(B683,combinate!A:B,2,FALSE)</f>
        <v>Group C</v>
      </c>
      <c r="B683" s="8">
        <v>254798537177</v>
      </c>
      <c r="C683" s="9">
        <v>3569559</v>
      </c>
      <c r="D683" s="10">
        <v>46166.0908680556</v>
      </c>
      <c r="E683" s="12" t="s">
        <v>254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9">
        <v>0</v>
      </c>
      <c r="M683" s="9">
        <v>0</v>
      </c>
      <c r="N683" s="9">
        <v>0</v>
      </c>
      <c r="O683" s="9">
        <v>0</v>
      </c>
      <c r="P683" s="9">
        <v>0</v>
      </c>
      <c r="Q683" s="9">
        <v>0</v>
      </c>
    </row>
    <row r="684" s="1" customFormat="1" ht="14.25" hidden="1" spans="1:17">
      <c r="A684" s="1" t="str">
        <f>VLOOKUP(B684,combinate!A:B,2,FALSE)</f>
        <v>Group A</v>
      </c>
      <c r="B684" s="8">
        <v>254797672798</v>
      </c>
      <c r="C684" s="9">
        <v>8215651</v>
      </c>
      <c r="D684" s="10">
        <v>46183.2170486111</v>
      </c>
      <c r="E684" s="11" t="s">
        <v>250</v>
      </c>
      <c r="F684" s="9">
        <v>0.31</v>
      </c>
      <c r="G684" s="9">
        <v>41.8</v>
      </c>
      <c r="H684" s="9">
        <v>0</v>
      </c>
      <c r="I684" s="9">
        <v>41.8</v>
      </c>
      <c r="J684" s="9">
        <v>0</v>
      </c>
      <c r="K684" s="9">
        <v>28.83</v>
      </c>
      <c r="L684" s="9">
        <v>0.22</v>
      </c>
      <c r="M684" s="9">
        <v>28.83</v>
      </c>
      <c r="N684" s="9">
        <v>0.21</v>
      </c>
      <c r="O684" s="9">
        <v>28.5</v>
      </c>
      <c r="P684" s="9">
        <v>0</v>
      </c>
      <c r="Q684" s="9">
        <v>0</v>
      </c>
    </row>
    <row r="685" s="1" customFormat="1" ht="14.25" hidden="1" spans="1:17">
      <c r="A685" s="1" t="str">
        <f>VLOOKUP(B685,combinate!A:B,2,FALSE)</f>
        <v>Group C</v>
      </c>
      <c r="B685" s="8">
        <v>254748400412</v>
      </c>
      <c r="C685" s="9">
        <v>9013878</v>
      </c>
      <c r="D685" s="10">
        <v>46178.9921643519</v>
      </c>
      <c r="E685" s="11" t="s">
        <v>250</v>
      </c>
      <c r="F685" s="9">
        <v>124.71</v>
      </c>
      <c r="G685" s="9">
        <v>16586</v>
      </c>
      <c r="H685" s="9">
        <v>0</v>
      </c>
      <c r="I685" s="9">
        <v>16586</v>
      </c>
      <c r="J685" s="9">
        <v>0</v>
      </c>
      <c r="K685" s="9">
        <v>1009.81</v>
      </c>
      <c r="L685" s="9">
        <v>7.59</v>
      </c>
      <c r="M685" s="9">
        <v>1009.81</v>
      </c>
      <c r="N685" s="9">
        <v>5.71</v>
      </c>
      <c r="O685" s="9">
        <v>760</v>
      </c>
      <c r="P685" s="9">
        <v>0</v>
      </c>
      <c r="Q685" s="9">
        <v>0</v>
      </c>
    </row>
    <row r="686" s="1" customFormat="1" ht="14.25" hidden="1" spans="1:17">
      <c r="A686" s="1" t="str">
        <f>VLOOKUP(B686,combinate!A:B,2,FALSE)</f>
        <v>Group A</v>
      </c>
      <c r="B686" s="8">
        <v>254702940023</v>
      </c>
      <c r="C686" s="9">
        <v>9194290</v>
      </c>
      <c r="D686" s="10">
        <v>46181.9028009259</v>
      </c>
      <c r="E686" s="12" t="s">
        <v>254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9">
        <v>0</v>
      </c>
      <c r="M686" s="9">
        <v>0</v>
      </c>
      <c r="N686" s="9">
        <v>0</v>
      </c>
      <c r="O686" s="9">
        <v>0</v>
      </c>
      <c r="P686" s="9">
        <v>0</v>
      </c>
      <c r="Q686" s="9">
        <v>0</v>
      </c>
    </row>
    <row r="687" s="1" customFormat="1" ht="14.25" hidden="1" spans="1:17">
      <c r="A687" s="1" t="str">
        <f>VLOOKUP(B687,combinate!A:B,2,FALSE)</f>
        <v>Group C</v>
      </c>
      <c r="B687" s="8">
        <v>254729277934</v>
      </c>
      <c r="C687" s="9">
        <v>11333228</v>
      </c>
      <c r="D687" s="10">
        <v>46160.9860185185</v>
      </c>
      <c r="E687" s="12" t="s">
        <v>254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9">
        <v>0</v>
      </c>
      <c r="N687" s="9">
        <v>0</v>
      </c>
      <c r="O687" s="9">
        <v>0</v>
      </c>
      <c r="P687" s="9">
        <v>0</v>
      </c>
      <c r="Q687" s="9">
        <v>0</v>
      </c>
    </row>
    <row r="688" s="1" customFormat="1" ht="14.25" hidden="1" spans="1:17">
      <c r="A688" s="1" t="str">
        <f>VLOOKUP(B688,combinate!A:B,2,FALSE)</f>
        <v>Group A</v>
      </c>
      <c r="B688" s="8">
        <v>254710345176</v>
      </c>
      <c r="C688" s="9">
        <v>12248490</v>
      </c>
      <c r="D688" s="10">
        <v>46180.4634490741</v>
      </c>
      <c r="E688" s="12" t="s">
        <v>254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9">
        <v>0</v>
      </c>
      <c r="M688" s="9">
        <v>0</v>
      </c>
      <c r="N688" s="9">
        <v>0</v>
      </c>
      <c r="O688" s="9">
        <v>0</v>
      </c>
      <c r="P688" s="9">
        <v>0</v>
      </c>
      <c r="Q688" s="9">
        <v>0</v>
      </c>
    </row>
    <row r="689" s="1" customFormat="1" ht="14.25" hidden="1" spans="1:17">
      <c r="A689" s="1" t="str">
        <f>VLOOKUP(B689,combinate!A:B,2,FALSE)</f>
        <v>Group B</v>
      </c>
      <c r="B689" s="8">
        <v>254721393950</v>
      </c>
      <c r="C689" s="9">
        <v>12289624</v>
      </c>
      <c r="D689" s="10">
        <v>46161.73625</v>
      </c>
      <c r="E689" s="12" t="s">
        <v>254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9">
        <v>0</v>
      </c>
      <c r="M689" s="9">
        <v>0</v>
      </c>
      <c r="N689" s="9">
        <v>0</v>
      </c>
      <c r="O689" s="9">
        <v>0</v>
      </c>
      <c r="P689" s="9">
        <v>0</v>
      </c>
      <c r="Q689" s="9">
        <v>0</v>
      </c>
    </row>
    <row r="690" s="1" customFormat="1" ht="14.25" hidden="1" spans="1:17">
      <c r="A690" s="1" t="str">
        <f>VLOOKUP(B690,combinate!A:B,2,FALSE)</f>
        <v>Group B</v>
      </c>
      <c r="B690" s="8">
        <v>254723978682</v>
      </c>
      <c r="C690" s="9">
        <v>12289694</v>
      </c>
      <c r="D690" s="10">
        <v>46177.8529513889</v>
      </c>
      <c r="E690" s="12" t="s">
        <v>254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L690" s="9">
        <v>0</v>
      </c>
      <c r="M690" s="9">
        <v>0</v>
      </c>
      <c r="N690" s="9">
        <v>0</v>
      </c>
      <c r="O690" s="9">
        <v>0</v>
      </c>
      <c r="P690" s="9">
        <v>0</v>
      </c>
      <c r="Q690" s="9">
        <v>0</v>
      </c>
    </row>
    <row r="691" s="1" customFormat="1" ht="14.25" hidden="1" spans="1:17">
      <c r="A691" s="1" t="str">
        <f>VLOOKUP(B691,combinate!A:B,2,FALSE)</f>
        <v>Group A</v>
      </c>
      <c r="B691" s="8">
        <v>254794915318</v>
      </c>
      <c r="C691" s="9">
        <v>12480471</v>
      </c>
      <c r="D691" s="10">
        <v>46183.1994097222</v>
      </c>
      <c r="E691" s="11" t="s">
        <v>250</v>
      </c>
      <c r="F691" s="9">
        <v>60.61</v>
      </c>
      <c r="G691" s="9">
        <v>8061.19</v>
      </c>
      <c r="H691" s="9">
        <v>0</v>
      </c>
      <c r="I691" s="9">
        <v>8061.19</v>
      </c>
      <c r="J691" s="9">
        <v>0</v>
      </c>
      <c r="K691" s="9">
        <v>2893.7</v>
      </c>
      <c r="L691" s="9">
        <v>21.76</v>
      </c>
      <c r="M691" s="9">
        <v>2893.7</v>
      </c>
      <c r="N691" s="9">
        <v>21.76</v>
      </c>
      <c r="O691" s="9">
        <v>2893.7</v>
      </c>
      <c r="P691" s="9">
        <v>0</v>
      </c>
      <c r="Q691" s="9">
        <v>0</v>
      </c>
    </row>
    <row r="692" s="1" customFormat="1" ht="14.25" hidden="1" spans="1:17">
      <c r="A692" s="1" t="str">
        <f>VLOOKUP(B692,combinate!A:B,2,FALSE)</f>
        <v>Group C</v>
      </c>
      <c r="B692" s="8">
        <v>254721492966</v>
      </c>
      <c r="C692" s="9">
        <v>12606956</v>
      </c>
      <c r="D692" s="10">
        <v>46162.9665393519</v>
      </c>
      <c r="E692" s="12" t="s">
        <v>254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9">
        <v>0</v>
      </c>
      <c r="N692" s="9">
        <v>0</v>
      </c>
      <c r="O692" s="9">
        <v>0</v>
      </c>
      <c r="P692" s="9">
        <v>0</v>
      </c>
      <c r="Q692" s="9">
        <v>0</v>
      </c>
    </row>
    <row r="693" s="1" customFormat="1" ht="14.25" hidden="1" spans="1:17">
      <c r="A693" s="1" t="str">
        <f>VLOOKUP(B693,combinate!A:B,2,FALSE)</f>
        <v>Group A</v>
      </c>
      <c r="B693" s="8">
        <v>254712616998</v>
      </c>
      <c r="C693" s="9">
        <v>12637121</v>
      </c>
      <c r="D693" s="10">
        <v>46184.4256828704</v>
      </c>
      <c r="E693" s="11" t="s">
        <v>250</v>
      </c>
      <c r="F693" s="9">
        <v>26.62</v>
      </c>
      <c r="G693" s="9">
        <v>3540</v>
      </c>
      <c r="H693" s="9">
        <v>150</v>
      </c>
      <c r="I693" s="9">
        <v>3390</v>
      </c>
      <c r="J693" s="9">
        <v>150</v>
      </c>
      <c r="K693" s="9">
        <v>283.55</v>
      </c>
      <c r="L693" s="9">
        <v>3.26</v>
      </c>
      <c r="M693" s="9">
        <v>433.55</v>
      </c>
      <c r="N693" s="9">
        <v>3.57</v>
      </c>
      <c r="O693" s="9">
        <v>475</v>
      </c>
      <c r="P693" s="9">
        <v>0</v>
      </c>
      <c r="Q693" s="9">
        <v>0</v>
      </c>
    </row>
    <row r="694" s="1" customFormat="1" ht="14.25" hidden="1" spans="1:17">
      <c r="A694" s="1" t="str">
        <f>VLOOKUP(B694,combinate!A:B,2,FALSE)</f>
        <v>Group C</v>
      </c>
      <c r="B694" s="8">
        <v>254115141583</v>
      </c>
      <c r="C694" s="9">
        <v>13159217</v>
      </c>
      <c r="D694" s="10">
        <v>46182.4166666667</v>
      </c>
      <c r="E694" s="11" t="s">
        <v>250</v>
      </c>
      <c r="F694" s="9">
        <v>1.43</v>
      </c>
      <c r="G694" s="9">
        <v>190</v>
      </c>
      <c r="H694" s="9">
        <v>0</v>
      </c>
      <c r="I694" s="9">
        <v>190</v>
      </c>
      <c r="J694" s="9">
        <v>0</v>
      </c>
      <c r="K694" s="9">
        <v>88.5</v>
      </c>
      <c r="L694" s="9">
        <v>0.67</v>
      </c>
      <c r="M694" s="9">
        <v>88.5</v>
      </c>
      <c r="N694" s="9">
        <v>0.67</v>
      </c>
      <c r="O694" s="9">
        <v>89.3</v>
      </c>
      <c r="P694" s="9">
        <v>0</v>
      </c>
      <c r="Q694" s="9">
        <v>0</v>
      </c>
    </row>
    <row r="695" s="1" customFormat="1" ht="14.25" hidden="1" spans="1:17">
      <c r="A695" s="1" t="str">
        <f>VLOOKUP(B695,combinate!A:B,2,FALSE)</f>
        <v>Group B</v>
      </c>
      <c r="B695" s="8">
        <v>254716125687</v>
      </c>
      <c r="C695" s="9">
        <v>13437715</v>
      </c>
      <c r="D695" s="10">
        <v>46161.8417592593</v>
      </c>
      <c r="E695" s="12" t="s">
        <v>254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9">
        <v>0</v>
      </c>
      <c r="M695" s="9">
        <v>0</v>
      </c>
      <c r="N695" s="9">
        <v>0</v>
      </c>
      <c r="O695" s="9">
        <v>0</v>
      </c>
      <c r="P695" s="9">
        <v>0</v>
      </c>
      <c r="Q695" s="9">
        <v>0</v>
      </c>
    </row>
    <row r="696" s="1" customFormat="1" ht="14.25" hidden="1" spans="1:17">
      <c r="A696" s="1" t="str">
        <f>VLOOKUP(B696,combinate!A:B,2,FALSE)</f>
        <v>Group C</v>
      </c>
      <c r="B696" s="8">
        <v>254757579090</v>
      </c>
      <c r="C696" s="9">
        <v>13822059</v>
      </c>
      <c r="D696" s="10">
        <v>46163.6164699074</v>
      </c>
      <c r="E696" s="12" t="s">
        <v>254</v>
      </c>
      <c r="F696" s="9">
        <v>0</v>
      </c>
      <c r="G696" s="9">
        <v>0</v>
      </c>
      <c r="H696" s="9">
        <v>0</v>
      </c>
      <c r="I696" s="9">
        <v>0</v>
      </c>
      <c r="J696" s="9">
        <v>0</v>
      </c>
      <c r="K696" s="9">
        <v>0</v>
      </c>
      <c r="L696" s="9">
        <v>0</v>
      </c>
      <c r="M696" s="9">
        <v>0</v>
      </c>
      <c r="N696" s="9">
        <v>0</v>
      </c>
      <c r="O696" s="9">
        <v>0</v>
      </c>
      <c r="P696" s="9">
        <v>0</v>
      </c>
      <c r="Q696" s="9">
        <v>0</v>
      </c>
    </row>
    <row r="697" s="1" customFormat="1" ht="14.25" hidden="1" spans="1:17">
      <c r="A697" s="1" t="str">
        <f>VLOOKUP(B697,combinate!A:B,2,FALSE)</f>
        <v>Group A</v>
      </c>
      <c r="B697" s="8">
        <v>254722896574</v>
      </c>
      <c r="C697" s="9">
        <v>13831930</v>
      </c>
      <c r="D697" s="10">
        <v>46160.8396412037</v>
      </c>
      <c r="E697" s="12" t="s">
        <v>254</v>
      </c>
      <c r="F697" s="9">
        <v>0</v>
      </c>
      <c r="G697" s="9">
        <v>0</v>
      </c>
      <c r="H697" s="9">
        <v>0</v>
      </c>
      <c r="I697" s="9">
        <v>0</v>
      </c>
      <c r="J697" s="9">
        <v>0</v>
      </c>
      <c r="K697" s="9">
        <v>0</v>
      </c>
      <c r="L697" s="9">
        <v>0</v>
      </c>
      <c r="M697" s="9">
        <v>0</v>
      </c>
      <c r="N697" s="9">
        <v>0</v>
      </c>
      <c r="O697" s="9">
        <v>0</v>
      </c>
      <c r="P697" s="9">
        <v>0</v>
      </c>
      <c r="Q697" s="9">
        <v>0</v>
      </c>
    </row>
    <row r="698" s="1" customFormat="1" ht="14.25" hidden="1" spans="1:17">
      <c r="A698" s="1" t="str">
        <f>VLOOKUP(B698,combinate!A:B,2,FALSE)</f>
        <v>Group C</v>
      </c>
      <c r="B698" s="8">
        <v>254725289387</v>
      </c>
      <c r="C698" s="9">
        <v>14974247</v>
      </c>
      <c r="D698" s="10">
        <v>46182.3918865741</v>
      </c>
      <c r="E698" s="11" t="s">
        <v>250</v>
      </c>
      <c r="F698" s="9">
        <v>1.94</v>
      </c>
      <c r="G698" s="9">
        <v>257.5</v>
      </c>
      <c r="H698" s="9">
        <v>0</v>
      </c>
      <c r="I698" s="9">
        <v>257.5</v>
      </c>
      <c r="J698" s="9">
        <v>0</v>
      </c>
      <c r="K698" s="9">
        <v>182.5</v>
      </c>
      <c r="L698" s="9">
        <v>1.37</v>
      </c>
      <c r="M698" s="9">
        <v>182.5</v>
      </c>
      <c r="N698" s="9">
        <v>1.36</v>
      </c>
      <c r="O698" s="9">
        <v>180.5</v>
      </c>
      <c r="P698" s="9">
        <v>0</v>
      </c>
      <c r="Q698" s="9">
        <v>0</v>
      </c>
    </row>
    <row r="699" s="1" customFormat="1" ht="14.25" hidden="1" spans="1:17">
      <c r="A699" s="1" t="str">
        <f>VLOOKUP(B699,combinate!A:B,2,FALSE)</f>
        <v>Group C</v>
      </c>
      <c r="B699" s="8">
        <v>254712310229</v>
      </c>
      <c r="C699" s="9">
        <v>16528219</v>
      </c>
      <c r="D699" s="10">
        <v>46163.808900463</v>
      </c>
      <c r="E699" s="12" t="s">
        <v>254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0</v>
      </c>
      <c r="M699" s="9">
        <v>0</v>
      </c>
      <c r="N699" s="9">
        <v>0</v>
      </c>
      <c r="O699" s="9">
        <v>0</v>
      </c>
      <c r="P699" s="9">
        <v>0</v>
      </c>
      <c r="Q699" s="9">
        <v>0</v>
      </c>
    </row>
    <row r="700" s="1" customFormat="1" ht="14.25" hidden="1" spans="1:17">
      <c r="A700" s="1" t="str">
        <f>VLOOKUP(B700,combinate!A:B,2,FALSE)</f>
        <v>Group B</v>
      </c>
      <c r="B700" s="8">
        <v>254720986570</v>
      </c>
      <c r="C700" s="9">
        <v>16944543</v>
      </c>
      <c r="D700" s="10">
        <v>46160.9019444444</v>
      </c>
      <c r="E700" s="12" t="s">
        <v>254</v>
      </c>
      <c r="F700" s="9">
        <v>0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  <c r="M700" s="9">
        <v>0</v>
      </c>
      <c r="N700" s="9">
        <v>0</v>
      </c>
      <c r="O700" s="9">
        <v>0</v>
      </c>
      <c r="P700" s="9">
        <v>0</v>
      </c>
      <c r="Q700" s="9">
        <v>0</v>
      </c>
    </row>
    <row r="701" s="1" customFormat="1" ht="14.25" hidden="1" spans="1:17">
      <c r="A701" s="1" t="str">
        <f>VLOOKUP(B701,combinate!A:B,2,FALSE)</f>
        <v>Group C</v>
      </c>
      <c r="B701" s="8">
        <v>254715988117</v>
      </c>
      <c r="C701" s="9">
        <v>18516247</v>
      </c>
      <c r="D701" s="10">
        <v>46179.9042476852</v>
      </c>
      <c r="E701" s="12" t="s">
        <v>254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  <c r="M701" s="9">
        <v>0</v>
      </c>
      <c r="N701" s="9">
        <v>0</v>
      </c>
      <c r="O701" s="9">
        <v>0</v>
      </c>
      <c r="P701" s="9">
        <v>0</v>
      </c>
      <c r="Q701" s="9">
        <v>0</v>
      </c>
    </row>
    <row r="702" s="1" customFormat="1" ht="14.25" hidden="1" spans="1:17">
      <c r="A702" s="1" t="str">
        <f>VLOOKUP(B702,combinate!A:B,2,FALSE)</f>
        <v>Group A</v>
      </c>
      <c r="B702" s="8">
        <v>254111402205</v>
      </c>
      <c r="C702" s="9">
        <v>20292020</v>
      </c>
      <c r="D702" s="10">
        <v>46163.6855208333</v>
      </c>
      <c r="E702" s="12" t="s">
        <v>254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9">
        <v>0</v>
      </c>
      <c r="N702" s="9">
        <v>0</v>
      </c>
      <c r="O702" s="9">
        <v>0</v>
      </c>
      <c r="P702" s="9">
        <v>0</v>
      </c>
      <c r="Q702" s="9">
        <v>0</v>
      </c>
    </row>
    <row r="703" s="1" customFormat="1" ht="14.25" hidden="1" spans="1:17">
      <c r="A703" s="1" t="str">
        <f>VLOOKUP(B703,combinate!A:B,2,FALSE)</f>
        <v>Group C</v>
      </c>
      <c r="B703" s="8">
        <v>254790000697</v>
      </c>
      <c r="C703" s="9">
        <v>20481999</v>
      </c>
      <c r="D703" s="10">
        <v>46166.7727546296</v>
      </c>
      <c r="E703" s="12" t="s">
        <v>254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0</v>
      </c>
      <c r="M703" s="9">
        <v>0</v>
      </c>
      <c r="N703" s="9">
        <v>0</v>
      </c>
      <c r="O703" s="9">
        <v>0</v>
      </c>
      <c r="P703" s="9">
        <v>0</v>
      </c>
      <c r="Q703" s="9">
        <v>0</v>
      </c>
    </row>
    <row r="704" s="1" customFormat="1" ht="14.25" hidden="1" spans="1:17">
      <c r="A704" s="1" t="str">
        <f>VLOOKUP(B704,combinate!A:B,2,FALSE)</f>
        <v>Group A</v>
      </c>
      <c r="B704" s="8">
        <v>254735365608</v>
      </c>
      <c r="C704" s="9">
        <v>20571712</v>
      </c>
      <c r="D704" s="10">
        <v>46179.6022800926</v>
      </c>
      <c r="E704" s="12" t="s">
        <v>254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  <c r="M704" s="9">
        <v>0</v>
      </c>
      <c r="N704" s="9">
        <v>0</v>
      </c>
      <c r="O704" s="9">
        <v>0</v>
      </c>
      <c r="P704" s="9">
        <v>0</v>
      </c>
      <c r="Q704" s="9">
        <v>0</v>
      </c>
    </row>
    <row r="705" s="1" customFormat="1" ht="14.25" hidden="1" spans="1:17">
      <c r="A705" s="1" t="str">
        <f>VLOOKUP(B705,combinate!A:B,2,FALSE)</f>
        <v>Group A</v>
      </c>
      <c r="B705" s="8">
        <v>254704005555</v>
      </c>
      <c r="C705" s="9">
        <v>44420</v>
      </c>
      <c r="D705" s="10">
        <v>46182.9789236111</v>
      </c>
      <c r="E705" s="11" t="s">
        <v>250</v>
      </c>
      <c r="F705" s="9">
        <v>2.19</v>
      </c>
      <c r="G705" s="9">
        <v>291</v>
      </c>
      <c r="H705" s="9">
        <v>201</v>
      </c>
      <c r="I705" s="9">
        <v>90</v>
      </c>
      <c r="J705" s="9">
        <v>201</v>
      </c>
      <c r="K705" s="9">
        <v>82.6</v>
      </c>
      <c r="L705" s="9">
        <v>2.13</v>
      </c>
      <c r="M705" s="9">
        <v>283.6</v>
      </c>
      <c r="N705" s="9">
        <v>2.14</v>
      </c>
      <c r="O705" s="9">
        <v>285</v>
      </c>
      <c r="P705" s="9">
        <v>0</v>
      </c>
      <c r="Q705" s="9">
        <v>0</v>
      </c>
    </row>
    <row r="706" s="1" customFormat="1" ht="14.25" hidden="1" spans="1:17">
      <c r="A706" s="1" t="str">
        <f>VLOOKUP(B706,combinate!A:B,2,FALSE)</f>
        <v>Group A</v>
      </c>
      <c r="B706" s="8">
        <v>254701837822</v>
      </c>
      <c r="C706" s="9">
        <v>160931</v>
      </c>
      <c r="D706" s="10">
        <v>46166.6576157407</v>
      </c>
      <c r="E706" s="12" t="s">
        <v>254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9">
        <v>0</v>
      </c>
      <c r="M706" s="9">
        <v>0</v>
      </c>
      <c r="N706" s="9">
        <v>0</v>
      </c>
      <c r="O706" s="9">
        <v>0</v>
      </c>
      <c r="P706" s="9">
        <v>0</v>
      </c>
      <c r="Q706" s="9">
        <v>0</v>
      </c>
    </row>
    <row r="707" s="1" customFormat="1" ht="14.25" hidden="1" spans="1:17">
      <c r="A707" s="1" t="str">
        <f>VLOOKUP(B707,combinate!A:B,2,FALSE)</f>
        <v>Group B</v>
      </c>
      <c r="B707" s="8">
        <v>254797812671</v>
      </c>
      <c r="C707" s="9">
        <v>702503</v>
      </c>
      <c r="D707" s="10">
        <v>46183.1899305556</v>
      </c>
      <c r="E707" s="11" t="s">
        <v>250</v>
      </c>
      <c r="F707" s="9">
        <v>13.66</v>
      </c>
      <c r="G707" s="9">
        <v>1816.62</v>
      </c>
      <c r="H707" s="9">
        <v>0</v>
      </c>
      <c r="I707" s="9">
        <v>1816.62</v>
      </c>
      <c r="J707" s="9">
        <v>0</v>
      </c>
      <c r="K707" s="9">
        <v>184.48</v>
      </c>
      <c r="L707" s="9">
        <v>1.39</v>
      </c>
      <c r="M707" s="9">
        <v>184.48</v>
      </c>
      <c r="N707" s="9">
        <v>5.36</v>
      </c>
      <c r="O707" s="9">
        <v>713.45</v>
      </c>
      <c r="P707" s="9">
        <v>4</v>
      </c>
      <c r="Q707" s="9">
        <v>531.84</v>
      </c>
    </row>
    <row r="708" s="1" customFormat="1" ht="14.25" hidden="1" spans="1:17">
      <c r="A708" s="1" t="str">
        <f>VLOOKUP(B708,combinate!A:B,2,FALSE)</f>
        <v>Group A</v>
      </c>
      <c r="B708" s="8">
        <v>254702233849</v>
      </c>
      <c r="C708" s="9">
        <v>856211</v>
      </c>
      <c r="D708" s="10">
        <v>46163.4998726852</v>
      </c>
      <c r="E708" s="12" t="s">
        <v>254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  <c r="M708" s="9">
        <v>0</v>
      </c>
      <c r="N708" s="9">
        <v>0</v>
      </c>
      <c r="O708" s="9">
        <v>0</v>
      </c>
      <c r="P708" s="9">
        <v>0</v>
      </c>
      <c r="Q708" s="9">
        <v>0</v>
      </c>
    </row>
    <row r="709" s="1" customFormat="1" ht="14.25" hidden="1" spans="1:17">
      <c r="A709" s="1" t="str">
        <f>VLOOKUP(B709,combinate!A:B,2,FALSE)</f>
        <v>Group C</v>
      </c>
      <c r="B709" s="8">
        <v>254725325173</v>
      </c>
      <c r="C709" s="9">
        <v>996579</v>
      </c>
      <c r="D709" s="10">
        <v>46183.6792939815</v>
      </c>
      <c r="E709" s="11" t="s">
        <v>250</v>
      </c>
      <c r="F709" s="9">
        <v>282.64</v>
      </c>
      <c r="G709" s="9">
        <v>37591.25</v>
      </c>
      <c r="H709" s="9">
        <v>0</v>
      </c>
      <c r="I709" s="9">
        <v>37591.25</v>
      </c>
      <c r="J709" s="9">
        <v>0</v>
      </c>
      <c r="K709" s="9">
        <v>7638.25</v>
      </c>
      <c r="L709" s="9">
        <v>57.43</v>
      </c>
      <c r="M709" s="9">
        <v>7638.25</v>
      </c>
      <c r="N709" s="9">
        <v>47.82</v>
      </c>
      <c r="O709" s="9">
        <v>6360.25</v>
      </c>
      <c r="P709" s="9">
        <v>26.32</v>
      </c>
      <c r="Q709" s="9">
        <v>3500</v>
      </c>
    </row>
    <row r="710" s="1" customFormat="1" ht="14.25" hidden="1" spans="1:17">
      <c r="A710" s="1" t="str">
        <f>VLOOKUP(B710,combinate!A:B,2,FALSE)</f>
        <v>Group A</v>
      </c>
      <c r="B710" s="8">
        <v>254741902476</v>
      </c>
      <c r="C710" s="9">
        <v>1027322</v>
      </c>
      <c r="D710" s="10">
        <v>46163.9107523148</v>
      </c>
      <c r="E710" s="12" t="s">
        <v>254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L710" s="9">
        <v>0</v>
      </c>
      <c r="M710" s="9">
        <v>0</v>
      </c>
      <c r="N710" s="9">
        <v>0</v>
      </c>
      <c r="O710" s="9">
        <v>0</v>
      </c>
      <c r="P710" s="9">
        <v>0</v>
      </c>
      <c r="Q710" s="9">
        <v>0</v>
      </c>
    </row>
    <row r="711" s="1" customFormat="1" ht="14.25" hidden="1" spans="1:17">
      <c r="A711" s="1" t="str">
        <f>VLOOKUP(B711,combinate!A:B,2,FALSE)</f>
        <v>Group C</v>
      </c>
      <c r="B711" s="8">
        <v>254713941825</v>
      </c>
      <c r="C711" s="9">
        <v>1758957</v>
      </c>
      <c r="D711" s="10">
        <v>46183.7708217593</v>
      </c>
      <c r="E711" s="11" t="s">
        <v>250</v>
      </c>
      <c r="F711" s="9">
        <v>14.67</v>
      </c>
      <c r="G711" s="9">
        <v>1951.4</v>
      </c>
      <c r="H711" s="9">
        <v>0</v>
      </c>
      <c r="I711" s="9">
        <v>1951.4</v>
      </c>
      <c r="J711" s="9">
        <v>0</v>
      </c>
      <c r="K711" s="9">
        <v>244.68</v>
      </c>
      <c r="L711" s="9">
        <v>1.84</v>
      </c>
      <c r="M711" s="9">
        <v>244.68</v>
      </c>
      <c r="N711" s="9">
        <v>3.59</v>
      </c>
      <c r="O711" s="9">
        <v>476.9</v>
      </c>
      <c r="P711" s="9">
        <v>9.93</v>
      </c>
      <c r="Q711" s="9">
        <v>1320.91</v>
      </c>
    </row>
    <row r="712" s="1" customFormat="1" ht="14.25" hidden="1" spans="1:17">
      <c r="A712" s="1" t="str">
        <f>VLOOKUP(B712,combinate!A:B,2,FALSE)</f>
        <v>Group A</v>
      </c>
      <c r="B712" s="8">
        <v>254727569262</v>
      </c>
      <c r="C712" s="9">
        <v>2100252</v>
      </c>
      <c r="D712" s="10">
        <v>46179.3852777778</v>
      </c>
      <c r="E712" s="12" t="s">
        <v>254</v>
      </c>
      <c r="F712" s="9">
        <v>0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9">
        <v>0</v>
      </c>
      <c r="M712" s="9">
        <v>0</v>
      </c>
      <c r="N712" s="9">
        <v>0</v>
      </c>
      <c r="O712" s="9">
        <v>0</v>
      </c>
      <c r="P712" s="9">
        <v>0</v>
      </c>
      <c r="Q712" s="9">
        <v>0</v>
      </c>
    </row>
    <row r="713" s="1" customFormat="1" ht="14.25" hidden="1" spans="1:17">
      <c r="A713" s="1" t="str">
        <f>VLOOKUP(B713,combinate!A:B,2,FALSE)</f>
        <v>Group A</v>
      </c>
      <c r="B713" s="8">
        <v>254710101775</v>
      </c>
      <c r="C713" s="9">
        <v>2384142</v>
      </c>
      <c r="D713" s="10">
        <v>46181.7275694444</v>
      </c>
      <c r="E713" s="11" t="s">
        <v>250</v>
      </c>
      <c r="F713" s="9">
        <v>3.21</v>
      </c>
      <c r="G713" s="9">
        <v>426.63</v>
      </c>
      <c r="H713" s="9">
        <v>0</v>
      </c>
      <c r="I713" s="9">
        <v>426.63</v>
      </c>
      <c r="J713" s="9">
        <v>0</v>
      </c>
      <c r="K713" s="9">
        <v>171.95</v>
      </c>
      <c r="L713" s="9">
        <v>1.29</v>
      </c>
      <c r="M713" s="9">
        <v>171.95</v>
      </c>
      <c r="N713" s="9">
        <v>1.29</v>
      </c>
      <c r="O713" s="9">
        <v>171.95</v>
      </c>
      <c r="P713" s="9">
        <v>0</v>
      </c>
      <c r="Q713" s="9">
        <v>0</v>
      </c>
    </row>
    <row r="714" s="1" customFormat="1" ht="14.25" hidden="1" spans="1:17">
      <c r="A714" s="1" t="str">
        <f>VLOOKUP(B714,combinate!A:B,2,FALSE)</f>
        <v>Group C</v>
      </c>
      <c r="B714" s="8">
        <v>254717312027</v>
      </c>
      <c r="C714" s="9">
        <v>4287958</v>
      </c>
      <c r="D714" s="10">
        <v>46184.4391435185</v>
      </c>
      <c r="E714" s="11" t="s">
        <v>250</v>
      </c>
      <c r="F714" s="9">
        <v>17.82</v>
      </c>
      <c r="G714" s="9">
        <v>2370</v>
      </c>
      <c r="H714" s="9">
        <v>0</v>
      </c>
      <c r="I714" s="9">
        <v>2370</v>
      </c>
      <c r="J714" s="9">
        <v>0</v>
      </c>
      <c r="K714" s="9">
        <v>379</v>
      </c>
      <c r="L714" s="9">
        <v>2.85</v>
      </c>
      <c r="M714" s="9">
        <v>379</v>
      </c>
      <c r="N714" s="9">
        <v>2.86</v>
      </c>
      <c r="O714" s="9">
        <v>380</v>
      </c>
      <c r="P714" s="9">
        <v>0</v>
      </c>
      <c r="Q714" s="9">
        <v>0</v>
      </c>
    </row>
    <row r="715" s="1" customFormat="1" ht="14.25" hidden="1" spans="1:17">
      <c r="A715" s="1" t="str">
        <f>VLOOKUP(B715,combinate!A:B,2,FALSE)</f>
        <v>Group A</v>
      </c>
      <c r="B715" s="8">
        <v>254725271182</v>
      </c>
      <c r="C715" s="9">
        <v>4320511</v>
      </c>
      <c r="D715" s="10">
        <v>46162.8242824074</v>
      </c>
      <c r="E715" s="12" t="s">
        <v>254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9">
        <v>0</v>
      </c>
      <c r="M715" s="9">
        <v>0</v>
      </c>
      <c r="N715" s="9">
        <v>0</v>
      </c>
      <c r="O715" s="9">
        <v>0</v>
      </c>
      <c r="P715" s="9">
        <v>0</v>
      </c>
      <c r="Q715" s="9">
        <v>0</v>
      </c>
    </row>
    <row r="716" s="1" customFormat="1" ht="14.25" hidden="1" spans="1:17">
      <c r="A716" s="1" t="str">
        <f>VLOOKUP(B716,combinate!A:B,2,FALSE)</f>
        <v>Group B</v>
      </c>
      <c r="B716" s="8">
        <v>254700102883</v>
      </c>
      <c r="C716" s="9">
        <v>4414404</v>
      </c>
      <c r="D716" s="10">
        <v>46178.764837963</v>
      </c>
      <c r="E716" s="11" t="s">
        <v>250</v>
      </c>
      <c r="F716" s="9">
        <v>9.39</v>
      </c>
      <c r="G716" s="9">
        <v>1249</v>
      </c>
      <c r="H716" s="9">
        <v>0</v>
      </c>
      <c r="I716" s="9">
        <v>1249</v>
      </c>
      <c r="J716" s="9">
        <v>0</v>
      </c>
      <c r="K716" s="9">
        <v>637.24</v>
      </c>
      <c r="L716" s="9">
        <v>4.79</v>
      </c>
      <c r="M716" s="9">
        <v>637.24</v>
      </c>
      <c r="N716" s="9">
        <v>7.29</v>
      </c>
      <c r="O716" s="9">
        <v>969</v>
      </c>
      <c r="P716" s="9">
        <v>2.25</v>
      </c>
      <c r="Q716" s="9">
        <v>299.32</v>
      </c>
    </row>
    <row r="717" s="1" customFormat="1" ht="14.25" hidden="1" spans="1:17">
      <c r="A717" s="1" t="str">
        <f>VLOOKUP(B717,combinate!A:B,2,FALSE)</f>
        <v>Group C</v>
      </c>
      <c r="B717" s="8">
        <v>254704668179</v>
      </c>
      <c r="C717" s="9">
        <v>10427179</v>
      </c>
      <c r="D717" s="10">
        <v>46175.6879513889</v>
      </c>
      <c r="E717" s="12" t="s">
        <v>254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L717" s="9">
        <v>0</v>
      </c>
      <c r="M717" s="9">
        <v>0</v>
      </c>
      <c r="N717" s="9">
        <v>0</v>
      </c>
      <c r="O717" s="9">
        <v>0</v>
      </c>
      <c r="P717" s="9">
        <v>0</v>
      </c>
      <c r="Q717" s="9">
        <v>0</v>
      </c>
    </row>
    <row r="718" s="1" customFormat="1" ht="14.25" hidden="1" spans="1:17">
      <c r="A718" s="1" t="str">
        <f>VLOOKUP(B718,combinate!A:B,2,FALSE)</f>
        <v>Group B</v>
      </c>
      <c r="B718" s="8">
        <v>254792809439</v>
      </c>
      <c r="C718" s="9">
        <v>11864445</v>
      </c>
      <c r="D718" s="10">
        <v>46184.3897106481</v>
      </c>
      <c r="E718" s="12" t="s">
        <v>254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  <c r="L718" s="9">
        <v>0</v>
      </c>
      <c r="M718" s="9">
        <v>0</v>
      </c>
      <c r="N718" s="9">
        <v>0</v>
      </c>
      <c r="O718" s="9">
        <v>0</v>
      </c>
      <c r="P718" s="9">
        <v>0</v>
      </c>
      <c r="Q718" s="9">
        <v>0</v>
      </c>
    </row>
    <row r="719" s="1" customFormat="1" ht="14.25" hidden="1" spans="1:17">
      <c r="A719" s="1" t="str">
        <f>VLOOKUP(B719,combinate!A:B,2,FALSE)</f>
        <v>Group C</v>
      </c>
      <c r="B719" s="8">
        <v>254799331544</v>
      </c>
      <c r="C719" s="9">
        <v>12267077</v>
      </c>
      <c r="D719" s="10">
        <v>46177.6301967593</v>
      </c>
      <c r="E719" s="11" t="s">
        <v>250</v>
      </c>
      <c r="F719" s="9">
        <v>0.77</v>
      </c>
      <c r="G719" s="9">
        <v>103</v>
      </c>
      <c r="H719" s="9">
        <v>0</v>
      </c>
      <c r="I719" s="9">
        <v>103</v>
      </c>
      <c r="J719" s="9">
        <v>0</v>
      </c>
      <c r="K719" s="9">
        <v>64.87</v>
      </c>
      <c r="L719" s="9">
        <v>0.49</v>
      </c>
      <c r="M719" s="9">
        <v>64.87</v>
      </c>
      <c r="N719" s="9">
        <v>0.43</v>
      </c>
      <c r="O719" s="9">
        <v>57</v>
      </c>
      <c r="P719" s="9">
        <v>0</v>
      </c>
      <c r="Q719" s="9">
        <v>0</v>
      </c>
    </row>
    <row r="720" s="1" customFormat="1" ht="14.25" hidden="1" spans="1:17">
      <c r="A720" s="1" t="str">
        <f>VLOOKUP(B720,combinate!A:B,2,FALSE)</f>
        <v>Group C</v>
      </c>
      <c r="B720" s="8">
        <v>254708532727</v>
      </c>
      <c r="C720" s="9">
        <v>12686767</v>
      </c>
      <c r="D720" s="10">
        <v>46181.8641666667</v>
      </c>
      <c r="E720" s="11" t="s">
        <v>250</v>
      </c>
      <c r="F720" s="9">
        <v>44.77</v>
      </c>
      <c r="G720" s="9">
        <v>5954</v>
      </c>
      <c r="H720" s="9">
        <v>0</v>
      </c>
      <c r="I720" s="9">
        <v>5954</v>
      </c>
      <c r="J720" s="9">
        <v>0</v>
      </c>
      <c r="K720" s="9">
        <v>1150</v>
      </c>
      <c r="L720" s="9">
        <v>8.65</v>
      </c>
      <c r="M720" s="9">
        <v>1150</v>
      </c>
      <c r="N720" s="9">
        <v>8.62</v>
      </c>
      <c r="O720" s="9">
        <v>1146.65</v>
      </c>
      <c r="P720" s="9">
        <v>0</v>
      </c>
      <c r="Q720" s="9">
        <v>0</v>
      </c>
    </row>
    <row r="721" s="1" customFormat="1" ht="14.25" hidden="1" spans="1:17">
      <c r="A721" s="1" t="str">
        <f>VLOOKUP(B721,combinate!A:B,2,FALSE)</f>
        <v>Group C</v>
      </c>
      <c r="B721" s="8">
        <v>254104748080</v>
      </c>
      <c r="C721" s="9">
        <v>12701126</v>
      </c>
      <c r="D721" s="10">
        <v>46166.1419791667</v>
      </c>
      <c r="E721" s="12" t="s">
        <v>254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L721" s="9">
        <v>0</v>
      </c>
      <c r="M721" s="9">
        <v>0</v>
      </c>
      <c r="N721" s="9">
        <v>0</v>
      </c>
      <c r="O721" s="9">
        <v>0</v>
      </c>
      <c r="P721" s="9">
        <v>0</v>
      </c>
      <c r="Q721" s="9">
        <v>0</v>
      </c>
    </row>
    <row r="722" s="1" customFormat="1" ht="14.25" hidden="1" spans="1:17">
      <c r="A722" s="1" t="str">
        <f>VLOOKUP(B722,combinate!A:B,2,FALSE)</f>
        <v>Group A</v>
      </c>
      <c r="B722" s="8">
        <v>254707216705</v>
      </c>
      <c r="C722" s="9">
        <v>13021472</v>
      </c>
      <c r="D722" s="10">
        <v>46163.7773032407</v>
      </c>
      <c r="E722" s="12" t="s">
        <v>254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9">
        <v>0</v>
      </c>
      <c r="M722" s="9">
        <v>0</v>
      </c>
      <c r="N722" s="9">
        <v>0</v>
      </c>
      <c r="O722" s="9">
        <v>0</v>
      </c>
      <c r="P722" s="9">
        <v>0</v>
      </c>
      <c r="Q722" s="9">
        <v>0</v>
      </c>
    </row>
    <row r="723" s="1" customFormat="1" ht="14.25" hidden="1" spans="1:17">
      <c r="A723" s="1" t="str">
        <f>VLOOKUP(B723,combinate!A:B,2,FALSE)</f>
        <v>Group C</v>
      </c>
      <c r="B723" s="8">
        <v>254797698365</v>
      </c>
      <c r="C723" s="9">
        <v>13231498</v>
      </c>
      <c r="D723" s="10">
        <v>46179.7799305556</v>
      </c>
      <c r="E723" s="11" t="s">
        <v>250</v>
      </c>
      <c r="F723" s="9">
        <v>4.05</v>
      </c>
      <c r="G723" s="9">
        <v>538</v>
      </c>
      <c r="H723" s="9">
        <v>0</v>
      </c>
      <c r="I723" s="9">
        <v>538</v>
      </c>
      <c r="J723" s="9">
        <v>0</v>
      </c>
      <c r="K723" s="9">
        <v>43.14</v>
      </c>
      <c r="L723" s="9">
        <v>0.32</v>
      </c>
      <c r="M723" s="9">
        <v>43.14</v>
      </c>
      <c r="N723" s="9">
        <v>0.32</v>
      </c>
      <c r="O723" s="9">
        <v>42.75</v>
      </c>
      <c r="P723" s="9">
        <v>0</v>
      </c>
      <c r="Q723" s="9">
        <v>0</v>
      </c>
    </row>
    <row r="724" s="1" customFormat="1" ht="14.25" hidden="1" spans="1:17">
      <c r="A724" s="1" t="str">
        <f>VLOOKUP(B724,combinate!A:B,2,FALSE)</f>
        <v>Group B</v>
      </c>
      <c r="B724" s="8">
        <v>254704826713</v>
      </c>
      <c r="C724" s="9">
        <v>14014475</v>
      </c>
      <c r="D724" s="10">
        <v>46161.8607175926</v>
      </c>
      <c r="E724" s="12" t="s">
        <v>254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  <c r="M724" s="9">
        <v>0</v>
      </c>
      <c r="N724" s="9">
        <v>0</v>
      </c>
      <c r="O724" s="9">
        <v>0</v>
      </c>
      <c r="P724" s="9">
        <v>0</v>
      </c>
      <c r="Q724" s="9">
        <v>0</v>
      </c>
    </row>
    <row r="725" s="1" customFormat="1" ht="14.25" hidden="1" spans="1:17">
      <c r="A725" s="1" t="str">
        <f>VLOOKUP(B725,combinate!A:B,2,FALSE)</f>
        <v>Group C</v>
      </c>
      <c r="B725" s="8">
        <v>254721430513</v>
      </c>
      <c r="C725" s="9">
        <v>14310569</v>
      </c>
      <c r="D725" s="10">
        <v>46160.9360416667</v>
      </c>
      <c r="E725" s="12" t="s">
        <v>254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0</v>
      </c>
      <c r="L725" s="9">
        <v>0</v>
      </c>
      <c r="M725" s="9">
        <v>0</v>
      </c>
      <c r="N725" s="9">
        <v>0</v>
      </c>
      <c r="O725" s="9">
        <v>0</v>
      </c>
      <c r="P725" s="9">
        <v>0</v>
      </c>
      <c r="Q725" s="9">
        <v>0</v>
      </c>
    </row>
    <row r="726" s="1" customFormat="1" ht="14.25" hidden="1" spans="1:17">
      <c r="A726" s="1" t="str">
        <f>VLOOKUP(B726,combinate!A:B,2,FALSE)</f>
        <v>Group C</v>
      </c>
      <c r="B726" s="8">
        <v>254769477822</v>
      </c>
      <c r="C726" s="9">
        <v>16791097</v>
      </c>
      <c r="D726" s="10">
        <v>46162.7031481481</v>
      </c>
      <c r="E726" s="12" t="s">
        <v>254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9">
        <v>0</v>
      </c>
      <c r="M726" s="9">
        <v>0</v>
      </c>
      <c r="N726" s="9">
        <v>0</v>
      </c>
      <c r="O726" s="9">
        <v>0</v>
      </c>
      <c r="P726" s="9">
        <v>0</v>
      </c>
      <c r="Q726" s="9">
        <v>0</v>
      </c>
    </row>
    <row r="727" s="1" customFormat="1" ht="14.25" hidden="1" spans="1:17">
      <c r="A727" s="1" t="str">
        <f>VLOOKUP(B727,combinate!A:B,2,FALSE)</f>
        <v>Group A</v>
      </c>
      <c r="B727" s="8">
        <v>254795774274</v>
      </c>
      <c r="C727" s="9">
        <v>17371290</v>
      </c>
      <c r="D727" s="10">
        <v>46177.8456828704</v>
      </c>
      <c r="E727" s="12" t="s">
        <v>254</v>
      </c>
      <c r="F727" s="9">
        <v>0</v>
      </c>
      <c r="G727" s="9">
        <v>0</v>
      </c>
      <c r="H727" s="9">
        <v>0</v>
      </c>
      <c r="I727" s="9">
        <v>0</v>
      </c>
      <c r="J727" s="9">
        <v>0</v>
      </c>
      <c r="K727" s="9">
        <v>0</v>
      </c>
      <c r="L727" s="9">
        <v>0</v>
      </c>
      <c r="M727" s="9">
        <v>0</v>
      </c>
      <c r="N727" s="9">
        <v>0</v>
      </c>
      <c r="O727" s="9">
        <v>0</v>
      </c>
      <c r="P727" s="9">
        <v>0</v>
      </c>
      <c r="Q727" s="9">
        <v>0</v>
      </c>
    </row>
    <row r="728" s="1" customFormat="1" ht="14.25" hidden="1" spans="1:17">
      <c r="A728" s="1" t="str">
        <f>VLOOKUP(B728,combinate!A:B,2,FALSE)</f>
        <v>Group A</v>
      </c>
      <c r="B728" s="8">
        <v>254768673292</v>
      </c>
      <c r="C728" s="9">
        <v>18641420</v>
      </c>
      <c r="D728" s="10">
        <v>46166.2995138889</v>
      </c>
      <c r="E728" s="12" t="s">
        <v>254</v>
      </c>
      <c r="F728" s="9">
        <v>0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9">
        <v>0</v>
      </c>
      <c r="N728" s="9">
        <v>0</v>
      </c>
      <c r="O728" s="9">
        <v>0</v>
      </c>
      <c r="P728" s="9">
        <v>0</v>
      </c>
      <c r="Q728" s="9">
        <v>0</v>
      </c>
    </row>
    <row r="729" s="1" customFormat="1" ht="14.25" hidden="1" spans="1:17">
      <c r="A729" s="1" t="str">
        <f>VLOOKUP(B729,combinate!A:B,2,FALSE)</f>
        <v>Group A</v>
      </c>
      <c r="B729" s="8">
        <v>254736374345</v>
      </c>
      <c r="C729" s="9">
        <v>19247892</v>
      </c>
      <c r="D729" s="10">
        <v>46166.8234722222</v>
      </c>
      <c r="E729" s="12" t="s">
        <v>254</v>
      </c>
      <c r="F729" s="9">
        <v>0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9">
        <v>0</v>
      </c>
      <c r="M729" s="9">
        <v>0</v>
      </c>
      <c r="N729" s="9">
        <v>0</v>
      </c>
      <c r="O729" s="9">
        <v>0</v>
      </c>
      <c r="P729" s="9">
        <v>0</v>
      </c>
      <c r="Q729" s="9">
        <v>0</v>
      </c>
    </row>
    <row r="730" s="1" customFormat="1" ht="14.25" hidden="1" spans="1:17">
      <c r="A730" s="1" t="str">
        <f>VLOOKUP(B730,combinate!A:B,2,FALSE)</f>
        <v>Group C</v>
      </c>
      <c r="B730" s="8">
        <v>254113883464</v>
      </c>
      <c r="C730" s="9">
        <v>19322957</v>
      </c>
      <c r="D730" s="10">
        <v>46182.1816550926</v>
      </c>
      <c r="E730" s="11" t="s">
        <v>250</v>
      </c>
      <c r="F730" s="9">
        <v>0.02</v>
      </c>
      <c r="G730" s="9">
        <v>3.18</v>
      </c>
      <c r="H730" s="9">
        <v>0</v>
      </c>
      <c r="I730" s="9">
        <v>3.18</v>
      </c>
      <c r="J730" s="9">
        <v>0</v>
      </c>
      <c r="K730" s="9">
        <v>3.18</v>
      </c>
      <c r="L730" s="9">
        <v>0.02</v>
      </c>
      <c r="M730" s="9">
        <v>3.18</v>
      </c>
      <c r="N730" s="9">
        <v>0</v>
      </c>
      <c r="O730" s="9">
        <v>0</v>
      </c>
      <c r="P730" s="9">
        <v>0</v>
      </c>
      <c r="Q730" s="9">
        <v>0</v>
      </c>
    </row>
    <row r="731" s="1" customFormat="1" ht="14.25" hidden="1" spans="1:17">
      <c r="A731" s="1" t="str">
        <f>VLOOKUP(B731,combinate!A:B,2,FALSE)</f>
        <v>Group A</v>
      </c>
      <c r="B731" s="8">
        <v>254105141513</v>
      </c>
      <c r="C731" s="9">
        <v>19676411</v>
      </c>
      <c r="D731" s="10">
        <v>46163.305625</v>
      </c>
      <c r="E731" s="12" t="s">
        <v>254</v>
      </c>
      <c r="F731" s="9">
        <v>0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L731" s="9">
        <v>0</v>
      </c>
      <c r="M731" s="9">
        <v>0</v>
      </c>
      <c r="N731" s="9">
        <v>0</v>
      </c>
      <c r="O731" s="9">
        <v>0</v>
      </c>
      <c r="P731" s="9">
        <v>0</v>
      </c>
      <c r="Q731" s="9">
        <v>0</v>
      </c>
    </row>
    <row r="732" s="1" customFormat="1" ht="14.25" hidden="1" spans="1:17">
      <c r="A732" s="1" t="str">
        <f>VLOOKUP(B732,combinate!A:B,2,FALSE)</f>
        <v>Group A</v>
      </c>
      <c r="B732" s="8">
        <v>254113474117</v>
      </c>
      <c r="C732" s="9">
        <v>19871132</v>
      </c>
      <c r="D732" s="10">
        <v>46163.903599537</v>
      </c>
      <c r="E732" s="12" t="s">
        <v>254</v>
      </c>
      <c r="F732" s="9">
        <v>0</v>
      </c>
      <c r="G732" s="9">
        <v>0</v>
      </c>
      <c r="H732" s="9">
        <v>0</v>
      </c>
      <c r="I732" s="9">
        <v>0</v>
      </c>
      <c r="J732" s="9">
        <v>0</v>
      </c>
      <c r="K732" s="9">
        <v>0</v>
      </c>
      <c r="L732" s="9">
        <v>0</v>
      </c>
      <c r="M732" s="9">
        <v>0</v>
      </c>
      <c r="N732" s="9">
        <v>0</v>
      </c>
      <c r="O732" s="9">
        <v>0</v>
      </c>
      <c r="P732" s="9">
        <v>0</v>
      </c>
      <c r="Q732" s="9">
        <v>0</v>
      </c>
    </row>
    <row r="733" s="1" customFormat="1" ht="14.25" hidden="1" spans="1:17">
      <c r="A733" s="1" t="str">
        <f>VLOOKUP(B733,combinate!A:B,2,FALSE)</f>
        <v>Group C</v>
      </c>
      <c r="B733" s="8">
        <v>254716212176</v>
      </c>
      <c r="C733" s="9">
        <v>20463548</v>
      </c>
      <c r="D733" s="10">
        <v>46179.6316203704</v>
      </c>
      <c r="E733" s="11" t="s">
        <v>250</v>
      </c>
      <c r="F733" s="9">
        <v>33.41</v>
      </c>
      <c r="G733" s="9">
        <v>4443.43</v>
      </c>
      <c r="H733" s="9">
        <v>0</v>
      </c>
      <c r="I733" s="9">
        <v>4443.43</v>
      </c>
      <c r="J733" s="9">
        <v>0</v>
      </c>
      <c r="K733" s="9">
        <v>-258.8</v>
      </c>
      <c r="L733" s="9">
        <v>-1.95</v>
      </c>
      <c r="M733" s="9">
        <v>-258.8</v>
      </c>
      <c r="N733" s="9">
        <v>4.83</v>
      </c>
      <c r="O733" s="9">
        <v>642.2</v>
      </c>
      <c r="P733" s="9">
        <v>11.28</v>
      </c>
      <c r="Q733" s="9">
        <v>1500</v>
      </c>
    </row>
    <row r="734" s="1" customFormat="1" ht="14.25" hidden="1" spans="1:17">
      <c r="A734" s="1" t="str">
        <f>VLOOKUP(B734,combinate!A:B,2,FALSE)</f>
        <v>Group C</v>
      </c>
      <c r="B734" s="8">
        <v>254110361556</v>
      </c>
      <c r="C734" s="9">
        <v>20922247</v>
      </c>
      <c r="D734" s="10">
        <v>46181.8674768519</v>
      </c>
      <c r="E734" s="11" t="s">
        <v>250</v>
      </c>
      <c r="F734" s="9">
        <v>49.15</v>
      </c>
      <c r="G734" s="9">
        <v>6537</v>
      </c>
      <c r="H734" s="9">
        <v>0</v>
      </c>
      <c r="I734" s="9">
        <v>6537</v>
      </c>
      <c r="J734" s="9">
        <v>0</v>
      </c>
      <c r="K734" s="9">
        <v>3166.79</v>
      </c>
      <c r="L734" s="9">
        <v>23.81</v>
      </c>
      <c r="M734" s="9">
        <v>3166.79</v>
      </c>
      <c r="N734" s="9">
        <v>8.54</v>
      </c>
      <c r="O734" s="9">
        <v>1135.25</v>
      </c>
      <c r="P734" s="9">
        <v>0</v>
      </c>
      <c r="Q734" s="9">
        <v>0</v>
      </c>
    </row>
    <row r="735" s="1" customFormat="1" ht="14.25" hidden="1" spans="1:17">
      <c r="A735" s="1" t="str">
        <f>VLOOKUP(B735,combinate!A:B,2,FALSE)</f>
        <v>Group C</v>
      </c>
      <c r="B735" s="8">
        <v>254740720387</v>
      </c>
      <c r="C735" s="9">
        <v>21065177</v>
      </c>
      <c r="D735" s="10">
        <v>46161.2153935185</v>
      </c>
      <c r="E735" s="12" t="s">
        <v>254</v>
      </c>
      <c r="F735" s="9">
        <v>0</v>
      </c>
      <c r="G735" s="9">
        <v>0</v>
      </c>
      <c r="H735" s="9">
        <v>0</v>
      </c>
      <c r="I735" s="9">
        <v>0</v>
      </c>
      <c r="J735" s="9">
        <v>0</v>
      </c>
      <c r="K735" s="9">
        <v>0</v>
      </c>
      <c r="L735" s="9">
        <v>0</v>
      </c>
      <c r="M735" s="9">
        <v>0</v>
      </c>
      <c r="N735" s="9">
        <v>0</v>
      </c>
      <c r="O735" s="9">
        <v>0</v>
      </c>
      <c r="P735" s="9">
        <v>0</v>
      </c>
      <c r="Q735" s="9">
        <v>0</v>
      </c>
    </row>
    <row r="736" s="1" customFormat="1" ht="14.25" hidden="1" spans="1:17">
      <c r="A736" s="1" t="str">
        <f>VLOOKUP(B736,combinate!A:B,2,FALSE)</f>
        <v>Group C</v>
      </c>
      <c r="B736" s="8">
        <v>254113241000</v>
      </c>
      <c r="C736" s="9">
        <v>21072016</v>
      </c>
      <c r="D736" s="10">
        <v>46180.3737384259</v>
      </c>
      <c r="E736" s="12" t="s">
        <v>254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9">
        <v>0</v>
      </c>
      <c r="N736" s="9">
        <v>0</v>
      </c>
      <c r="O736" s="9">
        <v>0</v>
      </c>
      <c r="P736" s="9">
        <v>0</v>
      </c>
      <c r="Q736" s="9">
        <v>0</v>
      </c>
    </row>
    <row r="737" s="1" customFormat="1" ht="14.25" hidden="1" spans="1:17">
      <c r="A737" s="1" t="str">
        <f>VLOOKUP(B737,combinate!A:B,2,FALSE)</f>
        <v>Group C</v>
      </c>
      <c r="B737" s="8">
        <v>254769571333</v>
      </c>
      <c r="C737" s="9">
        <v>21074496</v>
      </c>
      <c r="D737" s="10">
        <v>46182.6722222222</v>
      </c>
      <c r="E737" s="11" t="s">
        <v>250</v>
      </c>
      <c r="F737" s="9">
        <v>6.34</v>
      </c>
      <c r="G737" s="9">
        <v>843.83</v>
      </c>
      <c r="H737" s="9">
        <v>0</v>
      </c>
      <c r="I737" s="9">
        <v>843.83</v>
      </c>
      <c r="J737" s="9">
        <v>0</v>
      </c>
      <c r="K737" s="9">
        <v>227.3</v>
      </c>
      <c r="L737" s="9">
        <v>1.71</v>
      </c>
      <c r="M737" s="9">
        <v>227.3</v>
      </c>
      <c r="N737" s="9">
        <v>1.67</v>
      </c>
      <c r="O737" s="9">
        <v>222.3</v>
      </c>
      <c r="P737" s="9">
        <v>5.26</v>
      </c>
      <c r="Q737" s="9">
        <v>700</v>
      </c>
    </row>
    <row r="738" s="1" customFormat="1" ht="14.25" hidden="1" spans="1:17">
      <c r="A738" s="1" t="str">
        <f>VLOOKUP(B738,combinate!A:B,2,FALSE)</f>
        <v>Group A</v>
      </c>
      <c r="B738" s="8">
        <v>254707092265</v>
      </c>
      <c r="C738" s="9">
        <v>21150372</v>
      </c>
      <c r="D738" s="10">
        <v>46163.3495717593</v>
      </c>
      <c r="E738" s="12" t="s">
        <v>254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  <c r="M738" s="9">
        <v>0</v>
      </c>
      <c r="N738" s="9">
        <v>0</v>
      </c>
      <c r="O738" s="9">
        <v>0</v>
      </c>
      <c r="P738" s="9">
        <v>0</v>
      </c>
      <c r="Q738" s="9">
        <v>0</v>
      </c>
    </row>
    <row r="739" s="1" customFormat="1" ht="14.25" hidden="1" spans="1:17">
      <c r="A739" s="1" t="str">
        <f>VLOOKUP(B739,combinate!A:B,2,FALSE)</f>
        <v>Group C</v>
      </c>
      <c r="B739" s="8">
        <v>254713543222</v>
      </c>
      <c r="C739" s="9">
        <v>21157018</v>
      </c>
      <c r="D739" s="10">
        <v>46181.5000347222</v>
      </c>
      <c r="E739" s="11" t="s">
        <v>250</v>
      </c>
      <c r="F739" s="9">
        <v>39.35</v>
      </c>
      <c r="G739" s="9">
        <v>5234</v>
      </c>
      <c r="H739" s="9">
        <v>0</v>
      </c>
      <c r="I739" s="9">
        <v>5234</v>
      </c>
      <c r="J739" s="9">
        <v>0</v>
      </c>
      <c r="K739" s="9">
        <v>758</v>
      </c>
      <c r="L739" s="9">
        <v>5.7</v>
      </c>
      <c r="M739" s="9">
        <v>758</v>
      </c>
      <c r="N739" s="9">
        <v>5.71</v>
      </c>
      <c r="O739" s="9">
        <v>760</v>
      </c>
      <c r="P739" s="9">
        <v>0</v>
      </c>
      <c r="Q739" s="9">
        <v>0</v>
      </c>
    </row>
    <row r="740" s="1" customFormat="1" ht="14.25" hidden="1" spans="1:17">
      <c r="A740" s="1" t="str">
        <f>VLOOKUP(B740,combinate!A:B,2,FALSE)</f>
        <v>Group B</v>
      </c>
      <c r="B740" s="8">
        <v>254748054109</v>
      </c>
      <c r="C740" s="9">
        <v>21351414</v>
      </c>
      <c r="D740" s="10">
        <v>46161.7037731481</v>
      </c>
      <c r="E740" s="12" t="s">
        <v>254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0</v>
      </c>
      <c r="M740" s="9">
        <v>0</v>
      </c>
      <c r="N740" s="9">
        <v>0</v>
      </c>
      <c r="O740" s="9">
        <v>0</v>
      </c>
      <c r="P740" s="9">
        <v>0</v>
      </c>
      <c r="Q740" s="9">
        <v>0</v>
      </c>
    </row>
    <row r="741" s="1" customFormat="1" ht="14.25" hidden="1" spans="1:17">
      <c r="A741" s="1" t="str">
        <f>VLOOKUP(B741,combinate!A:B,2,FALSE)</f>
        <v>Group A</v>
      </c>
      <c r="B741" s="8">
        <v>254140655227</v>
      </c>
      <c r="C741" s="9">
        <v>21654461</v>
      </c>
      <c r="D741" s="10">
        <v>46166.6921412037</v>
      </c>
      <c r="E741" s="12" t="s">
        <v>254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  <c r="M741" s="9">
        <v>0</v>
      </c>
      <c r="N741" s="9">
        <v>0</v>
      </c>
      <c r="O741" s="9">
        <v>0</v>
      </c>
      <c r="P741" s="9">
        <v>0</v>
      </c>
      <c r="Q741" s="9">
        <v>0</v>
      </c>
    </row>
    <row r="742" s="1" customFormat="1" ht="14.25" hidden="1" spans="1:17">
      <c r="A742" s="1" t="str">
        <f>VLOOKUP(B742,combinate!A:B,2,FALSE)</f>
        <v>Group A</v>
      </c>
      <c r="B742" s="8">
        <v>254757466575</v>
      </c>
      <c r="C742" s="9">
        <v>21695322</v>
      </c>
      <c r="D742" s="10">
        <v>46183.6319791667</v>
      </c>
      <c r="E742" s="12" t="s">
        <v>254</v>
      </c>
      <c r="F742" s="9">
        <v>0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9">
        <v>0</v>
      </c>
      <c r="N742" s="9">
        <v>0</v>
      </c>
      <c r="O742" s="9">
        <v>0</v>
      </c>
      <c r="P742" s="9">
        <v>0</v>
      </c>
      <c r="Q742" s="9">
        <v>0</v>
      </c>
    </row>
    <row r="743" s="1" customFormat="1" ht="14.25" hidden="1" spans="1:17">
      <c r="A743" s="1" t="str">
        <f>VLOOKUP(B743,combinate!A:B,2,FALSE)</f>
        <v>Group C</v>
      </c>
      <c r="B743" s="8">
        <v>254759425323</v>
      </c>
      <c r="C743" s="9">
        <v>21860207</v>
      </c>
      <c r="D743" s="10">
        <v>46183.4028356482</v>
      </c>
      <c r="E743" s="11" t="s">
        <v>250</v>
      </c>
      <c r="F743" s="9">
        <v>8</v>
      </c>
      <c r="G743" s="9">
        <v>1064.52</v>
      </c>
      <c r="H743" s="9">
        <v>0</v>
      </c>
      <c r="I743" s="9">
        <v>1064.52</v>
      </c>
      <c r="J743" s="9">
        <v>0</v>
      </c>
      <c r="K743" s="9">
        <v>273.97</v>
      </c>
      <c r="L743" s="9">
        <v>2.06</v>
      </c>
      <c r="M743" s="9">
        <v>273.97</v>
      </c>
      <c r="N743" s="9">
        <v>2.03</v>
      </c>
      <c r="O743" s="9">
        <v>269.8</v>
      </c>
      <c r="P743" s="9">
        <v>6.74</v>
      </c>
      <c r="Q743" s="9">
        <v>896.03</v>
      </c>
    </row>
    <row r="744" s="1" customFormat="1" ht="14.25" hidden="1" spans="1:17">
      <c r="A744" s="1" t="str">
        <f>VLOOKUP(B744,combinate!A:B,2,FALSE)</f>
        <v>Group B</v>
      </c>
      <c r="B744" s="8">
        <v>254707756975</v>
      </c>
      <c r="C744" s="9">
        <v>22069814</v>
      </c>
      <c r="D744" s="10">
        <v>46176.4171412037</v>
      </c>
      <c r="E744" s="12" t="s">
        <v>254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  <c r="L744" s="9">
        <v>0</v>
      </c>
      <c r="M744" s="9">
        <v>0</v>
      </c>
      <c r="N744" s="9">
        <v>0</v>
      </c>
      <c r="O744" s="9">
        <v>0</v>
      </c>
      <c r="P744" s="9">
        <v>0</v>
      </c>
      <c r="Q744" s="9">
        <v>0</v>
      </c>
    </row>
    <row r="745" s="1" customFormat="1" ht="14.25" hidden="1" spans="1:17">
      <c r="A745" s="1" t="str">
        <f>VLOOKUP(B745,combinate!A:B,2,FALSE)</f>
        <v>Group A</v>
      </c>
      <c r="B745" s="8">
        <v>254707871268</v>
      </c>
      <c r="C745" s="9">
        <v>22264102</v>
      </c>
      <c r="D745" s="10">
        <v>46166.7580902778</v>
      </c>
      <c r="E745" s="12" t="s">
        <v>254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L745" s="9">
        <v>0</v>
      </c>
      <c r="M745" s="9">
        <v>0</v>
      </c>
      <c r="N745" s="9">
        <v>0</v>
      </c>
      <c r="O745" s="9">
        <v>0</v>
      </c>
      <c r="P745" s="9">
        <v>0</v>
      </c>
      <c r="Q745" s="9">
        <v>0</v>
      </c>
    </row>
    <row r="746" s="1" customFormat="1" ht="14.25" hidden="1" spans="1:17">
      <c r="A746" s="1" t="str">
        <f>VLOOKUP(B746,combinate!A:B,2,FALSE)</f>
        <v>Group A</v>
      </c>
      <c r="B746" s="8">
        <v>254743677971</v>
      </c>
      <c r="C746" s="9">
        <v>22279532</v>
      </c>
      <c r="D746" s="10">
        <v>46162.601412037</v>
      </c>
      <c r="E746" s="12" t="s">
        <v>254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  <c r="L746" s="9">
        <v>0</v>
      </c>
      <c r="M746" s="9">
        <v>0</v>
      </c>
      <c r="N746" s="9">
        <v>0</v>
      </c>
      <c r="O746" s="9">
        <v>0</v>
      </c>
      <c r="P746" s="9">
        <v>0</v>
      </c>
      <c r="Q746" s="9">
        <v>0</v>
      </c>
    </row>
    <row r="747" s="1" customFormat="1" ht="14.25" hidden="1" spans="1:17">
      <c r="A747" s="1" t="str">
        <f>VLOOKUP(B747,combinate!A:B,2,FALSE)</f>
        <v>Group A</v>
      </c>
      <c r="B747" s="8">
        <v>254708615417</v>
      </c>
      <c r="C747" s="9">
        <v>22375110</v>
      </c>
      <c r="D747" s="10">
        <v>46163.5478819444</v>
      </c>
      <c r="E747" s="12" t="s">
        <v>254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  <c r="M747" s="9">
        <v>0</v>
      </c>
      <c r="N747" s="9">
        <v>0</v>
      </c>
      <c r="O747" s="9">
        <v>0</v>
      </c>
      <c r="P747" s="9">
        <v>0</v>
      </c>
      <c r="Q747" s="9">
        <v>0</v>
      </c>
    </row>
    <row r="748" s="1" customFormat="1" ht="14.25" hidden="1" spans="1:17">
      <c r="A748" s="1" t="str">
        <f>VLOOKUP(B748,combinate!A:B,2,FALSE)</f>
        <v>Group C</v>
      </c>
      <c r="B748" s="8">
        <v>254794514464</v>
      </c>
      <c r="C748" s="9">
        <v>22399676</v>
      </c>
      <c r="D748" s="10">
        <v>46160.521875</v>
      </c>
      <c r="E748" s="12" t="s">
        <v>254</v>
      </c>
      <c r="F748" s="9">
        <v>0</v>
      </c>
      <c r="G748" s="9">
        <v>0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  <c r="M748" s="9">
        <v>0</v>
      </c>
      <c r="N748" s="9">
        <v>0</v>
      </c>
      <c r="O748" s="9">
        <v>0</v>
      </c>
      <c r="P748" s="9">
        <v>0</v>
      </c>
      <c r="Q748" s="9">
        <v>0</v>
      </c>
    </row>
    <row r="749" s="1" customFormat="1" ht="14.25" hidden="1" spans="1:17">
      <c r="A749" s="1" t="str">
        <f>VLOOKUP(B749,combinate!A:B,2,FALSE)</f>
        <v>Group A</v>
      </c>
      <c r="B749" s="8">
        <v>254726798896</v>
      </c>
      <c r="C749" s="9">
        <v>22444840</v>
      </c>
      <c r="D749" s="10">
        <v>46161.8527314815</v>
      </c>
      <c r="E749" s="12" t="s">
        <v>254</v>
      </c>
      <c r="F749" s="9">
        <v>0</v>
      </c>
      <c r="G749" s="9">
        <v>0</v>
      </c>
      <c r="H749" s="9">
        <v>0</v>
      </c>
      <c r="I749" s="9">
        <v>0</v>
      </c>
      <c r="J749" s="9">
        <v>0</v>
      </c>
      <c r="K749" s="9">
        <v>0</v>
      </c>
      <c r="L749" s="9">
        <v>0</v>
      </c>
      <c r="M749" s="9">
        <v>0</v>
      </c>
      <c r="N749" s="9">
        <v>0</v>
      </c>
      <c r="O749" s="9">
        <v>0</v>
      </c>
      <c r="P749" s="9">
        <v>0</v>
      </c>
      <c r="Q749" s="9">
        <v>0</v>
      </c>
    </row>
    <row r="750" s="1" customFormat="1" ht="14.25" hidden="1" spans="1:17">
      <c r="A750" s="1" t="str">
        <f>VLOOKUP(B750,combinate!A:B,2,FALSE)</f>
        <v>Group C</v>
      </c>
      <c r="B750" s="8">
        <v>254727168844</v>
      </c>
      <c r="C750" s="9">
        <v>30417</v>
      </c>
      <c r="D750" s="10">
        <v>46184.4091666667</v>
      </c>
      <c r="E750" s="11" t="s">
        <v>250</v>
      </c>
      <c r="F750" s="9">
        <v>242.74</v>
      </c>
      <c r="G750" s="9">
        <v>32285</v>
      </c>
      <c r="H750" s="9">
        <v>0</v>
      </c>
      <c r="I750" s="9">
        <v>32285</v>
      </c>
      <c r="J750" s="9">
        <v>0</v>
      </c>
      <c r="K750" s="9">
        <v>6118</v>
      </c>
      <c r="L750" s="9">
        <v>46</v>
      </c>
      <c r="M750" s="9">
        <v>6118</v>
      </c>
      <c r="N750" s="9">
        <v>41.64</v>
      </c>
      <c r="O750" s="9">
        <v>5538.5</v>
      </c>
      <c r="P750" s="9">
        <v>15.04</v>
      </c>
      <c r="Q750" s="9">
        <v>2000</v>
      </c>
    </row>
    <row r="751" s="1" customFormat="1" ht="14.25" hidden="1" spans="1:17">
      <c r="A751" s="1" t="str">
        <f>VLOOKUP(B751,combinate!A:B,2,FALSE)</f>
        <v>Group C</v>
      </c>
      <c r="B751" s="8">
        <v>254726081096</v>
      </c>
      <c r="C751" s="9">
        <v>389786</v>
      </c>
      <c r="D751" s="10">
        <v>46179.6119560185</v>
      </c>
      <c r="E751" s="11" t="s">
        <v>250</v>
      </c>
      <c r="F751" s="9">
        <v>0.35</v>
      </c>
      <c r="G751" s="9">
        <v>46</v>
      </c>
      <c r="H751" s="9">
        <v>46</v>
      </c>
      <c r="I751" s="9">
        <v>0</v>
      </c>
      <c r="J751" s="9">
        <v>46</v>
      </c>
      <c r="K751" s="9">
        <v>0</v>
      </c>
      <c r="L751" s="9">
        <v>0.35</v>
      </c>
      <c r="M751" s="9">
        <v>46</v>
      </c>
      <c r="N751" s="9">
        <v>0.35</v>
      </c>
      <c r="O751" s="9">
        <v>46.55</v>
      </c>
      <c r="P751" s="9">
        <v>0</v>
      </c>
      <c r="Q751" s="9">
        <v>0</v>
      </c>
    </row>
    <row r="752" s="1" customFormat="1" ht="14.25" hidden="1" spans="1:17">
      <c r="A752" s="1" t="str">
        <f>VLOOKUP(B752,combinate!A:B,2,FALSE)</f>
        <v>Group C</v>
      </c>
      <c r="B752" s="8">
        <v>254721612525</v>
      </c>
      <c r="C752" s="9">
        <v>745199</v>
      </c>
      <c r="D752" s="10">
        <v>46184.3341319444</v>
      </c>
      <c r="E752" s="11" t="s">
        <v>250</v>
      </c>
      <c r="F752" s="9">
        <v>176.72</v>
      </c>
      <c r="G752" s="9">
        <v>23503.3</v>
      </c>
      <c r="H752" s="9">
        <v>0</v>
      </c>
      <c r="I752" s="9">
        <v>23503.3</v>
      </c>
      <c r="J752" s="9">
        <v>0</v>
      </c>
      <c r="K752" s="9">
        <v>7293.8</v>
      </c>
      <c r="L752" s="9">
        <v>54.84</v>
      </c>
      <c r="M752" s="9">
        <v>7293.8</v>
      </c>
      <c r="N752" s="9">
        <v>53.84</v>
      </c>
      <c r="O752" s="9">
        <v>7161.1</v>
      </c>
      <c r="P752" s="9">
        <v>22.28</v>
      </c>
      <c r="Q752" s="9">
        <v>2962.68</v>
      </c>
    </row>
    <row r="753" s="1" customFormat="1" ht="14.25" hidden="1" spans="1:17">
      <c r="A753" s="1" t="str">
        <f>VLOOKUP(B753,combinate!A:B,2,FALSE)</f>
        <v>Group A</v>
      </c>
      <c r="B753" s="8">
        <v>254759100009</v>
      </c>
      <c r="C753" s="9">
        <v>1821800</v>
      </c>
      <c r="D753" s="10">
        <v>46161.6581018519</v>
      </c>
      <c r="E753" s="12" t="s">
        <v>254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9">
        <v>0</v>
      </c>
      <c r="M753" s="9">
        <v>0</v>
      </c>
      <c r="N753" s="9">
        <v>0</v>
      </c>
      <c r="O753" s="9">
        <v>0</v>
      </c>
      <c r="P753" s="9">
        <v>0</v>
      </c>
      <c r="Q753" s="9">
        <v>0</v>
      </c>
    </row>
    <row r="754" s="1" customFormat="1" ht="14.25" hidden="1" spans="1:17">
      <c r="A754" s="1" t="str">
        <f>VLOOKUP(B754,combinate!A:B,2,FALSE)</f>
        <v>Group C</v>
      </c>
      <c r="B754" s="8">
        <v>254705990140</v>
      </c>
      <c r="C754" s="9">
        <v>1856179</v>
      </c>
      <c r="D754" s="10">
        <v>46177.0907407407</v>
      </c>
      <c r="E754" s="11" t="s">
        <v>250</v>
      </c>
      <c r="F754" s="9">
        <v>0.3</v>
      </c>
      <c r="G754" s="9">
        <v>40</v>
      </c>
      <c r="H754" s="9">
        <v>40</v>
      </c>
      <c r="I754" s="9">
        <v>0</v>
      </c>
      <c r="J754" s="9">
        <v>40</v>
      </c>
      <c r="K754" s="9">
        <v>0</v>
      </c>
      <c r="L754" s="9">
        <v>0.3</v>
      </c>
      <c r="M754" s="9">
        <v>40</v>
      </c>
      <c r="N754" s="9">
        <v>0</v>
      </c>
      <c r="O754" s="9">
        <v>0</v>
      </c>
      <c r="P754" s="9">
        <v>0</v>
      </c>
      <c r="Q754" s="9">
        <v>0</v>
      </c>
    </row>
    <row r="755" s="1" customFormat="1" ht="14.25" hidden="1" spans="1:17">
      <c r="A755" s="1" t="str">
        <f>VLOOKUP(B755,combinate!A:B,2,FALSE)</f>
        <v>Group A</v>
      </c>
      <c r="B755" s="8">
        <v>254722926377</v>
      </c>
      <c r="C755" s="9">
        <v>2230881</v>
      </c>
      <c r="D755" s="10">
        <v>46182.7311458333</v>
      </c>
      <c r="E755" s="11" t="s">
        <v>250</v>
      </c>
      <c r="F755" s="9">
        <v>15.79</v>
      </c>
      <c r="G755" s="9">
        <v>2100</v>
      </c>
      <c r="H755" s="9">
        <v>0</v>
      </c>
      <c r="I755" s="9">
        <v>2100</v>
      </c>
      <c r="J755" s="9">
        <v>0</v>
      </c>
      <c r="K755" s="9">
        <v>256</v>
      </c>
      <c r="L755" s="9">
        <v>1.92</v>
      </c>
      <c r="M755" s="9">
        <v>256</v>
      </c>
      <c r="N755" s="9">
        <v>3.57</v>
      </c>
      <c r="O755" s="9">
        <v>475</v>
      </c>
      <c r="P755" s="9">
        <v>0</v>
      </c>
      <c r="Q755" s="9">
        <v>0</v>
      </c>
    </row>
    <row r="756" s="1" customFormat="1" ht="14.25" hidden="1" spans="1:17">
      <c r="A756" s="1" t="str">
        <f>VLOOKUP(B756,combinate!A:B,2,FALSE)</f>
        <v>Group C</v>
      </c>
      <c r="B756" s="8">
        <v>254721979344</v>
      </c>
      <c r="C756" s="9">
        <v>2561566</v>
      </c>
      <c r="D756" s="10">
        <v>46177.3302893518</v>
      </c>
      <c r="E756" s="12" t="s">
        <v>254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0</v>
      </c>
      <c r="L756" s="9">
        <v>0</v>
      </c>
      <c r="M756" s="9">
        <v>0</v>
      </c>
      <c r="N756" s="9">
        <v>0</v>
      </c>
      <c r="O756" s="9">
        <v>0</v>
      </c>
      <c r="P756" s="9">
        <v>0</v>
      </c>
      <c r="Q756" s="9">
        <v>0</v>
      </c>
    </row>
    <row r="757" s="1" customFormat="1" ht="14.25" hidden="1" spans="1:17">
      <c r="A757" s="1" t="str">
        <f>VLOOKUP(B757,combinate!A:B,2,FALSE)</f>
        <v>Group C</v>
      </c>
      <c r="B757" s="8">
        <v>254723225729</v>
      </c>
      <c r="C757" s="9">
        <v>2603268</v>
      </c>
      <c r="D757" s="10">
        <v>46161.7964236111</v>
      </c>
      <c r="E757" s="12" t="s">
        <v>254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9">
        <v>0</v>
      </c>
      <c r="L757" s="9">
        <v>0</v>
      </c>
      <c r="M757" s="9">
        <v>0</v>
      </c>
      <c r="N757" s="9">
        <v>0</v>
      </c>
      <c r="O757" s="9">
        <v>0</v>
      </c>
      <c r="P757" s="9">
        <v>0</v>
      </c>
      <c r="Q757" s="9">
        <v>0</v>
      </c>
    </row>
    <row r="758" s="1" customFormat="1" ht="14.25" hidden="1" spans="1:17">
      <c r="A758" s="1" t="str">
        <f>VLOOKUP(B758,combinate!A:B,2,FALSE)</f>
        <v>Group C</v>
      </c>
      <c r="B758" s="8">
        <v>254114447701</v>
      </c>
      <c r="C758" s="9">
        <v>3388309</v>
      </c>
      <c r="D758" s="10">
        <v>46163.804525463</v>
      </c>
      <c r="E758" s="12" t="s">
        <v>254</v>
      </c>
      <c r="F758" s="9">
        <v>0</v>
      </c>
      <c r="G758" s="9">
        <v>0</v>
      </c>
      <c r="H758" s="9">
        <v>0</v>
      </c>
      <c r="I758" s="9">
        <v>0</v>
      </c>
      <c r="J758" s="9">
        <v>0</v>
      </c>
      <c r="K758" s="9">
        <v>0</v>
      </c>
      <c r="L758" s="9">
        <v>0</v>
      </c>
      <c r="M758" s="9">
        <v>0</v>
      </c>
      <c r="N758" s="9">
        <v>0</v>
      </c>
      <c r="O758" s="9">
        <v>0</v>
      </c>
      <c r="P758" s="9">
        <v>0</v>
      </c>
      <c r="Q758" s="9">
        <v>0</v>
      </c>
    </row>
    <row r="759" s="1" customFormat="1" ht="14.25" hidden="1" spans="1:17">
      <c r="A759" s="1" t="str">
        <f>VLOOKUP(B759,combinate!A:B,2,FALSE)</f>
        <v>Group B</v>
      </c>
      <c r="B759" s="8">
        <v>254769607319</v>
      </c>
      <c r="C759" s="9">
        <v>5052925</v>
      </c>
      <c r="D759" s="10">
        <v>46183.8809143519</v>
      </c>
      <c r="E759" s="11" t="s">
        <v>250</v>
      </c>
      <c r="F759" s="9">
        <v>61.88</v>
      </c>
      <c r="G759" s="9">
        <v>8230</v>
      </c>
      <c r="H759" s="9">
        <v>0</v>
      </c>
      <c r="I759" s="9">
        <v>8230</v>
      </c>
      <c r="J759" s="9">
        <v>0</v>
      </c>
      <c r="K759" s="9">
        <v>227</v>
      </c>
      <c r="L759" s="9">
        <v>1.71</v>
      </c>
      <c r="M759" s="9">
        <v>227</v>
      </c>
      <c r="N759" s="9">
        <v>1.71</v>
      </c>
      <c r="O759" s="9">
        <v>228</v>
      </c>
      <c r="P759" s="9">
        <v>0</v>
      </c>
      <c r="Q759" s="9">
        <v>0</v>
      </c>
    </row>
    <row r="760" s="1" customFormat="1" ht="14.25" hidden="1" spans="1:17">
      <c r="A760" s="1" t="str">
        <f>VLOOKUP(B760,combinate!A:B,2,FALSE)</f>
        <v>Group C</v>
      </c>
      <c r="B760" s="8">
        <v>254729175986</v>
      </c>
      <c r="C760" s="9">
        <v>8651438</v>
      </c>
      <c r="D760" s="10">
        <v>46183.0382175926</v>
      </c>
      <c r="E760" s="12" t="s">
        <v>254</v>
      </c>
      <c r="F760" s="9">
        <v>0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  <c r="M760" s="9">
        <v>0</v>
      </c>
      <c r="N760" s="9">
        <v>0</v>
      </c>
      <c r="O760" s="9">
        <v>0</v>
      </c>
      <c r="P760" s="9">
        <v>0</v>
      </c>
      <c r="Q760" s="9">
        <v>0</v>
      </c>
    </row>
    <row r="761" s="1" customFormat="1" ht="14.25" hidden="1" spans="1:17">
      <c r="A761" s="1" t="str">
        <f>VLOOKUP(B761,combinate!A:B,2,FALSE)</f>
        <v>Group C</v>
      </c>
      <c r="B761" s="8">
        <v>254748859054</v>
      </c>
      <c r="C761" s="9">
        <v>9765127</v>
      </c>
      <c r="D761" s="10">
        <v>46166.804837963</v>
      </c>
      <c r="E761" s="12" t="s">
        <v>254</v>
      </c>
      <c r="F761" s="9">
        <v>0</v>
      </c>
      <c r="G761" s="9">
        <v>0</v>
      </c>
      <c r="H761" s="9">
        <v>0</v>
      </c>
      <c r="I761" s="9">
        <v>0</v>
      </c>
      <c r="J761" s="9">
        <v>0</v>
      </c>
      <c r="K761" s="9">
        <v>0</v>
      </c>
      <c r="L761" s="9">
        <v>0</v>
      </c>
      <c r="M761" s="9">
        <v>0</v>
      </c>
      <c r="N761" s="9">
        <v>0</v>
      </c>
      <c r="O761" s="9">
        <v>0</v>
      </c>
      <c r="P761" s="9">
        <v>0</v>
      </c>
      <c r="Q761" s="9">
        <v>0</v>
      </c>
    </row>
    <row r="762" s="1" customFormat="1" ht="14.25" hidden="1" spans="1:17">
      <c r="A762" s="1" t="str">
        <f>VLOOKUP(B762,combinate!A:B,2,FALSE)</f>
        <v>Group A</v>
      </c>
      <c r="B762" s="8">
        <v>254794424367</v>
      </c>
      <c r="C762" s="9">
        <v>10429661</v>
      </c>
      <c r="D762" s="10">
        <v>46180.8206828704</v>
      </c>
      <c r="E762" s="11" t="s">
        <v>250</v>
      </c>
      <c r="F762" s="9">
        <v>1.03</v>
      </c>
      <c r="G762" s="9">
        <v>137</v>
      </c>
      <c r="H762" s="9">
        <v>0</v>
      </c>
      <c r="I762" s="9">
        <v>137</v>
      </c>
      <c r="J762" s="9">
        <v>0</v>
      </c>
      <c r="K762" s="9">
        <v>47</v>
      </c>
      <c r="L762" s="9">
        <v>0.35</v>
      </c>
      <c r="M762" s="9">
        <v>47</v>
      </c>
      <c r="N762" s="9">
        <v>0.36</v>
      </c>
      <c r="O762" s="9">
        <v>47.5</v>
      </c>
      <c r="P762" s="9">
        <v>0</v>
      </c>
      <c r="Q762" s="9">
        <v>0</v>
      </c>
    </row>
    <row r="763" s="1" customFormat="1" ht="14.25" hidden="1" spans="1:17">
      <c r="A763" s="1" t="str">
        <f>VLOOKUP(B763,combinate!A:B,2,FALSE)</f>
        <v>Group A</v>
      </c>
      <c r="B763" s="8">
        <v>254725327057</v>
      </c>
      <c r="C763" s="9">
        <v>12051141</v>
      </c>
      <c r="D763" s="10">
        <v>46160.1958217593</v>
      </c>
      <c r="E763" s="12" t="s">
        <v>254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9">
        <v>0</v>
      </c>
      <c r="N763" s="9">
        <v>0</v>
      </c>
      <c r="O763" s="9">
        <v>0</v>
      </c>
      <c r="P763" s="9">
        <v>0</v>
      </c>
      <c r="Q763" s="9">
        <v>0</v>
      </c>
    </row>
    <row r="764" s="1" customFormat="1" ht="14.25" spans="1:17">
      <c r="A764" s="1" t="str">
        <f>VLOOKUP(B764,combinate!A:B,2,FALSE)</f>
        <v>Group C</v>
      </c>
      <c r="B764" s="8">
        <v>254717954273</v>
      </c>
      <c r="C764" s="9">
        <v>12700776</v>
      </c>
      <c r="D764" s="10">
        <v>46182.2810185185</v>
      </c>
      <c r="E764" s="11" t="s">
        <v>250</v>
      </c>
      <c r="F764" s="9">
        <v>489.8</v>
      </c>
      <c r="G764" s="9">
        <v>65143.8</v>
      </c>
      <c r="H764" s="9">
        <v>0</v>
      </c>
      <c r="I764" s="9">
        <v>65143.8</v>
      </c>
      <c r="J764" s="9">
        <v>0</v>
      </c>
      <c r="K764" s="9">
        <v>16364.29</v>
      </c>
      <c r="L764" s="9">
        <v>123.04</v>
      </c>
      <c r="M764" s="9">
        <v>16364.29</v>
      </c>
      <c r="N764" s="9">
        <v>30.76</v>
      </c>
      <c r="O764" s="9">
        <v>4090.7</v>
      </c>
      <c r="P764" s="9">
        <v>14.92</v>
      </c>
      <c r="Q764" s="9">
        <v>1984.09</v>
      </c>
    </row>
    <row r="765" s="1" customFormat="1" ht="14.25" hidden="1" spans="1:17">
      <c r="A765" s="1" t="str">
        <f>VLOOKUP(B765,combinate!A:B,2,FALSE)</f>
        <v>Group C</v>
      </c>
      <c r="B765" s="8">
        <v>254748105090</v>
      </c>
      <c r="C765" s="9">
        <v>13205388</v>
      </c>
      <c r="D765" s="10">
        <v>46160.6885069444</v>
      </c>
      <c r="E765" s="12" t="s">
        <v>254</v>
      </c>
      <c r="F765" s="9">
        <v>0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9">
        <v>0</v>
      </c>
      <c r="N765" s="9">
        <v>0</v>
      </c>
      <c r="O765" s="9">
        <v>0</v>
      </c>
      <c r="P765" s="9">
        <v>0</v>
      </c>
      <c r="Q765" s="9">
        <v>0</v>
      </c>
    </row>
    <row r="766" s="1" customFormat="1" ht="14.25" hidden="1" spans="1:17">
      <c r="A766" s="1" t="str">
        <f>VLOOKUP(B766,combinate!A:B,2,FALSE)</f>
        <v>Group C</v>
      </c>
      <c r="B766" s="8">
        <v>254790154590</v>
      </c>
      <c r="C766" s="9">
        <v>13366378</v>
      </c>
      <c r="D766" s="10">
        <v>46178.7196180556</v>
      </c>
      <c r="E766" s="11" t="s">
        <v>250</v>
      </c>
      <c r="F766" s="9">
        <v>0.29</v>
      </c>
      <c r="G766" s="9">
        <v>38.64</v>
      </c>
      <c r="H766" s="9">
        <v>0</v>
      </c>
      <c r="I766" s="9">
        <v>38.64</v>
      </c>
      <c r="J766" s="9">
        <v>0</v>
      </c>
      <c r="K766" s="9">
        <v>38.64</v>
      </c>
      <c r="L766" s="9">
        <v>0.29</v>
      </c>
      <c r="M766" s="9">
        <v>38.64</v>
      </c>
      <c r="N766" s="9">
        <v>0.29</v>
      </c>
      <c r="O766" s="9">
        <v>38</v>
      </c>
      <c r="P766" s="9">
        <v>0</v>
      </c>
      <c r="Q766" s="9">
        <v>0</v>
      </c>
    </row>
    <row r="767" s="1" customFormat="1" ht="14.25" hidden="1" spans="1:17">
      <c r="A767" s="1" t="str">
        <f>VLOOKUP(B767,combinate!A:B,2,FALSE)</f>
        <v>Group C</v>
      </c>
      <c r="B767" s="8">
        <v>254713641613</v>
      </c>
      <c r="C767" s="9">
        <v>13433847</v>
      </c>
      <c r="D767" s="10">
        <v>46183.2246990741</v>
      </c>
      <c r="E767" s="11" t="s">
        <v>250</v>
      </c>
      <c r="F767" s="9">
        <v>156.37</v>
      </c>
      <c r="G767" s="9">
        <v>20796.6</v>
      </c>
      <c r="H767" s="9">
        <v>0</v>
      </c>
      <c r="I767" s="9">
        <v>20796.6</v>
      </c>
      <c r="J767" s="9">
        <v>0</v>
      </c>
      <c r="K767" s="9">
        <v>15031.6</v>
      </c>
      <c r="L767" s="9">
        <v>113.02</v>
      </c>
      <c r="M767" s="9">
        <v>15031.6</v>
      </c>
      <c r="N767" s="9">
        <v>50</v>
      </c>
      <c r="O767" s="9">
        <v>6650</v>
      </c>
      <c r="P767" s="9">
        <v>0</v>
      </c>
      <c r="Q767" s="9">
        <v>0</v>
      </c>
    </row>
    <row r="768" s="1" customFormat="1" ht="14.25" hidden="1" spans="1:17">
      <c r="A768" s="1" t="str">
        <f>VLOOKUP(B768,combinate!A:B,2,FALSE)</f>
        <v>Group C</v>
      </c>
      <c r="B768" s="8">
        <v>254728657248</v>
      </c>
      <c r="C768" s="9">
        <v>13493527</v>
      </c>
      <c r="D768" s="10">
        <v>46163.3670601852</v>
      </c>
      <c r="E768" s="12" t="s">
        <v>254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9">
        <v>0</v>
      </c>
      <c r="N768" s="9">
        <v>0</v>
      </c>
      <c r="O768" s="9">
        <v>0</v>
      </c>
      <c r="P768" s="9">
        <v>0</v>
      </c>
      <c r="Q768" s="9">
        <v>0</v>
      </c>
    </row>
    <row r="769" s="1" customFormat="1" ht="14.25" hidden="1" spans="1:17">
      <c r="A769" s="1" t="str">
        <f>VLOOKUP(B769,combinate!A:B,2,FALSE)</f>
        <v>Group C</v>
      </c>
      <c r="B769" s="8">
        <v>254111912405</v>
      </c>
      <c r="C769" s="9">
        <v>13559487</v>
      </c>
      <c r="D769" s="10">
        <v>46162.6498148148</v>
      </c>
      <c r="E769" s="12" t="s">
        <v>254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0</v>
      </c>
      <c r="M769" s="9">
        <v>0</v>
      </c>
      <c r="N769" s="9">
        <v>0</v>
      </c>
      <c r="O769" s="9">
        <v>0</v>
      </c>
      <c r="P769" s="9">
        <v>0</v>
      </c>
      <c r="Q769" s="9">
        <v>0</v>
      </c>
    </row>
    <row r="770" s="1" customFormat="1" ht="14.25" hidden="1" spans="1:17">
      <c r="A770" s="1" t="str">
        <f>VLOOKUP(B770,combinate!A:B,2,FALSE)</f>
        <v>Group B</v>
      </c>
      <c r="B770" s="8">
        <v>254717643024</v>
      </c>
      <c r="C770" s="9">
        <v>15618775</v>
      </c>
      <c r="D770" s="10">
        <v>46160.370462963</v>
      </c>
      <c r="E770" s="12" t="s">
        <v>254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  <c r="M770" s="9">
        <v>0</v>
      </c>
      <c r="N770" s="9">
        <v>0</v>
      </c>
      <c r="O770" s="9">
        <v>0</v>
      </c>
      <c r="P770" s="9">
        <v>0</v>
      </c>
      <c r="Q770" s="9">
        <v>0</v>
      </c>
    </row>
    <row r="771" s="1" customFormat="1" ht="14.25" hidden="1" spans="1:17">
      <c r="A771" s="1" t="str">
        <f>VLOOKUP(B771,combinate!A:B,2,FALSE)</f>
        <v>Group A</v>
      </c>
      <c r="B771" s="8">
        <v>254746913337</v>
      </c>
      <c r="C771" s="9">
        <v>16750252</v>
      </c>
      <c r="D771" s="10">
        <v>46166.216099537</v>
      </c>
      <c r="E771" s="12" t="s">
        <v>254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L771" s="9">
        <v>0</v>
      </c>
      <c r="M771" s="9">
        <v>0</v>
      </c>
      <c r="N771" s="9">
        <v>0</v>
      </c>
      <c r="O771" s="9">
        <v>0</v>
      </c>
      <c r="P771" s="9">
        <v>0</v>
      </c>
      <c r="Q771" s="9">
        <v>0</v>
      </c>
    </row>
    <row r="772" s="1" customFormat="1" ht="14.25" hidden="1" spans="1:17">
      <c r="A772" s="1" t="str">
        <f>VLOOKUP(B772,combinate!A:B,2,FALSE)</f>
        <v>Group C</v>
      </c>
      <c r="B772" s="8">
        <v>254728270590</v>
      </c>
      <c r="C772" s="9">
        <v>16775606</v>
      </c>
      <c r="D772" s="10">
        <v>46160.623900463</v>
      </c>
      <c r="E772" s="12" t="s">
        <v>254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0</v>
      </c>
      <c r="M772" s="9">
        <v>0</v>
      </c>
      <c r="N772" s="9">
        <v>0</v>
      </c>
      <c r="O772" s="9">
        <v>0</v>
      </c>
      <c r="P772" s="9">
        <v>0</v>
      </c>
      <c r="Q772" s="9">
        <v>0</v>
      </c>
    </row>
    <row r="773" s="1" customFormat="1" ht="14.25" hidden="1" spans="1:17">
      <c r="A773" s="1" t="str">
        <f>VLOOKUP(B773,combinate!A:B,2,FALSE)</f>
        <v>Group C</v>
      </c>
      <c r="B773" s="8">
        <v>254792306816</v>
      </c>
      <c r="C773" s="9">
        <v>16861279</v>
      </c>
      <c r="D773" s="10">
        <v>46182.6421875</v>
      </c>
      <c r="E773" s="11" t="s">
        <v>250</v>
      </c>
      <c r="F773" s="9">
        <v>7.79</v>
      </c>
      <c r="G773" s="9">
        <v>1036.48</v>
      </c>
      <c r="H773" s="9">
        <v>0</v>
      </c>
      <c r="I773" s="9">
        <v>1036.48</v>
      </c>
      <c r="J773" s="9">
        <v>0</v>
      </c>
      <c r="K773" s="9">
        <v>30.93</v>
      </c>
      <c r="L773" s="9">
        <v>0.23</v>
      </c>
      <c r="M773" s="9">
        <v>30.93</v>
      </c>
      <c r="N773" s="9">
        <v>1.14</v>
      </c>
      <c r="O773" s="9">
        <v>152</v>
      </c>
      <c r="P773" s="9">
        <v>0.75</v>
      </c>
      <c r="Q773" s="9">
        <v>100</v>
      </c>
    </row>
    <row r="774" s="1" customFormat="1" ht="14.25" hidden="1" spans="1:17">
      <c r="A774" s="1" t="str">
        <f>VLOOKUP(B774,combinate!A:B,2,FALSE)</f>
        <v>Group A</v>
      </c>
      <c r="B774" s="8">
        <v>254702735284</v>
      </c>
      <c r="C774" s="9">
        <v>18338221</v>
      </c>
      <c r="D774" s="10">
        <v>46163.4153472222</v>
      </c>
      <c r="E774" s="12" t="s">
        <v>254</v>
      </c>
      <c r="F774" s="9">
        <v>0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9">
        <v>0</v>
      </c>
      <c r="N774" s="9">
        <v>0</v>
      </c>
      <c r="O774" s="9">
        <v>0</v>
      </c>
      <c r="P774" s="9">
        <v>0</v>
      </c>
      <c r="Q774" s="9">
        <v>0</v>
      </c>
    </row>
    <row r="775" s="1" customFormat="1" ht="14.25" hidden="1" spans="1:17">
      <c r="A775" s="1" t="str">
        <f>VLOOKUP(B775,combinate!A:B,2,FALSE)</f>
        <v>Group C</v>
      </c>
      <c r="B775" s="8">
        <v>254705264647</v>
      </c>
      <c r="C775" s="9">
        <v>18514898</v>
      </c>
      <c r="D775" s="10">
        <v>46160.5248148148</v>
      </c>
      <c r="E775" s="12" t="s">
        <v>254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  <c r="K775" s="9">
        <v>0</v>
      </c>
      <c r="L775" s="9">
        <v>0</v>
      </c>
      <c r="M775" s="9">
        <v>0</v>
      </c>
      <c r="N775" s="9">
        <v>0</v>
      </c>
      <c r="O775" s="9">
        <v>0</v>
      </c>
      <c r="P775" s="9">
        <v>0</v>
      </c>
      <c r="Q775" s="9">
        <v>0</v>
      </c>
    </row>
    <row r="776" s="1" customFormat="1" ht="14.25" hidden="1" spans="1:17">
      <c r="A776" s="1" t="str">
        <f>VLOOKUP(B776,combinate!A:B,2,FALSE)</f>
        <v>Group C</v>
      </c>
      <c r="B776" s="8">
        <v>254795868759</v>
      </c>
      <c r="C776" s="9">
        <v>19027768</v>
      </c>
      <c r="D776" s="10">
        <v>46163.6424884259</v>
      </c>
      <c r="E776" s="12" t="s">
        <v>254</v>
      </c>
      <c r="F776" s="9">
        <v>0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  <c r="L776" s="9">
        <v>0</v>
      </c>
      <c r="M776" s="9">
        <v>0</v>
      </c>
      <c r="N776" s="9">
        <v>0</v>
      </c>
      <c r="O776" s="9">
        <v>0</v>
      </c>
      <c r="P776" s="9">
        <v>0</v>
      </c>
      <c r="Q776" s="9">
        <v>0</v>
      </c>
    </row>
    <row r="777" s="1" customFormat="1" ht="14.25" hidden="1" spans="1:17">
      <c r="A777" s="1" t="str">
        <f>VLOOKUP(B777,combinate!A:B,2,FALSE)</f>
        <v>Group C</v>
      </c>
      <c r="B777" s="8">
        <v>254721975097</v>
      </c>
      <c r="C777" s="9">
        <v>19551786</v>
      </c>
      <c r="D777" s="10">
        <v>46163.6037384259</v>
      </c>
      <c r="E777" s="12" t="s">
        <v>254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9">
        <v>0</v>
      </c>
      <c r="N777" s="9">
        <v>0</v>
      </c>
      <c r="O777" s="9">
        <v>0</v>
      </c>
      <c r="P777" s="9">
        <v>0</v>
      </c>
      <c r="Q777" s="9">
        <v>0</v>
      </c>
    </row>
    <row r="778" s="1" customFormat="1" ht="14.25" hidden="1" spans="1:17">
      <c r="A778" s="1" t="str">
        <f>VLOOKUP(B778,combinate!A:B,2,FALSE)</f>
        <v>Group C</v>
      </c>
      <c r="B778" s="8">
        <v>254768955816</v>
      </c>
      <c r="C778" s="9">
        <v>20525348</v>
      </c>
      <c r="D778" s="10">
        <v>46163.7092939815</v>
      </c>
      <c r="E778" s="12" t="s">
        <v>254</v>
      </c>
      <c r="F778" s="9">
        <v>0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9">
        <v>0</v>
      </c>
      <c r="N778" s="9">
        <v>0</v>
      </c>
      <c r="O778" s="9">
        <v>0</v>
      </c>
      <c r="P778" s="9">
        <v>0</v>
      </c>
      <c r="Q778" s="9">
        <v>0</v>
      </c>
    </row>
    <row r="779" s="1" customFormat="1" ht="14.25" hidden="1" spans="1:17">
      <c r="A779" s="1" t="str">
        <f>VLOOKUP(B779,combinate!A:B,2,FALSE)</f>
        <v>Group C</v>
      </c>
      <c r="B779" s="8">
        <v>254724284677</v>
      </c>
      <c r="C779" s="9">
        <v>153118</v>
      </c>
      <c r="D779" s="10">
        <v>46181.7070833333</v>
      </c>
      <c r="E779" s="12" t="s">
        <v>254</v>
      </c>
      <c r="F779" s="9">
        <v>0</v>
      </c>
      <c r="G779" s="9">
        <v>0</v>
      </c>
      <c r="H779" s="9">
        <v>0</v>
      </c>
      <c r="I779" s="9">
        <v>0</v>
      </c>
      <c r="J779" s="9">
        <v>0</v>
      </c>
      <c r="K779" s="9">
        <v>0</v>
      </c>
      <c r="L779" s="9">
        <v>0</v>
      </c>
      <c r="M779" s="9">
        <v>0</v>
      </c>
      <c r="N779" s="9">
        <v>0</v>
      </c>
      <c r="O779" s="9">
        <v>0</v>
      </c>
      <c r="P779" s="9">
        <v>0</v>
      </c>
      <c r="Q779" s="9">
        <v>0</v>
      </c>
    </row>
    <row r="780" s="1" customFormat="1" ht="14.25" hidden="1" spans="1:17">
      <c r="A780" s="1" t="str">
        <f>VLOOKUP(B780,combinate!A:B,2,FALSE)</f>
        <v>Group C</v>
      </c>
      <c r="B780" s="8">
        <v>254728927924</v>
      </c>
      <c r="C780" s="9">
        <v>860418</v>
      </c>
      <c r="D780" s="10">
        <v>46175.5531481481</v>
      </c>
      <c r="E780" s="11" t="s">
        <v>250</v>
      </c>
      <c r="F780" s="9">
        <v>58.8</v>
      </c>
      <c r="G780" s="9">
        <v>7820</v>
      </c>
      <c r="H780" s="9">
        <v>0</v>
      </c>
      <c r="I780" s="9">
        <v>7820</v>
      </c>
      <c r="J780" s="9">
        <v>0</v>
      </c>
      <c r="K780" s="9">
        <v>-720</v>
      </c>
      <c r="L780" s="9">
        <v>-5.41</v>
      </c>
      <c r="M780" s="9">
        <v>-720</v>
      </c>
      <c r="N780" s="9">
        <v>14.64</v>
      </c>
      <c r="O780" s="9">
        <v>1947.5</v>
      </c>
      <c r="P780" s="9">
        <v>60.41</v>
      </c>
      <c r="Q780" s="9">
        <v>8034.76</v>
      </c>
    </row>
    <row r="781" s="1" customFormat="1" ht="14.25" hidden="1" spans="1:17">
      <c r="A781" s="1" t="str">
        <f>VLOOKUP(B781,combinate!A:B,2,FALSE)</f>
        <v>Group C</v>
      </c>
      <c r="B781" s="8">
        <v>254720467204</v>
      </c>
      <c r="C781" s="9">
        <v>3445709</v>
      </c>
      <c r="D781" s="10">
        <v>46181.2756134259</v>
      </c>
      <c r="E781" s="11" t="s">
        <v>250</v>
      </c>
      <c r="F781" s="9">
        <v>47.68</v>
      </c>
      <c r="G781" s="9">
        <v>6340.97</v>
      </c>
      <c r="H781" s="9">
        <v>0</v>
      </c>
      <c r="I781" s="9">
        <v>6340.97</v>
      </c>
      <c r="J781" s="9">
        <v>0</v>
      </c>
      <c r="K781" s="9">
        <v>1738.5</v>
      </c>
      <c r="L781" s="9">
        <v>13.07</v>
      </c>
      <c r="M781" s="9">
        <v>1738.5</v>
      </c>
      <c r="N781" s="9">
        <v>13.07</v>
      </c>
      <c r="O781" s="9">
        <v>1738.5</v>
      </c>
      <c r="P781" s="9">
        <v>0</v>
      </c>
      <c r="Q781" s="9">
        <v>0</v>
      </c>
    </row>
    <row r="782" s="1" customFormat="1" ht="14.25" hidden="1" spans="1:17">
      <c r="A782" s="1" t="str">
        <f>VLOOKUP(B782,combinate!A:B,2,FALSE)</f>
        <v>Group C</v>
      </c>
      <c r="B782" s="8">
        <v>254722323764</v>
      </c>
      <c r="C782" s="9">
        <v>8462548</v>
      </c>
      <c r="D782" s="10">
        <v>46161.6641898148</v>
      </c>
      <c r="E782" s="12" t="s">
        <v>254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0</v>
      </c>
      <c r="M782" s="9">
        <v>0</v>
      </c>
      <c r="N782" s="9">
        <v>0</v>
      </c>
      <c r="O782" s="9">
        <v>0</v>
      </c>
      <c r="P782" s="9">
        <v>0</v>
      </c>
      <c r="Q782" s="9">
        <v>0</v>
      </c>
    </row>
    <row r="783" s="1" customFormat="1" ht="14.25" hidden="1" spans="1:17">
      <c r="A783" s="1" t="str">
        <f>VLOOKUP(B783,combinate!A:B,2,FALSE)</f>
        <v>Group C</v>
      </c>
      <c r="B783" s="8">
        <v>254720216606</v>
      </c>
      <c r="C783" s="9">
        <v>9048897</v>
      </c>
      <c r="D783" s="10">
        <v>46183.8145601852</v>
      </c>
      <c r="E783" s="12" t="s">
        <v>254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  <c r="L783" s="9">
        <v>0</v>
      </c>
      <c r="M783" s="9">
        <v>0</v>
      </c>
      <c r="N783" s="9">
        <v>0</v>
      </c>
      <c r="O783" s="9">
        <v>0</v>
      </c>
      <c r="P783" s="9">
        <v>0</v>
      </c>
      <c r="Q783" s="9">
        <v>0</v>
      </c>
    </row>
    <row r="784" s="1" customFormat="1" ht="14.25" hidden="1" spans="1:17">
      <c r="A784" s="1" t="str">
        <f>VLOOKUP(B784,combinate!A:B,2,FALSE)</f>
        <v>Group A</v>
      </c>
      <c r="B784" s="8">
        <v>254748206448</v>
      </c>
      <c r="C784" s="9">
        <v>11928660</v>
      </c>
      <c r="D784" s="10">
        <v>46161.950625</v>
      </c>
      <c r="E784" s="12" t="s">
        <v>254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9">
        <v>0</v>
      </c>
      <c r="M784" s="9">
        <v>0</v>
      </c>
      <c r="N784" s="9">
        <v>0</v>
      </c>
      <c r="O784" s="9">
        <v>0</v>
      </c>
      <c r="P784" s="9">
        <v>0</v>
      </c>
      <c r="Q784" s="9">
        <v>0</v>
      </c>
    </row>
    <row r="785" s="1" customFormat="1" ht="14.25" hidden="1" spans="1:17">
      <c r="A785" s="1" t="str">
        <f>VLOOKUP(B785,combinate!A:B,2,FALSE)</f>
        <v>Group A</v>
      </c>
      <c r="B785" s="8">
        <v>254769663351</v>
      </c>
      <c r="C785" s="9">
        <v>12268890</v>
      </c>
      <c r="D785" s="10">
        <v>46183.4654282407</v>
      </c>
      <c r="E785" s="11" t="s">
        <v>250</v>
      </c>
      <c r="F785" s="9">
        <v>21.6</v>
      </c>
      <c r="G785" s="9">
        <v>2872.25</v>
      </c>
      <c r="H785" s="9">
        <v>0</v>
      </c>
      <c r="I785" s="9">
        <v>2872.25</v>
      </c>
      <c r="J785" s="9">
        <v>0</v>
      </c>
      <c r="K785" s="9">
        <v>468.38</v>
      </c>
      <c r="L785" s="9">
        <v>3.52</v>
      </c>
      <c r="M785" s="9">
        <v>468.38</v>
      </c>
      <c r="N785" s="9">
        <v>4.19</v>
      </c>
      <c r="O785" s="9">
        <v>557.65</v>
      </c>
      <c r="P785" s="9">
        <v>0</v>
      </c>
      <c r="Q785" s="9">
        <v>0</v>
      </c>
    </row>
    <row r="786" s="1" customFormat="1" ht="14.25" hidden="1" spans="1:17">
      <c r="A786" s="1" t="str">
        <f>VLOOKUP(B786,combinate!A:B,2,FALSE)</f>
        <v>Group A</v>
      </c>
      <c r="B786" s="8">
        <v>254791226446</v>
      </c>
      <c r="C786" s="9">
        <v>12762621</v>
      </c>
      <c r="D786" s="10">
        <v>46162.8471180556</v>
      </c>
      <c r="E786" s="12" t="s">
        <v>254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9">
        <v>0</v>
      </c>
      <c r="M786" s="9">
        <v>0</v>
      </c>
      <c r="N786" s="9">
        <v>0</v>
      </c>
      <c r="O786" s="9">
        <v>0</v>
      </c>
      <c r="P786" s="9">
        <v>0</v>
      </c>
      <c r="Q786" s="9">
        <v>0</v>
      </c>
    </row>
    <row r="787" s="1" customFormat="1" ht="14.25" hidden="1" spans="1:17">
      <c r="A787" s="1" t="str">
        <f>VLOOKUP(B787,combinate!A:B,2,FALSE)</f>
        <v>Group C</v>
      </c>
      <c r="B787" s="8">
        <v>254705478480</v>
      </c>
      <c r="C787" s="9">
        <v>13199676</v>
      </c>
      <c r="D787" s="10">
        <v>46161.6380324074</v>
      </c>
      <c r="E787" s="12" t="s">
        <v>254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  <c r="M787" s="9">
        <v>0</v>
      </c>
      <c r="N787" s="9">
        <v>0</v>
      </c>
      <c r="O787" s="9">
        <v>0</v>
      </c>
      <c r="P787" s="9">
        <v>0</v>
      </c>
      <c r="Q787" s="9">
        <v>0</v>
      </c>
    </row>
    <row r="788" s="1" customFormat="1" ht="14.25" hidden="1" spans="1:17">
      <c r="A788" s="1" t="str">
        <f>VLOOKUP(B788,combinate!A:B,2,FALSE)</f>
        <v>Group C</v>
      </c>
      <c r="B788" s="8">
        <v>254725768719</v>
      </c>
      <c r="C788" s="9">
        <v>13206176</v>
      </c>
      <c r="D788" s="10">
        <v>46184.3199074074</v>
      </c>
      <c r="E788" s="11" t="s">
        <v>250</v>
      </c>
      <c r="F788" s="9">
        <v>434.62</v>
      </c>
      <c r="G788" s="9">
        <v>57804.2</v>
      </c>
      <c r="H788" s="9">
        <v>0</v>
      </c>
      <c r="I788" s="9">
        <v>57804.2</v>
      </c>
      <c r="J788" s="9">
        <v>0</v>
      </c>
      <c r="K788" s="9">
        <v>-6171.5</v>
      </c>
      <c r="L788" s="9">
        <v>-46.4</v>
      </c>
      <c r="M788" s="9">
        <v>-6171.5</v>
      </c>
      <c r="N788" s="9">
        <v>86.79</v>
      </c>
      <c r="O788" s="9">
        <v>11542.5</v>
      </c>
      <c r="P788" s="9">
        <v>136.09</v>
      </c>
      <c r="Q788" s="9">
        <v>18100</v>
      </c>
    </row>
    <row r="789" s="1" customFormat="1" ht="14.25" hidden="1" spans="1:17">
      <c r="A789" s="1" t="str">
        <f>VLOOKUP(B789,combinate!A:B,2,FALSE)</f>
        <v>Group A</v>
      </c>
      <c r="B789" s="8">
        <v>254706643554</v>
      </c>
      <c r="C789" s="9">
        <v>13348491</v>
      </c>
      <c r="D789" s="10">
        <v>46162.1573263889</v>
      </c>
      <c r="E789" s="12" t="s">
        <v>254</v>
      </c>
      <c r="F789" s="9">
        <v>0</v>
      </c>
      <c r="G789" s="9">
        <v>0</v>
      </c>
      <c r="H789" s="9">
        <v>0</v>
      </c>
      <c r="I789" s="9">
        <v>0</v>
      </c>
      <c r="J789" s="9">
        <v>0</v>
      </c>
      <c r="K789" s="9">
        <v>0</v>
      </c>
      <c r="L789" s="9">
        <v>0</v>
      </c>
      <c r="M789" s="9">
        <v>0</v>
      </c>
      <c r="N789" s="9">
        <v>0</v>
      </c>
      <c r="O789" s="9">
        <v>0</v>
      </c>
      <c r="P789" s="9">
        <v>0</v>
      </c>
      <c r="Q789" s="9">
        <v>0</v>
      </c>
    </row>
    <row r="790" s="1" customFormat="1" ht="14.25" hidden="1" spans="1:17">
      <c r="A790" s="1" t="str">
        <f>VLOOKUP(B790,combinate!A:B,2,FALSE)</f>
        <v>Group A</v>
      </c>
      <c r="B790" s="8">
        <v>254724676563</v>
      </c>
      <c r="C790" s="9">
        <v>13635192</v>
      </c>
      <c r="D790" s="10">
        <v>46184.3674074074</v>
      </c>
      <c r="E790" s="11" t="s">
        <v>250</v>
      </c>
      <c r="F790" s="9">
        <v>105.1</v>
      </c>
      <c r="G790" s="9">
        <v>13978</v>
      </c>
      <c r="H790" s="9">
        <v>0</v>
      </c>
      <c r="I790" s="9">
        <v>13978</v>
      </c>
      <c r="J790" s="9">
        <v>0</v>
      </c>
      <c r="K790" s="9">
        <v>3956.87</v>
      </c>
      <c r="L790" s="9">
        <v>29.75</v>
      </c>
      <c r="M790" s="9">
        <v>3956.87</v>
      </c>
      <c r="N790" s="9">
        <v>31.82</v>
      </c>
      <c r="O790" s="9">
        <v>4232.25</v>
      </c>
      <c r="P790" s="9">
        <v>0</v>
      </c>
      <c r="Q790" s="9">
        <v>0</v>
      </c>
    </row>
    <row r="791" s="1" customFormat="1" ht="14.25" hidden="1" spans="1:17">
      <c r="A791" s="1" t="str">
        <f>VLOOKUP(B791,combinate!A:B,2,FALSE)</f>
        <v>Group B</v>
      </c>
      <c r="B791" s="8">
        <v>254746572578</v>
      </c>
      <c r="C791" s="9">
        <v>13833415</v>
      </c>
      <c r="D791" s="10">
        <v>46161.5093865741</v>
      </c>
      <c r="E791" s="12" t="s">
        <v>254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9">
        <v>0</v>
      </c>
      <c r="N791" s="9">
        <v>0</v>
      </c>
      <c r="O791" s="9">
        <v>0</v>
      </c>
      <c r="P791" s="9">
        <v>0</v>
      </c>
      <c r="Q791" s="9">
        <v>0</v>
      </c>
    </row>
    <row r="792" s="1" customFormat="1" ht="14.25" hidden="1" spans="1:17">
      <c r="A792" s="1" t="str">
        <f>VLOOKUP(B792,combinate!A:B,2,FALSE)</f>
        <v>Group C</v>
      </c>
      <c r="B792" s="8">
        <v>254719500915</v>
      </c>
      <c r="C792" s="9">
        <v>14823398</v>
      </c>
      <c r="D792" s="10">
        <v>46179.5841435185</v>
      </c>
      <c r="E792" s="12" t="s">
        <v>254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9">
        <v>0</v>
      </c>
      <c r="N792" s="9">
        <v>0</v>
      </c>
      <c r="O792" s="9">
        <v>0</v>
      </c>
      <c r="P792" s="9">
        <v>0</v>
      </c>
      <c r="Q792" s="9">
        <v>0</v>
      </c>
    </row>
    <row r="793" s="1" customFormat="1" ht="14.25" hidden="1" spans="1:17">
      <c r="A793" s="1" t="str">
        <f>VLOOKUP(B793,combinate!A:B,2,FALSE)</f>
        <v>Group B</v>
      </c>
      <c r="B793" s="8">
        <v>254716545706</v>
      </c>
      <c r="C793" s="9">
        <v>14891973</v>
      </c>
      <c r="D793" s="10">
        <v>46160.6734143519</v>
      </c>
      <c r="E793" s="12" t="s">
        <v>254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9">
        <v>0</v>
      </c>
      <c r="N793" s="9">
        <v>0</v>
      </c>
      <c r="O793" s="9">
        <v>0</v>
      </c>
      <c r="P793" s="9">
        <v>0</v>
      </c>
      <c r="Q793" s="9">
        <v>0</v>
      </c>
    </row>
    <row r="794" s="1" customFormat="1" ht="14.25" hidden="1" spans="1:17">
      <c r="A794" s="1" t="str">
        <f>VLOOKUP(B794,combinate!A:B,2,FALSE)</f>
        <v>Group A</v>
      </c>
      <c r="B794" s="8">
        <v>254740238181</v>
      </c>
      <c r="C794" s="9">
        <v>14923711</v>
      </c>
      <c r="D794" s="10">
        <v>46181.6896296296</v>
      </c>
      <c r="E794" s="11" t="s">
        <v>250</v>
      </c>
      <c r="F794" s="9">
        <v>2.33</v>
      </c>
      <c r="G794" s="9">
        <v>310</v>
      </c>
      <c r="H794" s="9">
        <v>0</v>
      </c>
      <c r="I794" s="9">
        <v>310</v>
      </c>
      <c r="J794" s="9">
        <v>0</v>
      </c>
      <c r="K794" s="9">
        <v>189</v>
      </c>
      <c r="L794" s="9">
        <v>1.42</v>
      </c>
      <c r="M794" s="9">
        <v>189</v>
      </c>
      <c r="N794" s="9">
        <v>1.43</v>
      </c>
      <c r="O794" s="9">
        <v>190</v>
      </c>
      <c r="P794" s="9">
        <v>0</v>
      </c>
      <c r="Q794" s="9">
        <v>0</v>
      </c>
    </row>
    <row r="795" s="1" customFormat="1" ht="14.25" hidden="1" spans="1:17">
      <c r="A795" s="1" t="str">
        <f>VLOOKUP(B795,combinate!A:B,2,FALSE)</f>
        <v>Group B</v>
      </c>
      <c r="B795" s="8">
        <v>254708235746</v>
      </c>
      <c r="C795" s="9">
        <v>15590293</v>
      </c>
      <c r="D795" s="10">
        <v>46161.7475578704</v>
      </c>
      <c r="E795" s="12" t="s">
        <v>254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9">
        <v>0</v>
      </c>
      <c r="N795" s="9">
        <v>0</v>
      </c>
      <c r="O795" s="9">
        <v>0</v>
      </c>
      <c r="P795" s="9">
        <v>0</v>
      </c>
      <c r="Q795" s="9">
        <v>0</v>
      </c>
    </row>
    <row r="796" s="1" customFormat="1" ht="14.25" hidden="1" spans="1:17">
      <c r="A796" s="1" t="str">
        <f>VLOOKUP(B796,combinate!A:B,2,FALSE)</f>
        <v>Group C</v>
      </c>
      <c r="B796" s="8">
        <v>254116987428</v>
      </c>
      <c r="C796" s="9">
        <v>16623617</v>
      </c>
      <c r="D796" s="10">
        <v>46166.6395601852</v>
      </c>
      <c r="E796" s="12" t="s">
        <v>254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9">
        <v>0</v>
      </c>
      <c r="N796" s="9">
        <v>0</v>
      </c>
      <c r="O796" s="9">
        <v>0</v>
      </c>
      <c r="P796" s="9">
        <v>0</v>
      </c>
      <c r="Q796" s="9">
        <v>0</v>
      </c>
    </row>
    <row r="797" s="1" customFormat="1" ht="14.25" hidden="1" spans="1:17">
      <c r="A797" s="1" t="str">
        <f>VLOOKUP(B797,combinate!A:B,2,FALSE)</f>
        <v>Group C</v>
      </c>
      <c r="B797" s="8">
        <v>254729207317</v>
      </c>
      <c r="C797" s="9">
        <v>17125517</v>
      </c>
      <c r="D797" s="10">
        <v>46183.4554976852</v>
      </c>
      <c r="E797" s="11" t="s">
        <v>250</v>
      </c>
      <c r="F797" s="9">
        <v>24.4</v>
      </c>
      <c r="G797" s="9">
        <v>3244.7</v>
      </c>
      <c r="H797" s="9">
        <v>0</v>
      </c>
      <c r="I797" s="9">
        <v>3244.7</v>
      </c>
      <c r="J797" s="9">
        <v>0</v>
      </c>
      <c r="K797" s="9">
        <v>665.7</v>
      </c>
      <c r="L797" s="9">
        <v>5.01</v>
      </c>
      <c r="M797" s="9">
        <v>665.7</v>
      </c>
      <c r="N797" s="9">
        <v>5</v>
      </c>
      <c r="O797" s="9">
        <v>665</v>
      </c>
      <c r="P797" s="9">
        <v>0</v>
      </c>
      <c r="Q797" s="9">
        <v>0</v>
      </c>
    </row>
    <row r="798" s="1" customFormat="1" ht="14.25" hidden="1" spans="1:17">
      <c r="A798" s="1" t="str">
        <f>VLOOKUP(B798,combinate!A:B,2,FALSE)</f>
        <v>Group B</v>
      </c>
      <c r="B798" s="8">
        <v>254701925448</v>
      </c>
      <c r="C798" s="9">
        <v>17674564</v>
      </c>
      <c r="D798" s="10">
        <v>46182.4423148148</v>
      </c>
      <c r="E798" s="11" t="s">
        <v>250</v>
      </c>
      <c r="F798" s="9">
        <v>3.65</v>
      </c>
      <c r="G798" s="9">
        <v>485.09</v>
      </c>
      <c r="H798" s="9">
        <v>0</v>
      </c>
      <c r="I798" s="9">
        <v>485.09</v>
      </c>
      <c r="J798" s="9">
        <v>0</v>
      </c>
      <c r="K798" s="9">
        <v>138.66</v>
      </c>
      <c r="L798" s="9">
        <v>1.04</v>
      </c>
      <c r="M798" s="9">
        <v>138.66</v>
      </c>
      <c r="N798" s="9">
        <v>0.29</v>
      </c>
      <c r="O798" s="9">
        <v>38</v>
      </c>
      <c r="P798" s="9">
        <v>0</v>
      </c>
      <c r="Q798" s="9">
        <v>0</v>
      </c>
    </row>
    <row r="799" s="1" customFormat="1" ht="14.25" hidden="1" spans="1:17">
      <c r="A799" s="1" t="str">
        <f>VLOOKUP(B799,combinate!A:B,2,FALSE)</f>
        <v>Group A</v>
      </c>
      <c r="B799" s="8">
        <v>254757947298</v>
      </c>
      <c r="C799" s="9">
        <v>17720341</v>
      </c>
      <c r="D799" s="10">
        <v>46183.2967361111</v>
      </c>
      <c r="E799" s="12" t="s">
        <v>254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9">
        <v>0</v>
      </c>
      <c r="M799" s="9">
        <v>0</v>
      </c>
      <c r="N799" s="9">
        <v>0</v>
      </c>
      <c r="O799" s="9">
        <v>0</v>
      </c>
      <c r="P799" s="9">
        <v>0</v>
      </c>
      <c r="Q799" s="9">
        <v>0</v>
      </c>
    </row>
    <row r="800" s="1" customFormat="1" ht="14.25" hidden="1" spans="1:17">
      <c r="A800" s="1" t="str">
        <f>VLOOKUP(B800,combinate!A:B,2,FALSE)</f>
        <v>Group C</v>
      </c>
      <c r="B800" s="8">
        <v>254791671923</v>
      </c>
      <c r="C800" s="9">
        <v>18022448</v>
      </c>
      <c r="D800" s="10">
        <v>46177.6021990741</v>
      </c>
      <c r="E800" s="12" t="s">
        <v>254</v>
      </c>
      <c r="F800" s="9">
        <v>0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  <c r="M800" s="9">
        <v>0</v>
      </c>
      <c r="N800" s="9">
        <v>0</v>
      </c>
      <c r="O800" s="9">
        <v>0</v>
      </c>
      <c r="P800" s="9">
        <v>0</v>
      </c>
      <c r="Q800" s="9">
        <v>0</v>
      </c>
    </row>
    <row r="801" s="1" customFormat="1" ht="14.25" hidden="1" spans="1:17">
      <c r="A801" s="1" t="str">
        <f>VLOOKUP(B801,combinate!A:B,2,FALSE)</f>
        <v>Group C</v>
      </c>
      <c r="B801" s="8">
        <v>254720334933</v>
      </c>
      <c r="C801" s="9">
        <v>18174829</v>
      </c>
      <c r="D801" s="10">
        <v>46180.8858796296</v>
      </c>
      <c r="E801" s="11" t="s">
        <v>250</v>
      </c>
      <c r="F801" s="9">
        <v>15.6</v>
      </c>
      <c r="G801" s="9">
        <v>2074.69</v>
      </c>
      <c r="H801" s="9">
        <v>0</v>
      </c>
      <c r="I801" s="9">
        <v>2074.69</v>
      </c>
      <c r="J801" s="9">
        <v>0</v>
      </c>
      <c r="K801" s="9">
        <v>604.29</v>
      </c>
      <c r="L801" s="9">
        <v>4.54</v>
      </c>
      <c r="M801" s="9">
        <v>604.29</v>
      </c>
      <c r="N801" s="9">
        <v>4.24</v>
      </c>
      <c r="O801" s="9">
        <v>564.3</v>
      </c>
      <c r="P801" s="9">
        <v>4.51</v>
      </c>
      <c r="Q801" s="9">
        <v>600</v>
      </c>
    </row>
    <row r="802" s="1" customFormat="1" ht="14.25" hidden="1" spans="1:17">
      <c r="A802" s="1" t="str">
        <f>VLOOKUP(B802,combinate!A:B,2,FALSE)</f>
        <v>Group C</v>
      </c>
      <c r="B802" s="8">
        <v>254724557107</v>
      </c>
      <c r="C802" s="9">
        <v>18682707</v>
      </c>
      <c r="D802" s="10">
        <v>46183.5542476852</v>
      </c>
      <c r="E802" s="11" t="s">
        <v>250</v>
      </c>
      <c r="F802" s="9">
        <v>22.29</v>
      </c>
      <c r="G802" s="9">
        <v>2964</v>
      </c>
      <c r="H802" s="9">
        <v>0</v>
      </c>
      <c r="I802" s="9">
        <v>2964</v>
      </c>
      <c r="J802" s="9">
        <v>0</v>
      </c>
      <c r="K802" s="9">
        <v>30.89</v>
      </c>
      <c r="L802" s="9">
        <v>0.23</v>
      </c>
      <c r="M802" s="9">
        <v>30.89</v>
      </c>
      <c r="N802" s="9">
        <v>7.07</v>
      </c>
      <c r="O802" s="9">
        <v>940.5</v>
      </c>
      <c r="P802" s="9">
        <v>15.79</v>
      </c>
      <c r="Q802" s="9">
        <v>2100</v>
      </c>
    </row>
    <row r="803" s="1" customFormat="1" ht="14.25" hidden="1" spans="1:17">
      <c r="A803" s="1" t="str">
        <f>VLOOKUP(B803,combinate!A:B,2,FALSE)</f>
        <v>Group A</v>
      </c>
      <c r="B803" s="8">
        <v>254792285100</v>
      </c>
      <c r="C803" s="9">
        <v>19421891</v>
      </c>
      <c r="D803" s="10">
        <v>46163.8998611111</v>
      </c>
      <c r="E803" s="12" t="s">
        <v>254</v>
      </c>
      <c r="F803" s="9">
        <v>0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9">
        <v>0</v>
      </c>
      <c r="N803" s="9">
        <v>0</v>
      </c>
      <c r="O803" s="9">
        <v>0</v>
      </c>
      <c r="P803" s="9">
        <v>0</v>
      </c>
      <c r="Q803" s="9">
        <v>0</v>
      </c>
    </row>
    <row r="804" s="1" customFormat="1" ht="14.25" hidden="1" spans="1:17">
      <c r="A804" s="1" t="str">
        <f>VLOOKUP(B804,combinate!A:B,2,FALSE)</f>
        <v>Group B</v>
      </c>
      <c r="B804" s="8">
        <v>254719120123</v>
      </c>
      <c r="C804" s="9">
        <v>19681594</v>
      </c>
      <c r="D804" s="10">
        <v>46183.7515972222</v>
      </c>
      <c r="E804" s="11" t="s">
        <v>250</v>
      </c>
      <c r="F804" s="9">
        <v>8.47</v>
      </c>
      <c r="G804" s="9">
        <v>1126.65</v>
      </c>
      <c r="H804" s="9">
        <v>0</v>
      </c>
      <c r="I804" s="9">
        <v>1126.65</v>
      </c>
      <c r="J804" s="9">
        <v>0</v>
      </c>
      <c r="K804" s="9">
        <v>266.09</v>
      </c>
      <c r="L804" s="9">
        <v>2</v>
      </c>
      <c r="M804" s="9">
        <v>266.09</v>
      </c>
      <c r="N804" s="9">
        <v>2.06</v>
      </c>
      <c r="O804" s="9">
        <v>273.6</v>
      </c>
      <c r="P804" s="9">
        <v>0</v>
      </c>
      <c r="Q804" s="9">
        <v>0</v>
      </c>
    </row>
    <row r="805" s="1" customFormat="1" ht="14.25" hidden="1" spans="1:17">
      <c r="A805" s="1" t="str">
        <f>VLOOKUP(B805,combinate!A:B,2,FALSE)</f>
        <v>Group A</v>
      </c>
      <c r="B805" s="8">
        <v>254707212219</v>
      </c>
      <c r="C805" s="9">
        <v>20000451</v>
      </c>
      <c r="D805" s="10">
        <v>46163.8039236111</v>
      </c>
      <c r="E805" s="12" t="s">
        <v>254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9">
        <v>0</v>
      </c>
      <c r="N805" s="9">
        <v>0</v>
      </c>
      <c r="O805" s="9">
        <v>0</v>
      </c>
      <c r="P805" s="9">
        <v>0</v>
      </c>
      <c r="Q805" s="9">
        <v>0</v>
      </c>
    </row>
    <row r="806" s="1" customFormat="1" ht="14.25" hidden="1" spans="1:17">
      <c r="A806" s="1" t="str">
        <f>VLOOKUP(B806,combinate!A:B,2,FALSE)</f>
        <v>Group C</v>
      </c>
      <c r="B806" s="8">
        <v>254792523459</v>
      </c>
      <c r="C806" s="9">
        <v>20799416</v>
      </c>
      <c r="D806" s="10">
        <v>46160.8315393518</v>
      </c>
      <c r="E806" s="12" t="s">
        <v>254</v>
      </c>
      <c r="F806" s="9">
        <v>0</v>
      </c>
      <c r="G806" s="9">
        <v>0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  <c r="M806" s="9">
        <v>0</v>
      </c>
      <c r="N806" s="9">
        <v>0</v>
      </c>
      <c r="O806" s="9">
        <v>0</v>
      </c>
      <c r="P806" s="9">
        <v>0</v>
      </c>
      <c r="Q806" s="9">
        <v>0</v>
      </c>
    </row>
    <row r="807" s="1" customFormat="1" ht="14.25" hidden="1" spans="1:17">
      <c r="A807" s="1" t="str">
        <f>VLOOKUP(B807,combinate!A:B,2,FALSE)</f>
        <v>Group C</v>
      </c>
      <c r="B807" s="8">
        <v>254758615618</v>
      </c>
      <c r="C807" s="9">
        <v>20856418</v>
      </c>
      <c r="D807" s="10">
        <v>46180.5102199074</v>
      </c>
      <c r="E807" s="12" t="s">
        <v>254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9">
        <v>0</v>
      </c>
      <c r="M807" s="9">
        <v>0</v>
      </c>
      <c r="N807" s="9">
        <v>0</v>
      </c>
      <c r="O807" s="9">
        <v>0</v>
      </c>
      <c r="P807" s="9">
        <v>0</v>
      </c>
      <c r="Q807" s="9">
        <v>0</v>
      </c>
    </row>
    <row r="808" s="1" customFormat="1" ht="14.25" hidden="1" spans="1:17">
      <c r="A808" s="1" t="str">
        <f>VLOOKUP(B808,combinate!A:B,2,FALSE)</f>
        <v>Group A</v>
      </c>
      <c r="B808" s="8">
        <v>254119659526</v>
      </c>
      <c r="C808" s="9">
        <v>20967302</v>
      </c>
      <c r="D808" s="10">
        <v>46161.6436921296</v>
      </c>
      <c r="E808" s="12" t="s">
        <v>254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  <c r="M808" s="9">
        <v>0</v>
      </c>
      <c r="N808" s="9">
        <v>0</v>
      </c>
      <c r="O808" s="9">
        <v>0</v>
      </c>
      <c r="P808" s="9">
        <v>0</v>
      </c>
      <c r="Q808" s="9">
        <v>0</v>
      </c>
    </row>
    <row r="809" s="1" customFormat="1" ht="14.25" hidden="1" spans="1:17">
      <c r="A809" s="1" t="str">
        <f>VLOOKUP(B809,combinate!A:B,2,FALSE)</f>
        <v>Group C</v>
      </c>
      <c r="B809" s="8">
        <v>254795116837</v>
      </c>
      <c r="C809" s="9">
        <v>21108796</v>
      </c>
      <c r="D809" s="10">
        <v>46163.8494212963</v>
      </c>
      <c r="E809" s="12" t="s">
        <v>254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0</v>
      </c>
      <c r="M809" s="9">
        <v>0</v>
      </c>
      <c r="N809" s="9">
        <v>0</v>
      </c>
      <c r="O809" s="9">
        <v>0</v>
      </c>
      <c r="P809" s="9">
        <v>0</v>
      </c>
      <c r="Q809" s="9">
        <v>0</v>
      </c>
    </row>
    <row r="810" s="1" customFormat="1" ht="14.25" hidden="1" spans="1:17">
      <c r="A810" s="1" t="str">
        <f>VLOOKUP(B810,combinate!A:B,2,FALSE)</f>
        <v>Group B</v>
      </c>
      <c r="B810" s="8">
        <v>254728784586</v>
      </c>
      <c r="C810" s="9">
        <v>21178694</v>
      </c>
      <c r="D810" s="10">
        <v>46182.7844444444</v>
      </c>
      <c r="E810" s="11" t="s">
        <v>250</v>
      </c>
      <c r="F810" s="9">
        <v>0.03</v>
      </c>
      <c r="G810" s="9">
        <v>4.25</v>
      </c>
      <c r="H810" s="9">
        <v>0</v>
      </c>
      <c r="I810" s="9">
        <v>4.25</v>
      </c>
      <c r="J810" s="9">
        <v>0</v>
      </c>
      <c r="K810" s="9">
        <v>4.25</v>
      </c>
      <c r="L810" s="9">
        <v>0.03</v>
      </c>
      <c r="M810" s="9">
        <v>4.25</v>
      </c>
      <c r="N810" s="9">
        <v>0</v>
      </c>
      <c r="O810" s="9">
        <v>0</v>
      </c>
      <c r="P810" s="9">
        <v>0</v>
      </c>
      <c r="Q810" s="9">
        <v>0</v>
      </c>
    </row>
    <row r="811" s="1" customFormat="1" ht="14.25" hidden="1" spans="1:17">
      <c r="A811" s="1" t="str">
        <f>VLOOKUP(B811,combinate!A:B,2,FALSE)</f>
        <v>Group A</v>
      </c>
      <c r="B811" s="8">
        <v>254701669754</v>
      </c>
      <c r="C811" s="9">
        <v>21255362</v>
      </c>
      <c r="D811" s="10">
        <v>46162.1660532407</v>
      </c>
      <c r="E811" s="12" t="s">
        <v>254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9">
        <v>0</v>
      </c>
      <c r="M811" s="9">
        <v>0</v>
      </c>
      <c r="N811" s="9">
        <v>0</v>
      </c>
      <c r="O811" s="9">
        <v>0</v>
      </c>
      <c r="P811" s="9">
        <v>0</v>
      </c>
      <c r="Q811" s="9">
        <v>0</v>
      </c>
    </row>
    <row r="812" s="1" customFormat="1" ht="14.25" hidden="1" spans="1:17">
      <c r="A812" s="1" t="str">
        <f>VLOOKUP(B812,combinate!A:B,2,FALSE)</f>
        <v>Group C</v>
      </c>
      <c r="B812" s="8">
        <v>254737036369</v>
      </c>
      <c r="C812" s="9">
        <v>21683698</v>
      </c>
      <c r="D812" s="10">
        <v>46181.9518287037</v>
      </c>
      <c r="E812" s="12" t="s">
        <v>254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9">
        <v>0</v>
      </c>
      <c r="M812" s="9">
        <v>0</v>
      </c>
      <c r="N812" s="9">
        <v>0</v>
      </c>
      <c r="O812" s="9">
        <v>0</v>
      </c>
      <c r="P812" s="9">
        <v>0</v>
      </c>
      <c r="Q812" s="9">
        <v>0</v>
      </c>
    </row>
    <row r="813" s="1" customFormat="1" ht="14.25" hidden="1" spans="1:17">
      <c r="A813" s="1" t="str">
        <f>VLOOKUP(B813,combinate!A:B,2,FALSE)</f>
        <v>Group C</v>
      </c>
      <c r="B813" s="8">
        <v>254704112371</v>
      </c>
      <c r="C813" s="9">
        <v>21863986</v>
      </c>
      <c r="D813" s="10">
        <v>46181.577974537</v>
      </c>
      <c r="E813" s="11" t="s">
        <v>250</v>
      </c>
      <c r="F813" s="9">
        <v>40.31</v>
      </c>
      <c r="G813" s="9">
        <v>5361.62</v>
      </c>
      <c r="H813" s="9">
        <v>0</v>
      </c>
      <c r="I813" s="9">
        <v>5361.62</v>
      </c>
      <c r="J813" s="9">
        <v>0</v>
      </c>
      <c r="K813" s="9">
        <v>882.5</v>
      </c>
      <c r="L813" s="9">
        <v>6.64</v>
      </c>
      <c r="M813" s="9">
        <v>882.5</v>
      </c>
      <c r="N813" s="9">
        <v>6.43</v>
      </c>
      <c r="O813" s="9">
        <v>855</v>
      </c>
      <c r="P813" s="9">
        <v>0</v>
      </c>
      <c r="Q813" s="9">
        <v>0</v>
      </c>
    </row>
    <row r="814" s="1" customFormat="1" ht="14.25" hidden="1" spans="1:17">
      <c r="A814" s="1" t="str">
        <f>VLOOKUP(B814,combinate!A:B,2,FALSE)</f>
        <v>Group A</v>
      </c>
      <c r="B814" s="8">
        <v>254713668931</v>
      </c>
      <c r="C814" s="9">
        <v>21885162</v>
      </c>
      <c r="D814" s="10">
        <v>46184.2542476852</v>
      </c>
      <c r="E814" s="12" t="s">
        <v>254</v>
      </c>
      <c r="F814" s="9">
        <v>0</v>
      </c>
      <c r="G814" s="9">
        <v>0</v>
      </c>
      <c r="H814" s="9">
        <v>0</v>
      </c>
      <c r="I814" s="9">
        <v>0</v>
      </c>
      <c r="J814" s="9">
        <v>0</v>
      </c>
      <c r="K814" s="9">
        <v>0</v>
      </c>
      <c r="L814" s="9">
        <v>0</v>
      </c>
      <c r="M814" s="9">
        <v>0</v>
      </c>
      <c r="N814" s="9">
        <v>0</v>
      </c>
      <c r="O814" s="9">
        <v>0</v>
      </c>
      <c r="P814" s="9">
        <v>0</v>
      </c>
      <c r="Q814" s="9">
        <v>0</v>
      </c>
    </row>
    <row r="815" s="1" customFormat="1" ht="14.25" hidden="1" spans="1:17">
      <c r="A815" s="1" t="str">
        <f>VLOOKUP(B815,combinate!A:B,2,FALSE)</f>
        <v>Group C</v>
      </c>
      <c r="B815" s="8">
        <v>254114739239</v>
      </c>
      <c r="C815" s="9">
        <v>21996288</v>
      </c>
      <c r="D815" s="10">
        <v>46163.1705902778</v>
      </c>
      <c r="E815" s="12" t="s">
        <v>254</v>
      </c>
      <c r="F815" s="9">
        <v>0</v>
      </c>
      <c r="G815" s="9">
        <v>0</v>
      </c>
      <c r="H815" s="9">
        <v>0</v>
      </c>
      <c r="I815" s="9">
        <v>0</v>
      </c>
      <c r="J815" s="9">
        <v>0</v>
      </c>
      <c r="K815" s="9">
        <v>0</v>
      </c>
      <c r="L815" s="9">
        <v>0</v>
      </c>
      <c r="M815" s="9">
        <v>0</v>
      </c>
      <c r="N815" s="9">
        <v>0</v>
      </c>
      <c r="O815" s="9">
        <v>0</v>
      </c>
      <c r="P815" s="9">
        <v>0</v>
      </c>
      <c r="Q815" s="9">
        <v>0</v>
      </c>
    </row>
    <row r="816" s="1" customFormat="1" ht="14.25" hidden="1" spans="1:17">
      <c r="A816" s="1" t="str">
        <f>VLOOKUP(B816,combinate!A:B,2,FALSE)</f>
        <v>Group C</v>
      </c>
      <c r="B816" s="8">
        <v>254722261330</v>
      </c>
      <c r="C816" s="9">
        <v>22075836</v>
      </c>
      <c r="D816" s="10">
        <v>46183.6361342593</v>
      </c>
      <c r="E816" s="11" t="s">
        <v>250</v>
      </c>
      <c r="F816" s="9">
        <v>388.82</v>
      </c>
      <c r="G816" s="9">
        <v>51713.5</v>
      </c>
      <c r="H816" s="9">
        <v>0</v>
      </c>
      <c r="I816" s="9">
        <v>51713.5</v>
      </c>
      <c r="J816" s="9">
        <v>0</v>
      </c>
      <c r="K816" s="9">
        <v>-10514.5</v>
      </c>
      <c r="L816" s="9">
        <v>-79.06</v>
      </c>
      <c r="M816" s="9">
        <v>-10514.5</v>
      </c>
      <c r="N816" s="9">
        <v>23.57</v>
      </c>
      <c r="O816" s="9">
        <v>3135</v>
      </c>
      <c r="P816" s="9">
        <v>97.74</v>
      </c>
      <c r="Q816" s="9">
        <v>13000</v>
      </c>
    </row>
    <row r="817" s="1" customFormat="1" ht="14.25" hidden="1" spans="1:17">
      <c r="A817" s="1" t="str">
        <f>VLOOKUP(B817,combinate!A:B,2,FALSE)</f>
        <v>Group A</v>
      </c>
      <c r="B817" s="8">
        <v>254768942786</v>
      </c>
      <c r="C817" s="9">
        <v>22531160</v>
      </c>
      <c r="D817" s="10">
        <v>46166.2533333333</v>
      </c>
      <c r="E817" s="12" t="s">
        <v>254</v>
      </c>
      <c r="F817" s="9">
        <v>0</v>
      </c>
      <c r="G817" s="9">
        <v>0</v>
      </c>
      <c r="H817" s="9">
        <v>0</v>
      </c>
      <c r="I817" s="9">
        <v>0</v>
      </c>
      <c r="J817" s="9">
        <v>0</v>
      </c>
      <c r="K817" s="9">
        <v>0</v>
      </c>
      <c r="L817" s="9">
        <v>0</v>
      </c>
      <c r="M817" s="9">
        <v>0</v>
      </c>
      <c r="N817" s="9">
        <v>0</v>
      </c>
      <c r="O817" s="9">
        <v>0</v>
      </c>
      <c r="P817" s="9">
        <v>0</v>
      </c>
      <c r="Q817" s="9">
        <v>0</v>
      </c>
    </row>
    <row r="818" s="1" customFormat="1" ht="14.25" hidden="1" spans="1:17">
      <c r="A818" s="1" t="str">
        <f>VLOOKUP(B818,combinate!A:B,2,FALSE)</f>
        <v>Group A</v>
      </c>
      <c r="B818" s="8">
        <v>254726336734</v>
      </c>
      <c r="C818" s="9">
        <v>22579322</v>
      </c>
      <c r="D818" s="10">
        <v>46162.3827083333</v>
      </c>
      <c r="E818" s="12" t="s">
        <v>254</v>
      </c>
      <c r="F818" s="9">
        <v>0</v>
      </c>
      <c r="G818" s="9">
        <v>0</v>
      </c>
      <c r="H818" s="9">
        <v>0</v>
      </c>
      <c r="I818" s="9">
        <v>0</v>
      </c>
      <c r="J818" s="9">
        <v>0</v>
      </c>
      <c r="K818" s="9">
        <v>0</v>
      </c>
      <c r="L818" s="9">
        <v>0</v>
      </c>
      <c r="M818" s="9">
        <v>0</v>
      </c>
      <c r="N818" s="9">
        <v>0</v>
      </c>
      <c r="O818" s="9">
        <v>0</v>
      </c>
      <c r="P818" s="9">
        <v>0</v>
      </c>
      <c r="Q818" s="9">
        <v>0</v>
      </c>
    </row>
    <row r="819" s="1" customFormat="1" ht="14.25" hidden="1" spans="1:17">
      <c r="A819" s="1" t="str">
        <f>VLOOKUP(B819,combinate!A:B,2,FALSE)</f>
        <v>Group A</v>
      </c>
      <c r="B819" s="8">
        <v>254701304143</v>
      </c>
      <c r="C819" s="9">
        <v>22584030</v>
      </c>
      <c r="D819" s="10">
        <v>46162.3169675926</v>
      </c>
      <c r="E819" s="12" t="s">
        <v>254</v>
      </c>
      <c r="F819" s="9">
        <v>0</v>
      </c>
      <c r="G819" s="9">
        <v>0</v>
      </c>
      <c r="H819" s="9">
        <v>0</v>
      </c>
      <c r="I819" s="9">
        <v>0</v>
      </c>
      <c r="J819" s="9">
        <v>0</v>
      </c>
      <c r="K819" s="9">
        <v>0</v>
      </c>
      <c r="L819" s="9">
        <v>0</v>
      </c>
      <c r="M819" s="9">
        <v>0</v>
      </c>
      <c r="N819" s="9">
        <v>0</v>
      </c>
      <c r="O819" s="9">
        <v>0</v>
      </c>
      <c r="P819" s="9">
        <v>0</v>
      </c>
      <c r="Q819" s="9">
        <v>0</v>
      </c>
    </row>
    <row r="820" s="1" customFormat="1" ht="14.25" hidden="1" spans="1:17">
      <c r="A820" s="1" t="str">
        <f>VLOOKUP(B820,combinate!A:B,2,FALSE)</f>
        <v>Group C</v>
      </c>
      <c r="B820" s="8">
        <v>254791329860</v>
      </c>
      <c r="C820" s="9">
        <v>22707557</v>
      </c>
      <c r="D820" s="10">
        <v>46163.7969791667</v>
      </c>
      <c r="E820" s="12" t="s">
        <v>254</v>
      </c>
      <c r="F820" s="9">
        <v>0</v>
      </c>
      <c r="G820" s="9">
        <v>0</v>
      </c>
      <c r="H820" s="9">
        <v>0</v>
      </c>
      <c r="I820" s="9">
        <v>0</v>
      </c>
      <c r="J820" s="9">
        <v>0</v>
      </c>
      <c r="K820" s="9">
        <v>0</v>
      </c>
      <c r="L820" s="9">
        <v>0</v>
      </c>
      <c r="M820" s="9">
        <v>0</v>
      </c>
      <c r="N820" s="9">
        <v>0</v>
      </c>
      <c r="O820" s="9">
        <v>0</v>
      </c>
      <c r="P820" s="9">
        <v>0</v>
      </c>
      <c r="Q820" s="9">
        <v>0</v>
      </c>
    </row>
    <row r="821" s="1" customFormat="1" ht="14.25" hidden="1" spans="1:17">
      <c r="A821" s="1" t="str">
        <f>VLOOKUP(B821,combinate!A:B,2,FALSE)</f>
        <v>Group A</v>
      </c>
      <c r="B821" s="8">
        <v>254712786429</v>
      </c>
      <c r="C821" s="9">
        <v>22791530</v>
      </c>
      <c r="D821" s="10">
        <v>46179.8379513889</v>
      </c>
      <c r="E821" s="12" t="s">
        <v>254</v>
      </c>
      <c r="F821" s="9">
        <v>0</v>
      </c>
      <c r="G821" s="9">
        <v>0</v>
      </c>
      <c r="H821" s="9">
        <v>0</v>
      </c>
      <c r="I821" s="9">
        <v>0</v>
      </c>
      <c r="J821" s="9">
        <v>0</v>
      </c>
      <c r="K821" s="9">
        <v>0</v>
      </c>
      <c r="L821" s="9">
        <v>0</v>
      </c>
      <c r="M821" s="9">
        <v>0</v>
      </c>
      <c r="N821" s="9">
        <v>0</v>
      </c>
      <c r="O821" s="9">
        <v>0</v>
      </c>
      <c r="P821" s="9">
        <v>0</v>
      </c>
      <c r="Q821" s="9">
        <v>0</v>
      </c>
    </row>
    <row r="822" s="1" customFormat="1" ht="14.25" hidden="1" spans="1:17">
      <c r="A822" s="1" t="str">
        <f>VLOOKUP(B822,combinate!A:B,2,FALSE)</f>
        <v>Group C</v>
      </c>
      <c r="B822" s="8">
        <v>254140326664</v>
      </c>
      <c r="C822" s="9">
        <v>22918699</v>
      </c>
      <c r="D822" s="10">
        <v>46160.274224537</v>
      </c>
      <c r="E822" s="12" t="s">
        <v>254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  <c r="K822" s="9">
        <v>0</v>
      </c>
      <c r="L822" s="9">
        <v>0</v>
      </c>
      <c r="M822" s="9">
        <v>0</v>
      </c>
      <c r="N822" s="9">
        <v>0</v>
      </c>
      <c r="O822" s="9">
        <v>0</v>
      </c>
      <c r="P822" s="9">
        <v>0</v>
      </c>
      <c r="Q822" s="9">
        <v>0</v>
      </c>
    </row>
    <row r="823" s="1" customFormat="1" ht="14.25" hidden="1" spans="1:17">
      <c r="A823" s="1" t="str">
        <f>VLOOKUP(B823,combinate!A:B,2,FALSE)</f>
        <v>Group A</v>
      </c>
      <c r="B823" s="8">
        <v>254140414468</v>
      </c>
      <c r="C823" s="9">
        <v>22920322</v>
      </c>
      <c r="D823" s="10">
        <v>46160.5925115741</v>
      </c>
      <c r="E823" s="12" t="s">
        <v>254</v>
      </c>
      <c r="F823" s="9">
        <v>0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L823" s="9">
        <v>0</v>
      </c>
      <c r="M823" s="9">
        <v>0</v>
      </c>
      <c r="N823" s="9">
        <v>0</v>
      </c>
      <c r="O823" s="9">
        <v>0</v>
      </c>
      <c r="P823" s="9">
        <v>0</v>
      </c>
      <c r="Q823" s="9">
        <v>0</v>
      </c>
    </row>
    <row r="824" s="1" customFormat="1" ht="14.25" hidden="1" spans="1:17">
      <c r="A824" s="1" t="str">
        <f>VLOOKUP(B824,combinate!A:B,2,FALSE)</f>
        <v>Group A</v>
      </c>
      <c r="B824" s="8">
        <v>254118815668</v>
      </c>
      <c r="C824" s="9">
        <v>22940112</v>
      </c>
      <c r="D824" s="10">
        <v>46163.2290277778</v>
      </c>
      <c r="E824" s="12" t="s">
        <v>254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9">
        <v>0</v>
      </c>
      <c r="M824" s="9">
        <v>0</v>
      </c>
      <c r="N824" s="9">
        <v>0</v>
      </c>
      <c r="O824" s="9">
        <v>0</v>
      </c>
      <c r="P824" s="9">
        <v>0</v>
      </c>
      <c r="Q824" s="9">
        <v>0</v>
      </c>
    </row>
    <row r="825" s="1" customFormat="1" ht="14.25" hidden="1" spans="1:17">
      <c r="A825" s="1" t="str">
        <f>VLOOKUP(B825,combinate!A:B,2,FALSE)</f>
        <v>Group C</v>
      </c>
      <c r="B825" s="8">
        <v>254116621779</v>
      </c>
      <c r="C825" s="9">
        <v>22951698</v>
      </c>
      <c r="D825" s="10">
        <v>46163.317349537</v>
      </c>
      <c r="E825" s="12" t="s">
        <v>254</v>
      </c>
      <c r="F825" s="9">
        <v>0</v>
      </c>
      <c r="G825" s="9">
        <v>0</v>
      </c>
      <c r="H825" s="9">
        <v>0</v>
      </c>
      <c r="I825" s="9">
        <v>0</v>
      </c>
      <c r="J825" s="9">
        <v>0</v>
      </c>
      <c r="K825" s="9">
        <v>0</v>
      </c>
      <c r="L825" s="9">
        <v>0</v>
      </c>
      <c r="M825" s="9">
        <v>0</v>
      </c>
      <c r="N825" s="9">
        <v>0</v>
      </c>
      <c r="O825" s="9">
        <v>0</v>
      </c>
      <c r="P825" s="9">
        <v>0</v>
      </c>
      <c r="Q825" s="9">
        <v>0</v>
      </c>
    </row>
    <row r="826" s="1" customFormat="1" ht="14.25" hidden="1" spans="1:17">
      <c r="A826" s="1" t="str">
        <f>VLOOKUP(B826,combinate!A:B,2,FALSE)</f>
        <v>Group C</v>
      </c>
      <c r="B826" s="8">
        <v>254700118787</v>
      </c>
      <c r="C826" s="9">
        <v>33816</v>
      </c>
      <c r="D826" s="10">
        <v>46184.4027083333</v>
      </c>
      <c r="E826" s="11" t="s">
        <v>250</v>
      </c>
      <c r="F826" s="9">
        <v>83.3</v>
      </c>
      <c r="G826" s="9">
        <v>11078.89</v>
      </c>
      <c r="H826" s="9">
        <v>0</v>
      </c>
      <c r="I826" s="9">
        <v>11078.89</v>
      </c>
      <c r="J826" s="9">
        <v>0</v>
      </c>
      <c r="K826" s="9">
        <v>-5231.11</v>
      </c>
      <c r="L826" s="9">
        <v>-39.33</v>
      </c>
      <c r="M826" s="9">
        <v>-5231.11</v>
      </c>
      <c r="N826" s="9">
        <v>12.24</v>
      </c>
      <c r="O826" s="9">
        <v>1627.35</v>
      </c>
      <c r="P826" s="9">
        <v>80.15</v>
      </c>
      <c r="Q826" s="9">
        <v>10660</v>
      </c>
    </row>
    <row r="827" s="1" customFormat="1" ht="14.25" hidden="1" spans="1:17">
      <c r="A827" s="1" t="str">
        <f>VLOOKUP(B827,combinate!A:B,2,FALSE)</f>
        <v>Group A</v>
      </c>
      <c r="B827" s="8">
        <v>254716089114</v>
      </c>
      <c r="C827" s="9">
        <v>68941</v>
      </c>
      <c r="D827" s="10">
        <v>46162.4169097222</v>
      </c>
      <c r="E827" s="12" t="s">
        <v>254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9">
        <v>0</v>
      </c>
      <c r="M827" s="9">
        <v>0</v>
      </c>
      <c r="N827" s="9">
        <v>0</v>
      </c>
      <c r="O827" s="9">
        <v>0</v>
      </c>
      <c r="P827" s="9">
        <v>0</v>
      </c>
      <c r="Q827" s="9">
        <v>0</v>
      </c>
    </row>
    <row r="828" s="1" customFormat="1" ht="14.25" hidden="1" spans="1:17">
      <c r="A828" s="1" t="str">
        <f>VLOOKUP(B828,combinate!A:B,2,FALSE)</f>
        <v>Group C</v>
      </c>
      <c r="B828" s="8">
        <v>254716540397</v>
      </c>
      <c r="C828" s="9">
        <v>97268</v>
      </c>
      <c r="D828" s="10">
        <v>46166.6672916667</v>
      </c>
      <c r="E828" s="12" t="s">
        <v>254</v>
      </c>
      <c r="F828" s="9">
        <v>0</v>
      </c>
      <c r="G828" s="9">
        <v>0</v>
      </c>
      <c r="H828" s="9">
        <v>0</v>
      </c>
      <c r="I828" s="9">
        <v>0</v>
      </c>
      <c r="J828" s="9">
        <v>0</v>
      </c>
      <c r="K828" s="9">
        <v>0</v>
      </c>
      <c r="L828" s="9">
        <v>0</v>
      </c>
      <c r="M828" s="9">
        <v>0</v>
      </c>
      <c r="N828" s="9">
        <v>0</v>
      </c>
      <c r="O828" s="9">
        <v>0</v>
      </c>
      <c r="P828" s="9">
        <v>0</v>
      </c>
      <c r="Q828" s="9">
        <v>0</v>
      </c>
    </row>
    <row r="829" s="1" customFormat="1" ht="14.25" hidden="1" spans="1:17">
      <c r="A829" s="1" t="str">
        <f>VLOOKUP(B829,combinate!A:B,2,FALSE)</f>
        <v>Group C</v>
      </c>
      <c r="B829" s="8">
        <v>254718382723</v>
      </c>
      <c r="C829" s="9">
        <v>157097</v>
      </c>
      <c r="D829" s="10">
        <v>46180.3932060185</v>
      </c>
      <c r="E829" s="11" t="s">
        <v>250</v>
      </c>
      <c r="F829" s="9">
        <v>218.08</v>
      </c>
      <c r="G829" s="9">
        <v>29004</v>
      </c>
      <c r="H829" s="9">
        <v>0</v>
      </c>
      <c r="I829" s="9">
        <v>29004</v>
      </c>
      <c r="J829" s="9">
        <v>0</v>
      </c>
      <c r="K829" s="9">
        <v>945.5</v>
      </c>
      <c r="L829" s="9">
        <v>7.11</v>
      </c>
      <c r="M829" s="9">
        <v>945.5</v>
      </c>
      <c r="N829" s="9">
        <v>7.14</v>
      </c>
      <c r="O829" s="9">
        <v>950</v>
      </c>
      <c r="P829" s="9">
        <v>0</v>
      </c>
      <c r="Q829" s="9">
        <v>0</v>
      </c>
    </row>
    <row r="830" s="1" customFormat="1" ht="14.25" hidden="1" spans="1:17">
      <c r="A830" s="1" t="str">
        <f>VLOOKUP(B830,combinate!A:B,2,FALSE)</f>
        <v>Group C</v>
      </c>
      <c r="B830" s="8">
        <v>254710331308</v>
      </c>
      <c r="C830" s="9">
        <v>902309</v>
      </c>
      <c r="D830" s="10">
        <v>46183.1653356481</v>
      </c>
      <c r="E830" s="11" t="s">
        <v>250</v>
      </c>
      <c r="F830" s="9">
        <v>97.74</v>
      </c>
      <c r="G830" s="9">
        <v>13000</v>
      </c>
      <c r="H830" s="9">
        <v>2967</v>
      </c>
      <c r="I830" s="9">
        <v>10033</v>
      </c>
      <c r="J830" s="9">
        <v>1870.27</v>
      </c>
      <c r="K830" s="9">
        <v>-714.2</v>
      </c>
      <c r="L830" s="9">
        <v>8.69</v>
      </c>
      <c r="M830" s="9">
        <v>1156.07</v>
      </c>
      <c r="N830" s="9">
        <v>25.46</v>
      </c>
      <c r="O830" s="9">
        <v>3385.8</v>
      </c>
      <c r="P830" s="9">
        <v>60.9</v>
      </c>
      <c r="Q830" s="9">
        <v>8100</v>
      </c>
    </row>
    <row r="831" s="1" customFormat="1" ht="14.25" hidden="1" spans="1:17">
      <c r="A831" s="1" t="str">
        <f>VLOOKUP(B831,combinate!A:B,2,FALSE)</f>
        <v>Group B</v>
      </c>
      <c r="B831" s="8">
        <v>254729629390</v>
      </c>
      <c r="C831" s="9">
        <v>1019593</v>
      </c>
      <c r="D831" s="10">
        <v>46179.5959606481</v>
      </c>
      <c r="E831" s="11" t="s">
        <v>250</v>
      </c>
      <c r="F831" s="9">
        <v>45.11</v>
      </c>
      <c r="G831" s="9">
        <v>6000</v>
      </c>
      <c r="H831" s="9">
        <v>0</v>
      </c>
      <c r="I831" s="9">
        <v>6000</v>
      </c>
      <c r="J831" s="9">
        <v>0</v>
      </c>
      <c r="K831" s="9">
        <v>-204</v>
      </c>
      <c r="L831" s="9">
        <v>-1.53</v>
      </c>
      <c r="M831" s="9">
        <v>-204</v>
      </c>
      <c r="N831" s="9">
        <v>14.29</v>
      </c>
      <c r="O831" s="9">
        <v>1900</v>
      </c>
      <c r="P831" s="9">
        <v>15.04</v>
      </c>
      <c r="Q831" s="9">
        <v>2000</v>
      </c>
    </row>
    <row r="832" s="1" customFormat="1" ht="14.25" hidden="1" spans="1:17">
      <c r="A832" s="1" t="str">
        <f>VLOOKUP(B832,combinate!A:B,2,FALSE)</f>
        <v>Group C</v>
      </c>
      <c r="B832" s="8">
        <v>254748004865</v>
      </c>
      <c r="C832" s="9">
        <v>1843557</v>
      </c>
      <c r="D832" s="10">
        <v>46183.6635648148</v>
      </c>
      <c r="E832" s="11" t="s">
        <v>250</v>
      </c>
      <c r="F832" s="9">
        <v>56.17</v>
      </c>
      <c r="G832" s="9">
        <v>7471.06</v>
      </c>
      <c r="H832" s="9">
        <v>0</v>
      </c>
      <c r="I832" s="9">
        <v>7471.06</v>
      </c>
      <c r="J832" s="9">
        <v>0</v>
      </c>
      <c r="K832" s="9">
        <v>1159.58</v>
      </c>
      <c r="L832" s="9">
        <v>8.72</v>
      </c>
      <c r="M832" s="9">
        <v>1159.58</v>
      </c>
      <c r="N832" s="9">
        <v>1.79</v>
      </c>
      <c r="O832" s="9">
        <v>237.5</v>
      </c>
      <c r="P832" s="9">
        <v>0</v>
      </c>
      <c r="Q832" s="9">
        <v>0</v>
      </c>
    </row>
    <row r="833" s="1" customFormat="1" ht="14.25" hidden="1" spans="1:17">
      <c r="A833" s="1" t="str">
        <f>VLOOKUP(B833,combinate!A:B,2,FALSE)</f>
        <v>Group A</v>
      </c>
      <c r="B833" s="8">
        <v>254717058847</v>
      </c>
      <c r="C833" s="9">
        <v>2519690</v>
      </c>
      <c r="D833" s="10">
        <v>46160.1788194444</v>
      </c>
      <c r="E833" s="12" t="s">
        <v>254</v>
      </c>
      <c r="F833" s="9">
        <v>0</v>
      </c>
      <c r="G833" s="9">
        <v>0</v>
      </c>
      <c r="H833" s="9">
        <v>0</v>
      </c>
      <c r="I833" s="9">
        <v>0</v>
      </c>
      <c r="J833" s="9">
        <v>0</v>
      </c>
      <c r="K833" s="9">
        <v>0</v>
      </c>
      <c r="L833" s="9">
        <v>0</v>
      </c>
      <c r="M833" s="9">
        <v>0</v>
      </c>
      <c r="N833" s="9">
        <v>0</v>
      </c>
      <c r="O833" s="9">
        <v>0</v>
      </c>
      <c r="P833" s="9">
        <v>0</v>
      </c>
      <c r="Q833" s="9">
        <v>0</v>
      </c>
    </row>
    <row r="834" s="1" customFormat="1" ht="14.25" hidden="1" spans="1:17">
      <c r="A834" s="1" t="str">
        <f>VLOOKUP(B834,combinate!A:B,2,FALSE)</f>
        <v>Group A</v>
      </c>
      <c r="B834" s="8">
        <v>254727454468</v>
      </c>
      <c r="C834" s="9">
        <v>3267081</v>
      </c>
      <c r="D834" s="10">
        <v>46161.2386226852</v>
      </c>
      <c r="E834" s="12" t="s">
        <v>254</v>
      </c>
      <c r="F834" s="9">
        <v>0</v>
      </c>
      <c r="G834" s="9">
        <v>0</v>
      </c>
      <c r="H834" s="9">
        <v>0</v>
      </c>
      <c r="I834" s="9">
        <v>0</v>
      </c>
      <c r="J834" s="9">
        <v>0</v>
      </c>
      <c r="K834" s="9">
        <v>0</v>
      </c>
      <c r="L834" s="9">
        <v>0</v>
      </c>
      <c r="M834" s="9">
        <v>0</v>
      </c>
      <c r="N834" s="9">
        <v>0</v>
      </c>
      <c r="O834" s="9">
        <v>0</v>
      </c>
      <c r="P834" s="9">
        <v>0</v>
      </c>
      <c r="Q834" s="9">
        <v>0</v>
      </c>
    </row>
    <row r="835" s="1" customFormat="1" ht="14.25" hidden="1" spans="1:17">
      <c r="A835" s="1" t="str">
        <f>VLOOKUP(B835,combinate!A:B,2,FALSE)</f>
        <v>Group B</v>
      </c>
      <c r="B835" s="8">
        <v>254706721015</v>
      </c>
      <c r="C835" s="9">
        <v>4084425</v>
      </c>
      <c r="D835" s="10">
        <v>46160.7349768519</v>
      </c>
      <c r="E835" s="12" t="s">
        <v>254</v>
      </c>
      <c r="F835" s="9">
        <v>0</v>
      </c>
      <c r="G835" s="9">
        <v>0</v>
      </c>
      <c r="H835" s="9">
        <v>0</v>
      </c>
      <c r="I835" s="9">
        <v>0</v>
      </c>
      <c r="J835" s="9">
        <v>0</v>
      </c>
      <c r="K835" s="9">
        <v>0</v>
      </c>
      <c r="L835" s="9">
        <v>0</v>
      </c>
      <c r="M835" s="9">
        <v>0</v>
      </c>
      <c r="N835" s="9">
        <v>0</v>
      </c>
      <c r="O835" s="9">
        <v>0</v>
      </c>
      <c r="P835" s="9">
        <v>0</v>
      </c>
      <c r="Q835" s="9">
        <v>0</v>
      </c>
    </row>
    <row r="836" s="1" customFormat="1" ht="14.25" hidden="1" spans="1:17">
      <c r="A836" s="1" t="str">
        <f>VLOOKUP(B836,combinate!A:B,2,FALSE)</f>
        <v>Group C</v>
      </c>
      <c r="B836" s="8">
        <v>254718131778</v>
      </c>
      <c r="C836" s="9">
        <v>9414017</v>
      </c>
      <c r="D836" s="10">
        <v>46182.7413194444</v>
      </c>
      <c r="E836" s="11" t="s">
        <v>250</v>
      </c>
      <c r="F836" s="9">
        <v>34.51</v>
      </c>
      <c r="G836" s="9">
        <v>4590</v>
      </c>
      <c r="H836" s="9">
        <v>0</v>
      </c>
      <c r="I836" s="9">
        <v>4590</v>
      </c>
      <c r="J836" s="9">
        <v>0</v>
      </c>
      <c r="K836" s="9">
        <v>-737</v>
      </c>
      <c r="L836" s="9">
        <v>-5.54</v>
      </c>
      <c r="M836" s="9">
        <v>-737</v>
      </c>
      <c r="N836" s="9">
        <v>10</v>
      </c>
      <c r="O836" s="9">
        <v>1330</v>
      </c>
      <c r="P836" s="9">
        <v>14.76</v>
      </c>
      <c r="Q836" s="9">
        <v>1962.86</v>
      </c>
    </row>
    <row r="837" s="1" customFormat="1" ht="14.25" hidden="1" spans="1:17">
      <c r="A837" s="1" t="str">
        <f>VLOOKUP(B837,combinate!A:B,2,FALSE)</f>
        <v>Group C</v>
      </c>
      <c r="B837" s="8">
        <v>254726145150</v>
      </c>
      <c r="C837" s="9">
        <v>11073358</v>
      </c>
      <c r="D837" s="10">
        <v>46162.793587963</v>
      </c>
      <c r="E837" s="12" t="s">
        <v>254</v>
      </c>
      <c r="F837" s="9">
        <v>0</v>
      </c>
      <c r="G837" s="9">
        <v>0</v>
      </c>
      <c r="H837" s="9">
        <v>0</v>
      </c>
      <c r="I837" s="9">
        <v>0</v>
      </c>
      <c r="J837" s="9">
        <v>0</v>
      </c>
      <c r="K837" s="9">
        <v>0</v>
      </c>
      <c r="L837" s="9">
        <v>0</v>
      </c>
      <c r="M837" s="9">
        <v>0</v>
      </c>
      <c r="N837" s="9">
        <v>0</v>
      </c>
      <c r="O837" s="9">
        <v>0</v>
      </c>
      <c r="P837" s="9">
        <v>0</v>
      </c>
      <c r="Q837" s="9">
        <v>0</v>
      </c>
    </row>
    <row r="838" s="1" customFormat="1" ht="14.25" hidden="1" spans="1:17">
      <c r="A838" s="1" t="str">
        <f>VLOOKUP(B838,combinate!A:B,2,FALSE)</f>
        <v>Group A</v>
      </c>
      <c r="B838" s="8">
        <v>254757340006</v>
      </c>
      <c r="C838" s="9">
        <v>11360321</v>
      </c>
      <c r="D838" s="10">
        <v>46161.7894907407</v>
      </c>
      <c r="E838" s="12" t="s">
        <v>254</v>
      </c>
      <c r="F838" s="9">
        <v>0</v>
      </c>
      <c r="G838" s="9">
        <v>0</v>
      </c>
      <c r="H838" s="9">
        <v>0</v>
      </c>
      <c r="I838" s="9">
        <v>0</v>
      </c>
      <c r="J838" s="9">
        <v>0</v>
      </c>
      <c r="K838" s="9">
        <v>0</v>
      </c>
      <c r="L838" s="9">
        <v>0</v>
      </c>
      <c r="M838" s="9">
        <v>0</v>
      </c>
      <c r="N838" s="9">
        <v>0</v>
      </c>
      <c r="O838" s="9">
        <v>0</v>
      </c>
      <c r="P838" s="9">
        <v>0</v>
      </c>
      <c r="Q838" s="9">
        <v>0</v>
      </c>
    </row>
    <row r="839" s="1" customFormat="1" ht="14.25" hidden="1" spans="1:17">
      <c r="A839" s="1" t="str">
        <f>VLOOKUP(B839,combinate!A:B,2,FALSE)</f>
        <v>Group C</v>
      </c>
      <c r="B839" s="8">
        <v>254113057674</v>
      </c>
      <c r="C839" s="9">
        <v>11530447</v>
      </c>
      <c r="D839" s="10">
        <v>46163.849837963</v>
      </c>
      <c r="E839" s="12" t="s">
        <v>254</v>
      </c>
      <c r="F839" s="9">
        <v>0</v>
      </c>
      <c r="G839" s="9">
        <v>0</v>
      </c>
      <c r="H839" s="9">
        <v>0</v>
      </c>
      <c r="I839" s="9">
        <v>0</v>
      </c>
      <c r="J839" s="9">
        <v>0</v>
      </c>
      <c r="K839" s="9">
        <v>0</v>
      </c>
      <c r="L839" s="9">
        <v>0</v>
      </c>
      <c r="M839" s="9">
        <v>0</v>
      </c>
      <c r="N839" s="9">
        <v>0</v>
      </c>
      <c r="O839" s="9">
        <v>0</v>
      </c>
      <c r="P839" s="9">
        <v>0</v>
      </c>
      <c r="Q839" s="9">
        <v>0</v>
      </c>
    </row>
    <row r="840" s="1" customFormat="1" ht="14.25" hidden="1" spans="1:17">
      <c r="A840" s="1" t="str">
        <f>VLOOKUP(B840,combinate!A:B,2,FALSE)</f>
        <v>Group A</v>
      </c>
      <c r="B840" s="8">
        <v>254726178163</v>
      </c>
      <c r="C840" s="9">
        <v>12388092</v>
      </c>
      <c r="D840" s="10">
        <v>46161.7343055556</v>
      </c>
      <c r="E840" s="12" t="s">
        <v>254</v>
      </c>
      <c r="F840" s="9">
        <v>0</v>
      </c>
      <c r="G840" s="9">
        <v>0</v>
      </c>
      <c r="H840" s="9">
        <v>0</v>
      </c>
      <c r="I840" s="9">
        <v>0</v>
      </c>
      <c r="J840" s="9">
        <v>0</v>
      </c>
      <c r="K840" s="9">
        <v>0</v>
      </c>
      <c r="L840" s="9">
        <v>0</v>
      </c>
      <c r="M840" s="9">
        <v>0</v>
      </c>
      <c r="N840" s="9">
        <v>0</v>
      </c>
      <c r="O840" s="9">
        <v>0</v>
      </c>
      <c r="P840" s="9">
        <v>0</v>
      </c>
      <c r="Q840" s="9">
        <v>0</v>
      </c>
    </row>
    <row r="841" s="1" customFormat="1" ht="14.25" hidden="1" spans="1:17">
      <c r="A841" s="1" t="str">
        <f>VLOOKUP(B841,combinate!A:B,2,FALSE)</f>
        <v>Group C</v>
      </c>
      <c r="B841" s="8">
        <v>254705042619</v>
      </c>
      <c r="C841" s="9">
        <v>13087458</v>
      </c>
      <c r="D841" s="10">
        <v>46161.8266550926</v>
      </c>
      <c r="E841" s="12" t="s">
        <v>254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  <c r="K841" s="9">
        <v>0</v>
      </c>
      <c r="L841" s="9">
        <v>0</v>
      </c>
      <c r="M841" s="9">
        <v>0</v>
      </c>
      <c r="N841" s="9">
        <v>0</v>
      </c>
      <c r="O841" s="9">
        <v>0</v>
      </c>
      <c r="P841" s="9">
        <v>0</v>
      </c>
      <c r="Q841" s="9">
        <v>0</v>
      </c>
    </row>
    <row r="842" s="1" customFormat="1" ht="14.25" hidden="1" spans="1:17">
      <c r="A842" s="1" t="str">
        <f>VLOOKUP(B842,combinate!A:B,2,FALSE)</f>
        <v>Group A</v>
      </c>
      <c r="B842" s="8">
        <v>254704778099</v>
      </c>
      <c r="C842" s="9">
        <v>13220582</v>
      </c>
      <c r="D842" s="10">
        <v>46177.5753472222</v>
      </c>
      <c r="E842" s="12" t="s">
        <v>254</v>
      </c>
      <c r="F842" s="9">
        <v>0</v>
      </c>
      <c r="G842" s="9">
        <v>0</v>
      </c>
      <c r="H842" s="9">
        <v>0</v>
      </c>
      <c r="I842" s="9">
        <v>0</v>
      </c>
      <c r="J842" s="9">
        <v>0</v>
      </c>
      <c r="K842" s="9">
        <v>0</v>
      </c>
      <c r="L842" s="9">
        <v>0</v>
      </c>
      <c r="M842" s="9">
        <v>0</v>
      </c>
      <c r="N842" s="9">
        <v>0</v>
      </c>
      <c r="O842" s="9">
        <v>0</v>
      </c>
      <c r="P842" s="9">
        <v>0</v>
      </c>
      <c r="Q842" s="9">
        <v>0</v>
      </c>
    </row>
    <row r="843" s="1" customFormat="1" ht="14.25" hidden="1" spans="1:17">
      <c r="A843" s="1" t="str">
        <f>VLOOKUP(B843,combinate!A:B,2,FALSE)</f>
        <v>Group B</v>
      </c>
      <c r="B843" s="8">
        <v>254795631438</v>
      </c>
      <c r="C843" s="9">
        <v>14110853</v>
      </c>
      <c r="D843" s="10">
        <v>46160.2600462963</v>
      </c>
      <c r="E843" s="12" t="s">
        <v>254</v>
      </c>
      <c r="F843" s="9">
        <v>0</v>
      </c>
      <c r="G843" s="9">
        <v>0</v>
      </c>
      <c r="H843" s="9">
        <v>0</v>
      </c>
      <c r="I843" s="9">
        <v>0</v>
      </c>
      <c r="J843" s="9">
        <v>0</v>
      </c>
      <c r="K843" s="9">
        <v>0</v>
      </c>
      <c r="L843" s="9">
        <v>0</v>
      </c>
      <c r="M843" s="9">
        <v>0</v>
      </c>
      <c r="N843" s="9">
        <v>0</v>
      </c>
      <c r="O843" s="9">
        <v>0</v>
      </c>
      <c r="P843" s="9">
        <v>0</v>
      </c>
      <c r="Q843" s="9">
        <v>0</v>
      </c>
    </row>
    <row r="844" s="1" customFormat="1" ht="14.25" hidden="1" spans="1:17">
      <c r="A844" s="1" t="str">
        <f>VLOOKUP(B844,combinate!A:B,2,FALSE)</f>
        <v>Group C</v>
      </c>
      <c r="B844" s="8">
        <v>254723985246</v>
      </c>
      <c r="C844" s="9">
        <v>15383248</v>
      </c>
      <c r="D844" s="10">
        <v>46175.5075694444</v>
      </c>
      <c r="E844" s="12" t="s">
        <v>254</v>
      </c>
      <c r="F844" s="9">
        <v>0</v>
      </c>
      <c r="G844" s="9">
        <v>0</v>
      </c>
      <c r="H844" s="9">
        <v>0</v>
      </c>
      <c r="I844" s="9">
        <v>0</v>
      </c>
      <c r="J844" s="9">
        <v>0</v>
      </c>
      <c r="K844" s="9">
        <v>0</v>
      </c>
      <c r="L844" s="9">
        <v>0</v>
      </c>
      <c r="M844" s="9">
        <v>0</v>
      </c>
      <c r="N844" s="9">
        <v>0</v>
      </c>
      <c r="O844" s="9">
        <v>0</v>
      </c>
      <c r="P844" s="9">
        <v>0</v>
      </c>
      <c r="Q844" s="9">
        <v>0</v>
      </c>
    </row>
    <row r="845" s="1" customFormat="1" ht="14.25" hidden="1" spans="1:17">
      <c r="A845" s="1" t="str">
        <f>VLOOKUP(B845,combinate!A:B,2,FALSE)</f>
        <v>Group A</v>
      </c>
      <c r="B845" s="8">
        <v>254713873683</v>
      </c>
      <c r="C845" s="9">
        <v>15886930</v>
      </c>
      <c r="D845" s="10">
        <v>46160.4234259259</v>
      </c>
      <c r="E845" s="12" t="s">
        <v>254</v>
      </c>
      <c r="F845" s="9">
        <v>0</v>
      </c>
      <c r="G845" s="9">
        <v>0</v>
      </c>
      <c r="H845" s="9">
        <v>0</v>
      </c>
      <c r="I845" s="9">
        <v>0</v>
      </c>
      <c r="J845" s="9">
        <v>0</v>
      </c>
      <c r="K845" s="9">
        <v>0</v>
      </c>
      <c r="L845" s="9">
        <v>0</v>
      </c>
      <c r="M845" s="9">
        <v>0</v>
      </c>
      <c r="N845" s="9">
        <v>0</v>
      </c>
      <c r="O845" s="9">
        <v>0</v>
      </c>
      <c r="P845" s="9">
        <v>0</v>
      </c>
      <c r="Q845" s="9">
        <v>0</v>
      </c>
    </row>
    <row r="846" s="1" customFormat="1" ht="14.25" hidden="1" spans="1:17">
      <c r="A846" s="1" t="str">
        <f>VLOOKUP(B846,combinate!A:B,2,FALSE)</f>
        <v>Group A</v>
      </c>
      <c r="B846" s="8">
        <v>254794084435</v>
      </c>
      <c r="C846" s="9">
        <v>15916391</v>
      </c>
      <c r="D846" s="10">
        <v>46163.0416319444</v>
      </c>
      <c r="E846" s="12" t="s">
        <v>254</v>
      </c>
      <c r="F846" s="9">
        <v>0</v>
      </c>
      <c r="G846" s="9">
        <v>0</v>
      </c>
      <c r="H846" s="9">
        <v>0</v>
      </c>
      <c r="I846" s="9">
        <v>0</v>
      </c>
      <c r="J846" s="9">
        <v>0</v>
      </c>
      <c r="K846" s="9">
        <v>0</v>
      </c>
      <c r="L846" s="9">
        <v>0</v>
      </c>
      <c r="M846" s="9">
        <v>0</v>
      </c>
      <c r="N846" s="9">
        <v>0</v>
      </c>
      <c r="O846" s="9">
        <v>0</v>
      </c>
      <c r="P846" s="9">
        <v>0</v>
      </c>
      <c r="Q846" s="9">
        <v>0</v>
      </c>
    </row>
    <row r="847" s="1" customFormat="1" ht="14.25" hidden="1" spans="1:17">
      <c r="A847" s="1" t="str">
        <f>VLOOKUP(B847,combinate!A:B,2,FALSE)</f>
        <v>Group C</v>
      </c>
      <c r="B847" s="8">
        <v>254791368991</v>
      </c>
      <c r="C847" s="9">
        <v>16864118</v>
      </c>
      <c r="D847" s="10">
        <v>46163.7269907407</v>
      </c>
      <c r="E847" s="12" t="s">
        <v>254</v>
      </c>
      <c r="F847" s="9">
        <v>0</v>
      </c>
      <c r="G847" s="9">
        <v>0</v>
      </c>
      <c r="H847" s="9">
        <v>0</v>
      </c>
      <c r="I847" s="9">
        <v>0</v>
      </c>
      <c r="J847" s="9">
        <v>0</v>
      </c>
      <c r="K847" s="9">
        <v>0</v>
      </c>
      <c r="L847" s="9">
        <v>0</v>
      </c>
      <c r="M847" s="9">
        <v>0</v>
      </c>
      <c r="N847" s="9">
        <v>0</v>
      </c>
      <c r="O847" s="9">
        <v>0</v>
      </c>
      <c r="P847" s="9">
        <v>0</v>
      </c>
      <c r="Q847" s="9">
        <v>0</v>
      </c>
    </row>
    <row r="848" s="1" customFormat="1" ht="14.25" hidden="1" spans="1:17">
      <c r="A848" s="1" t="str">
        <f>VLOOKUP(B848,combinate!A:B,2,FALSE)</f>
        <v>Group C</v>
      </c>
      <c r="B848" s="8">
        <v>254704695335</v>
      </c>
      <c r="C848" s="9">
        <v>17206919</v>
      </c>
      <c r="D848" s="10">
        <v>46162.8020601852</v>
      </c>
      <c r="E848" s="12" t="s">
        <v>254</v>
      </c>
      <c r="F848" s="9">
        <v>0</v>
      </c>
      <c r="G848" s="9">
        <v>0</v>
      </c>
      <c r="H848" s="9">
        <v>0</v>
      </c>
      <c r="I848" s="9">
        <v>0</v>
      </c>
      <c r="J848" s="9">
        <v>0</v>
      </c>
      <c r="K848" s="9">
        <v>0</v>
      </c>
      <c r="L848" s="9">
        <v>0</v>
      </c>
      <c r="M848" s="9">
        <v>0</v>
      </c>
      <c r="N848" s="9">
        <v>0</v>
      </c>
      <c r="O848" s="9">
        <v>0</v>
      </c>
      <c r="P848" s="9">
        <v>0</v>
      </c>
      <c r="Q848" s="9">
        <v>0</v>
      </c>
    </row>
    <row r="849" s="1" customFormat="1" ht="14.25" hidden="1" spans="1:17">
      <c r="A849" s="1" t="str">
        <f>VLOOKUP(B849,combinate!A:B,2,FALSE)</f>
        <v>Group A</v>
      </c>
      <c r="B849" s="8">
        <v>254705094468</v>
      </c>
      <c r="C849" s="9">
        <v>17841480</v>
      </c>
      <c r="D849" s="10">
        <v>46161.2372916667</v>
      </c>
      <c r="E849" s="12" t="s">
        <v>254</v>
      </c>
      <c r="F849" s="9">
        <v>0</v>
      </c>
      <c r="G849" s="9">
        <v>0</v>
      </c>
      <c r="H849" s="9">
        <v>0</v>
      </c>
      <c r="I849" s="9">
        <v>0</v>
      </c>
      <c r="J849" s="9">
        <v>0</v>
      </c>
      <c r="K849" s="9">
        <v>0</v>
      </c>
      <c r="L849" s="9">
        <v>0</v>
      </c>
      <c r="M849" s="9">
        <v>0</v>
      </c>
      <c r="N849" s="9">
        <v>0</v>
      </c>
      <c r="O849" s="9">
        <v>0</v>
      </c>
      <c r="P849" s="9">
        <v>0</v>
      </c>
      <c r="Q849" s="9">
        <v>0</v>
      </c>
    </row>
    <row r="850" s="1" customFormat="1" ht="14.25" hidden="1" spans="1:17">
      <c r="A850" s="1" t="str">
        <f>VLOOKUP(B850,combinate!A:B,2,FALSE)</f>
        <v>Group A</v>
      </c>
      <c r="B850" s="8">
        <v>254116611542</v>
      </c>
      <c r="C850" s="9">
        <v>18902240</v>
      </c>
      <c r="D850" s="10">
        <v>46180.7324074074</v>
      </c>
      <c r="E850" s="11" t="s">
        <v>250</v>
      </c>
      <c r="F850" s="9">
        <v>10.08</v>
      </c>
      <c r="G850" s="9">
        <v>1341</v>
      </c>
      <c r="H850" s="9">
        <v>0</v>
      </c>
      <c r="I850" s="9">
        <v>1341</v>
      </c>
      <c r="J850" s="9">
        <v>0</v>
      </c>
      <c r="K850" s="9">
        <v>376.61</v>
      </c>
      <c r="L850" s="9">
        <v>2.83</v>
      </c>
      <c r="M850" s="9">
        <v>376.61</v>
      </c>
      <c r="N850" s="9">
        <v>2.83</v>
      </c>
      <c r="O850" s="9">
        <v>376</v>
      </c>
      <c r="P850" s="9">
        <v>0</v>
      </c>
      <c r="Q850" s="9">
        <v>0</v>
      </c>
    </row>
    <row r="851" s="1" customFormat="1" ht="14.25" hidden="1" spans="1:17">
      <c r="A851" s="1" t="str">
        <f>VLOOKUP(B851,combinate!A:B,2,FALSE)</f>
        <v>Group A</v>
      </c>
      <c r="B851" s="8">
        <v>254732287547</v>
      </c>
      <c r="C851" s="9">
        <v>19799670</v>
      </c>
      <c r="D851" s="10">
        <v>46166.7080439815</v>
      </c>
      <c r="E851" s="12" t="s">
        <v>254</v>
      </c>
      <c r="F851" s="9">
        <v>0</v>
      </c>
      <c r="G851" s="9">
        <v>0</v>
      </c>
      <c r="H851" s="9">
        <v>0</v>
      </c>
      <c r="I851" s="9">
        <v>0</v>
      </c>
      <c r="J851" s="9">
        <v>0</v>
      </c>
      <c r="K851" s="9">
        <v>0</v>
      </c>
      <c r="L851" s="9">
        <v>0</v>
      </c>
      <c r="M851" s="9">
        <v>0</v>
      </c>
      <c r="N851" s="9">
        <v>0</v>
      </c>
      <c r="O851" s="9">
        <v>0</v>
      </c>
      <c r="P851" s="9">
        <v>0</v>
      </c>
      <c r="Q851" s="9">
        <v>0</v>
      </c>
    </row>
    <row r="852" s="1" customFormat="1" ht="14.25" hidden="1" spans="1:17">
      <c r="A852" s="1" t="str">
        <f>VLOOKUP(B852,combinate!A:B,2,FALSE)</f>
        <v>Group C</v>
      </c>
      <c r="B852" s="8">
        <v>254114103319</v>
      </c>
      <c r="C852" s="9">
        <v>19854849</v>
      </c>
      <c r="D852" s="10">
        <v>46166.4054513889</v>
      </c>
      <c r="E852" s="12" t="s">
        <v>254</v>
      </c>
      <c r="F852" s="9">
        <v>0</v>
      </c>
      <c r="G852" s="9">
        <v>0</v>
      </c>
      <c r="H852" s="9">
        <v>0</v>
      </c>
      <c r="I852" s="9">
        <v>0</v>
      </c>
      <c r="J852" s="9">
        <v>0</v>
      </c>
      <c r="K852" s="9">
        <v>0</v>
      </c>
      <c r="L852" s="9">
        <v>0</v>
      </c>
      <c r="M852" s="9">
        <v>0</v>
      </c>
      <c r="N852" s="9">
        <v>0</v>
      </c>
      <c r="O852" s="9">
        <v>0</v>
      </c>
      <c r="P852" s="9">
        <v>0</v>
      </c>
      <c r="Q852" s="9">
        <v>0</v>
      </c>
    </row>
    <row r="853" s="1" customFormat="1" ht="14.25" spans="1:17">
      <c r="A853" s="1" t="str">
        <f>VLOOKUP(B853,combinate!A:B,2,FALSE)</f>
        <v>Group C</v>
      </c>
      <c r="B853" s="8">
        <v>254728255627</v>
      </c>
      <c r="C853" s="9">
        <v>893529</v>
      </c>
      <c r="D853" s="10">
        <v>46183.9093171296</v>
      </c>
      <c r="E853" s="11" t="s">
        <v>250</v>
      </c>
      <c r="F853" s="9">
        <v>457.68</v>
      </c>
      <c r="G853" s="9">
        <v>60872.1</v>
      </c>
      <c r="H853" s="9">
        <v>0</v>
      </c>
      <c r="I853" s="9">
        <v>60872.1</v>
      </c>
      <c r="J853" s="9">
        <v>0</v>
      </c>
      <c r="K853" s="9">
        <v>7104.22</v>
      </c>
      <c r="L853" s="9">
        <v>53.42</v>
      </c>
      <c r="M853" s="9">
        <v>7104.22</v>
      </c>
      <c r="N853" s="9">
        <v>92.29</v>
      </c>
      <c r="O853" s="9">
        <v>12274</v>
      </c>
      <c r="P853" s="9">
        <v>40.6</v>
      </c>
      <c r="Q853" s="9">
        <v>5400</v>
      </c>
    </row>
    <row r="854" s="1" customFormat="1" ht="14.25" hidden="1" spans="1:17">
      <c r="A854" s="1" t="str">
        <f>VLOOKUP(B854,combinate!A:B,2,FALSE)</f>
        <v>Group B</v>
      </c>
      <c r="B854" s="8">
        <v>254727515649</v>
      </c>
      <c r="C854" s="9">
        <v>1706374</v>
      </c>
      <c r="D854" s="10">
        <v>46161.4828009259</v>
      </c>
      <c r="E854" s="12" t="s">
        <v>254</v>
      </c>
      <c r="F854" s="9">
        <v>0</v>
      </c>
      <c r="G854" s="9">
        <v>0</v>
      </c>
      <c r="H854" s="9">
        <v>0</v>
      </c>
      <c r="I854" s="9">
        <v>0</v>
      </c>
      <c r="J854" s="9">
        <v>0</v>
      </c>
      <c r="K854" s="9">
        <v>0</v>
      </c>
      <c r="L854" s="9">
        <v>0</v>
      </c>
      <c r="M854" s="9">
        <v>0</v>
      </c>
      <c r="N854" s="9">
        <v>0</v>
      </c>
      <c r="O854" s="9">
        <v>0</v>
      </c>
      <c r="P854" s="9">
        <v>0</v>
      </c>
      <c r="Q854" s="9">
        <v>0</v>
      </c>
    </row>
    <row r="855" s="1" customFormat="1" ht="14.25" hidden="1" spans="1:17">
      <c r="A855" s="1" t="str">
        <f>VLOOKUP(B855,combinate!A:B,2,FALSE)</f>
        <v>Group C</v>
      </c>
      <c r="B855" s="8">
        <v>254725469487</v>
      </c>
      <c r="C855" s="9">
        <v>2213447</v>
      </c>
      <c r="D855" s="10">
        <v>46181.8364814815</v>
      </c>
      <c r="E855" s="12" t="s">
        <v>254</v>
      </c>
      <c r="F855" s="9">
        <v>0</v>
      </c>
      <c r="G855" s="9">
        <v>0</v>
      </c>
      <c r="H855" s="9">
        <v>0</v>
      </c>
      <c r="I855" s="9">
        <v>0</v>
      </c>
      <c r="J855" s="9">
        <v>0</v>
      </c>
      <c r="K855" s="9">
        <v>0</v>
      </c>
      <c r="L855" s="9">
        <v>0</v>
      </c>
      <c r="M855" s="9">
        <v>0</v>
      </c>
      <c r="N855" s="9">
        <v>0</v>
      </c>
      <c r="O855" s="9">
        <v>0</v>
      </c>
      <c r="P855" s="9">
        <v>0</v>
      </c>
      <c r="Q855" s="9">
        <v>0</v>
      </c>
    </row>
    <row r="856" s="1" customFormat="1" ht="14.25" hidden="1" spans="1:17">
      <c r="A856" s="1" t="str">
        <f>VLOOKUP(B856,combinate!A:B,2,FALSE)</f>
        <v>Group C</v>
      </c>
      <c r="B856" s="8">
        <v>254796524482</v>
      </c>
      <c r="C856" s="9">
        <v>3066426</v>
      </c>
      <c r="D856" s="10">
        <v>46184.2042592593</v>
      </c>
      <c r="E856" s="11" t="s">
        <v>250</v>
      </c>
      <c r="F856" s="9">
        <v>7.52</v>
      </c>
      <c r="G856" s="9">
        <v>1000.75</v>
      </c>
      <c r="H856" s="9">
        <v>0</v>
      </c>
      <c r="I856" s="9">
        <v>1000.75</v>
      </c>
      <c r="J856" s="9">
        <v>0</v>
      </c>
      <c r="K856" s="9">
        <v>95.25</v>
      </c>
      <c r="L856" s="9">
        <v>0.72</v>
      </c>
      <c r="M856" s="9">
        <v>95.25</v>
      </c>
      <c r="N856" s="9">
        <v>0.71</v>
      </c>
      <c r="O856" s="9">
        <v>95</v>
      </c>
      <c r="P856" s="9">
        <v>0</v>
      </c>
      <c r="Q856" s="9">
        <v>0</v>
      </c>
    </row>
    <row r="857" s="1" customFormat="1" ht="14.25" hidden="1" spans="1:17">
      <c r="A857" s="1" t="str">
        <f>VLOOKUP(B857,combinate!A:B,2,FALSE)</f>
        <v>Group B</v>
      </c>
      <c r="B857" s="8">
        <v>254705527559</v>
      </c>
      <c r="C857" s="9">
        <v>3120073</v>
      </c>
      <c r="D857" s="10">
        <v>46161.8559490741</v>
      </c>
      <c r="E857" s="12" t="s">
        <v>254</v>
      </c>
      <c r="F857" s="9">
        <v>0</v>
      </c>
      <c r="G857" s="9">
        <v>0</v>
      </c>
      <c r="H857" s="9">
        <v>0</v>
      </c>
      <c r="I857" s="9">
        <v>0</v>
      </c>
      <c r="J857" s="9">
        <v>0</v>
      </c>
      <c r="K857" s="9">
        <v>0</v>
      </c>
      <c r="L857" s="9">
        <v>0</v>
      </c>
      <c r="M857" s="9">
        <v>0</v>
      </c>
      <c r="N857" s="9">
        <v>0</v>
      </c>
      <c r="O857" s="9">
        <v>0</v>
      </c>
      <c r="P857" s="9">
        <v>0</v>
      </c>
      <c r="Q857" s="9">
        <v>0</v>
      </c>
    </row>
    <row r="858" s="1" customFormat="1" ht="14.25" hidden="1" spans="1:17">
      <c r="A858" s="1" t="str">
        <f>VLOOKUP(B858,combinate!A:B,2,FALSE)</f>
        <v>Group A</v>
      </c>
      <c r="B858" s="8">
        <v>254723675585</v>
      </c>
      <c r="C858" s="9">
        <v>3172712</v>
      </c>
      <c r="D858" s="10">
        <v>46179.8987847222</v>
      </c>
      <c r="E858" s="11" t="s">
        <v>250</v>
      </c>
      <c r="F858" s="9">
        <v>1.53</v>
      </c>
      <c r="G858" s="9">
        <v>204</v>
      </c>
      <c r="H858" s="9">
        <v>0</v>
      </c>
      <c r="I858" s="9">
        <v>204</v>
      </c>
      <c r="J858" s="9">
        <v>0</v>
      </c>
      <c r="K858" s="9">
        <v>84</v>
      </c>
      <c r="L858" s="9">
        <v>0.63</v>
      </c>
      <c r="M858" s="9">
        <v>84</v>
      </c>
      <c r="N858" s="9">
        <v>0.57</v>
      </c>
      <c r="O858" s="9">
        <v>76</v>
      </c>
      <c r="P858" s="9">
        <v>0</v>
      </c>
      <c r="Q858" s="9">
        <v>0</v>
      </c>
    </row>
    <row r="859" s="1" customFormat="1" ht="14.25" hidden="1" spans="1:17">
      <c r="A859" s="1" t="str">
        <f>VLOOKUP(B859,combinate!A:B,2,FALSE)</f>
        <v>Group A</v>
      </c>
      <c r="B859" s="8">
        <v>254713125981</v>
      </c>
      <c r="C859" s="9">
        <v>3384571</v>
      </c>
      <c r="D859" s="10">
        <v>46184.4259953704</v>
      </c>
      <c r="E859" s="12" t="s">
        <v>254</v>
      </c>
      <c r="F859" s="9">
        <v>0</v>
      </c>
      <c r="G859" s="9">
        <v>0</v>
      </c>
      <c r="H859" s="9">
        <v>0</v>
      </c>
      <c r="I859" s="9">
        <v>0</v>
      </c>
      <c r="J859" s="9">
        <v>0</v>
      </c>
      <c r="K859" s="9">
        <v>0</v>
      </c>
      <c r="L859" s="9">
        <v>0</v>
      </c>
      <c r="M859" s="9">
        <v>0</v>
      </c>
      <c r="N859" s="9">
        <v>0</v>
      </c>
      <c r="O859" s="9">
        <v>0</v>
      </c>
      <c r="P859" s="9">
        <v>0</v>
      </c>
      <c r="Q859" s="9">
        <v>0</v>
      </c>
    </row>
    <row r="860" s="1" customFormat="1" ht="14.25" hidden="1" spans="1:17">
      <c r="A860" s="1" t="str">
        <f>VLOOKUP(B860,combinate!A:B,2,FALSE)</f>
        <v>Group B</v>
      </c>
      <c r="B860" s="8">
        <v>254704850574</v>
      </c>
      <c r="C860" s="9">
        <v>3936364</v>
      </c>
      <c r="D860" s="10">
        <v>46161.4123148148</v>
      </c>
      <c r="E860" s="12" t="s">
        <v>254</v>
      </c>
      <c r="F860" s="9">
        <v>0</v>
      </c>
      <c r="G860" s="9">
        <v>0</v>
      </c>
      <c r="H860" s="9">
        <v>0</v>
      </c>
      <c r="I860" s="9">
        <v>0</v>
      </c>
      <c r="J860" s="9">
        <v>0</v>
      </c>
      <c r="K860" s="9">
        <v>0</v>
      </c>
      <c r="L860" s="9">
        <v>0</v>
      </c>
      <c r="M860" s="9">
        <v>0</v>
      </c>
      <c r="N860" s="9">
        <v>0</v>
      </c>
      <c r="O860" s="9">
        <v>0</v>
      </c>
      <c r="P860" s="9">
        <v>0</v>
      </c>
      <c r="Q860" s="9">
        <v>0</v>
      </c>
    </row>
    <row r="861" s="1" customFormat="1" ht="14.25" hidden="1" spans="1:17">
      <c r="A861" s="1" t="str">
        <f>VLOOKUP(B861,combinate!A:B,2,FALSE)</f>
        <v>Group A</v>
      </c>
      <c r="B861" s="8">
        <v>254727696129</v>
      </c>
      <c r="C861" s="9">
        <v>4815521</v>
      </c>
      <c r="D861" s="10">
        <v>46182.7940972222</v>
      </c>
      <c r="E861" s="11" t="s">
        <v>250</v>
      </c>
      <c r="F861" s="9">
        <v>0.81</v>
      </c>
      <c r="G861" s="9">
        <v>108</v>
      </c>
      <c r="H861" s="9">
        <v>0</v>
      </c>
      <c r="I861" s="9">
        <v>108</v>
      </c>
      <c r="J861" s="9">
        <v>0</v>
      </c>
      <c r="K861" s="9">
        <v>85.7</v>
      </c>
      <c r="L861" s="9">
        <v>0.64</v>
      </c>
      <c r="M861" s="9">
        <v>85.7</v>
      </c>
      <c r="N861" s="9">
        <v>0.64</v>
      </c>
      <c r="O861" s="9">
        <v>85.5</v>
      </c>
      <c r="P861" s="9">
        <v>0</v>
      </c>
      <c r="Q861" s="9">
        <v>0</v>
      </c>
    </row>
    <row r="862" s="1" customFormat="1" ht="14.25" hidden="1" spans="1:17">
      <c r="A862" s="1" t="str">
        <f>VLOOKUP(B862,combinate!A:B,2,FALSE)</f>
        <v>Group C</v>
      </c>
      <c r="B862" s="8">
        <v>254111398591</v>
      </c>
      <c r="C862" s="9">
        <v>5331377</v>
      </c>
      <c r="D862" s="10">
        <v>46182.5271990741</v>
      </c>
      <c r="E862" s="11" t="s">
        <v>250</v>
      </c>
      <c r="F862" s="9">
        <v>61.09</v>
      </c>
      <c r="G862" s="9">
        <v>8124.57</v>
      </c>
      <c r="H862" s="9">
        <v>0</v>
      </c>
      <c r="I862" s="9">
        <v>8124.57</v>
      </c>
      <c r="J862" s="9">
        <v>0</v>
      </c>
      <c r="K862" s="9">
        <v>3271.37</v>
      </c>
      <c r="L862" s="9">
        <v>24.6</v>
      </c>
      <c r="M862" s="9">
        <v>3271.37</v>
      </c>
      <c r="N862" s="9">
        <v>25.21</v>
      </c>
      <c r="O862" s="9">
        <v>3353.5</v>
      </c>
      <c r="P862" s="9">
        <v>26.32</v>
      </c>
      <c r="Q862" s="9">
        <v>3500</v>
      </c>
    </row>
    <row r="863" s="1" customFormat="1" ht="14.25" hidden="1" spans="1:17">
      <c r="A863" s="1" t="str">
        <f>VLOOKUP(B863,combinate!A:B,2,FALSE)</f>
        <v>Group A</v>
      </c>
      <c r="B863" s="8">
        <v>254716752899</v>
      </c>
      <c r="C863" s="9">
        <v>9227481</v>
      </c>
      <c r="D863" s="10">
        <v>46184.0194675926</v>
      </c>
      <c r="E863" s="11" t="s">
        <v>250</v>
      </c>
      <c r="F863" s="9">
        <v>17.56</v>
      </c>
      <c r="G863" s="9">
        <v>2335.4</v>
      </c>
      <c r="H863" s="9">
        <v>0</v>
      </c>
      <c r="I863" s="9">
        <v>2335.4</v>
      </c>
      <c r="J863" s="9">
        <v>0</v>
      </c>
      <c r="K863" s="9">
        <v>-230.8</v>
      </c>
      <c r="L863" s="9">
        <v>-1.74</v>
      </c>
      <c r="M863" s="9">
        <v>-230.8</v>
      </c>
      <c r="N863" s="9">
        <v>2.71</v>
      </c>
      <c r="O863" s="9">
        <v>361</v>
      </c>
      <c r="P863" s="9">
        <v>3.2</v>
      </c>
      <c r="Q863" s="9">
        <v>425.93</v>
      </c>
    </row>
    <row r="864" s="1" customFormat="1" ht="14.25" hidden="1" spans="1:17">
      <c r="A864" s="1" t="str">
        <f>VLOOKUP(B864,combinate!A:B,2,FALSE)</f>
        <v>Group C</v>
      </c>
      <c r="B864" s="8">
        <v>254713249395</v>
      </c>
      <c r="C864" s="9">
        <v>9314567</v>
      </c>
      <c r="D864" s="10">
        <v>46180.3073726852</v>
      </c>
      <c r="E864" s="12" t="s">
        <v>254</v>
      </c>
      <c r="F864" s="9">
        <v>0</v>
      </c>
      <c r="G864" s="9">
        <v>0</v>
      </c>
      <c r="H864" s="9">
        <v>0</v>
      </c>
      <c r="I864" s="9">
        <v>0</v>
      </c>
      <c r="J864" s="9">
        <v>0</v>
      </c>
      <c r="K864" s="9">
        <v>0</v>
      </c>
      <c r="L864" s="9">
        <v>0</v>
      </c>
      <c r="M864" s="9">
        <v>0</v>
      </c>
      <c r="N864" s="9">
        <v>0</v>
      </c>
      <c r="O864" s="9">
        <v>0</v>
      </c>
      <c r="P864" s="9">
        <v>0</v>
      </c>
      <c r="Q864" s="9">
        <v>0</v>
      </c>
    </row>
    <row r="865" s="1" customFormat="1" ht="14.25" hidden="1" spans="1:17">
      <c r="A865" s="1" t="str">
        <f>VLOOKUP(B865,combinate!A:B,2,FALSE)</f>
        <v>Group C</v>
      </c>
      <c r="B865" s="8">
        <v>254716567074</v>
      </c>
      <c r="C865" s="9">
        <v>10599639</v>
      </c>
      <c r="D865" s="10">
        <v>46178.658125</v>
      </c>
      <c r="E865" s="12" t="s">
        <v>254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  <c r="K865" s="9">
        <v>0</v>
      </c>
      <c r="L865" s="9">
        <v>0</v>
      </c>
      <c r="M865" s="9">
        <v>0</v>
      </c>
      <c r="N865" s="9">
        <v>0</v>
      </c>
      <c r="O865" s="9">
        <v>0</v>
      </c>
      <c r="P865" s="9">
        <v>0</v>
      </c>
      <c r="Q865" s="9">
        <v>0</v>
      </c>
    </row>
    <row r="866" s="1" customFormat="1" ht="14.25" hidden="1" spans="1:17">
      <c r="A866" s="1" t="str">
        <f>VLOOKUP(B866,combinate!A:B,2,FALSE)</f>
        <v>Group A</v>
      </c>
      <c r="B866" s="8">
        <v>254720804258</v>
      </c>
      <c r="C866" s="9">
        <v>11718720</v>
      </c>
      <c r="D866" s="10">
        <v>46163.238125</v>
      </c>
      <c r="E866" s="12" t="s">
        <v>254</v>
      </c>
      <c r="F866" s="9">
        <v>0</v>
      </c>
      <c r="G866" s="9">
        <v>0</v>
      </c>
      <c r="H866" s="9">
        <v>0</v>
      </c>
      <c r="I866" s="9">
        <v>0</v>
      </c>
      <c r="J866" s="9">
        <v>0</v>
      </c>
      <c r="K866" s="9">
        <v>0</v>
      </c>
      <c r="L866" s="9">
        <v>0</v>
      </c>
      <c r="M866" s="9">
        <v>0</v>
      </c>
      <c r="N866" s="9">
        <v>0</v>
      </c>
      <c r="O866" s="9">
        <v>0</v>
      </c>
      <c r="P866" s="9">
        <v>0</v>
      </c>
      <c r="Q866" s="9">
        <v>0</v>
      </c>
    </row>
    <row r="867" s="1" customFormat="1" ht="14.25" hidden="1" spans="1:17">
      <c r="A867" s="1" t="str">
        <f>VLOOKUP(B867,combinate!A:B,2,FALSE)</f>
        <v>Group C</v>
      </c>
      <c r="B867" s="8">
        <v>254729044607</v>
      </c>
      <c r="C867" s="9">
        <v>12058217</v>
      </c>
      <c r="D867" s="10">
        <v>46160.1057986111</v>
      </c>
      <c r="E867" s="12" t="s">
        <v>254</v>
      </c>
      <c r="F867" s="9">
        <v>0</v>
      </c>
      <c r="G867" s="9">
        <v>0</v>
      </c>
      <c r="H867" s="9">
        <v>0</v>
      </c>
      <c r="I867" s="9">
        <v>0</v>
      </c>
      <c r="J867" s="9">
        <v>0</v>
      </c>
      <c r="K867" s="9">
        <v>0</v>
      </c>
      <c r="L867" s="9">
        <v>0</v>
      </c>
      <c r="M867" s="9">
        <v>0</v>
      </c>
      <c r="N867" s="9">
        <v>0</v>
      </c>
      <c r="O867" s="9">
        <v>0</v>
      </c>
      <c r="P867" s="9">
        <v>0</v>
      </c>
      <c r="Q867" s="9">
        <v>0</v>
      </c>
    </row>
    <row r="868" s="1" customFormat="1" ht="14.25" hidden="1" spans="1:17">
      <c r="A868" s="1" t="str">
        <f>VLOOKUP(B868,combinate!A:B,2,FALSE)</f>
        <v>Group A</v>
      </c>
      <c r="B868" s="8">
        <v>254792549544</v>
      </c>
      <c r="C868" s="9">
        <v>12437940</v>
      </c>
      <c r="D868" s="10">
        <v>46163.5362268519</v>
      </c>
      <c r="E868" s="12" t="s">
        <v>254</v>
      </c>
      <c r="F868" s="9">
        <v>0</v>
      </c>
      <c r="G868" s="9">
        <v>0</v>
      </c>
      <c r="H868" s="9">
        <v>0</v>
      </c>
      <c r="I868" s="9">
        <v>0</v>
      </c>
      <c r="J868" s="9">
        <v>0</v>
      </c>
      <c r="K868" s="9">
        <v>0</v>
      </c>
      <c r="L868" s="9">
        <v>0</v>
      </c>
      <c r="M868" s="9">
        <v>0</v>
      </c>
      <c r="N868" s="9">
        <v>0</v>
      </c>
      <c r="O868" s="9">
        <v>0</v>
      </c>
      <c r="P868" s="9">
        <v>0</v>
      </c>
      <c r="Q868" s="9">
        <v>0</v>
      </c>
    </row>
    <row r="869" s="1" customFormat="1" ht="14.25" hidden="1" spans="1:17">
      <c r="A869" s="1" t="str">
        <f>VLOOKUP(B869,combinate!A:B,2,FALSE)</f>
        <v>Group C</v>
      </c>
      <c r="B869" s="8">
        <v>254722939030</v>
      </c>
      <c r="C869" s="9">
        <v>12464747</v>
      </c>
      <c r="D869" s="10">
        <v>46178.3268981481</v>
      </c>
      <c r="E869" s="11" t="s">
        <v>250</v>
      </c>
      <c r="F869" s="9">
        <v>5.15</v>
      </c>
      <c r="G869" s="9">
        <v>685.2</v>
      </c>
      <c r="H869" s="9">
        <v>0</v>
      </c>
      <c r="I869" s="9">
        <v>685.2</v>
      </c>
      <c r="J869" s="9">
        <v>0</v>
      </c>
      <c r="K869" s="9">
        <v>199.1</v>
      </c>
      <c r="L869" s="9">
        <v>1.5</v>
      </c>
      <c r="M869" s="9">
        <v>199.1</v>
      </c>
      <c r="N869" s="9">
        <v>1.43</v>
      </c>
      <c r="O869" s="9">
        <v>190</v>
      </c>
      <c r="P869" s="9">
        <v>0</v>
      </c>
      <c r="Q869" s="9">
        <v>0</v>
      </c>
    </row>
    <row r="870" s="1" customFormat="1" ht="14.25" hidden="1" spans="1:17">
      <c r="A870" s="1" t="str">
        <f>VLOOKUP(B870,combinate!A:B,2,FALSE)</f>
        <v>Group C</v>
      </c>
      <c r="B870" s="8">
        <v>254795902808</v>
      </c>
      <c r="C870" s="9">
        <v>13795116</v>
      </c>
      <c r="D870" s="10">
        <v>46160.5515509259</v>
      </c>
      <c r="E870" s="12" t="s">
        <v>254</v>
      </c>
      <c r="F870" s="9">
        <v>0</v>
      </c>
      <c r="G870" s="9">
        <v>0</v>
      </c>
      <c r="H870" s="9">
        <v>0</v>
      </c>
      <c r="I870" s="9">
        <v>0</v>
      </c>
      <c r="J870" s="9">
        <v>0</v>
      </c>
      <c r="K870" s="9">
        <v>0</v>
      </c>
      <c r="L870" s="9">
        <v>0</v>
      </c>
      <c r="M870" s="9">
        <v>0</v>
      </c>
      <c r="N870" s="9">
        <v>0</v>
      </c>
      <c r="O870" s="9">
        <v>0</v>
      </c>
      <c r="P870" s="9">
        <v>0</v>
      </c>
      <c r="Q870" s="9">
        <v>0</v>
      </c>
    </row>
    <row r="871" s="1" customFormat="1" ht="14.25" hidden="1" spans="1:17">
      <c r="A871" s="1" t="str">
        <f>VLOOKUP(B871,combinate!A:B,2,FALSE)</f>
        <v>Group C</v>
      </c>
      <c r="B871" s="8">
        <v>254720106210</v>
      </c>
      <c r="C871" s="9">
        <v>13947927</v>
      </c>
      <c r="D871" s="10">
        <v>46181.7312037037</v>
      </c>
      <c r="E871" s="11" t="s">
        <v>250</v>
      </c>
      <c r="F871" s="9">
        <v>12.41</v>
      </c>
      <c r="G871" s="9">
        <v>1650</v>
      </c>
      <c r="H871" s="9">
        <v>0</v>
      </c>
      <c r="I871" s="9">
        <v>1650</v>
      </c>
      <c r="J871" s="9">
        <v>0</v>
      </c>
      <c r="K871" s="9">
        <v>253.7</v>
      </c>
      <c r="L871" s="9">
        <v>1.91</v>
      </c>
      <c r="M871" s="9">
        <v>253.7</v>
      </c>
      <c r="N871" s="9">
        <v>5.23</v>
      </c>
      <c r="O871" s="9">
        <v>695.4</v>
      </c>
      <c r="P871" s="9">
        <v>6.6</v>
      </c>
      <c r="Q871" s="9">
        <v>877.65</v>
      </c>
    </row>
    <row r="872" s="1" customFormat="1" ht="14.25" hidden="1" spans="1:17">
      <c r="A872" s="1" t="str">
        <f>VLOOKUP(B872,combinate!A:B,2,FALSE)</f>
        <v>Group B</v>
      </c>
      <c r="B872" s="8">
        <v>254748713803</v>
      </c>
      <c r="C872" s="9">
        <v>15607024</v>
      </c>
      <c r="D872" s="10">
        <v>46160.8003935185</v>
      </c>
      <c r="E872" s="12" t="s">
        <v>254</v>
      </c>
      <c r="F872" s="9">
        <v>0</v>
      </c>
      <c r="G872" s="9">
        <v>0</v>
      </c>
      <c r="H872" s="9">
        <v>0</v>
      </c>
      <c r="I872" s="9">
        <v>0</v>
      </c>
      <c r="J872" s="9">
        <v>0</v>
      </c>
      <c r="K872" s="9">
        <v>0</v>
      </c>
      <c r="L872" s="9">
        <v>0</v>
      </c>
      <c r="M872" s="9">
        <v>0</v>
      </c>
      <c r="N872" s="9">
        <v>0</v>
      </c>
      <c r="O872" s="9">
        <v>0</v>
      </c>
      <c r="P872" s="9">
        <v>0</v>
      </c>
      <c r="Q872" s="9">
        <v>0</v>
      </c>
    </row>
    <row r="873" s="1" customFormat="1" ht="14.25" hidden="1" spans="1:17">
      <c r="A873" s="1" t="str">
        <f>VLOOKUP(B873,combinate!A:B,2,FALSE)</f>
        <v>Group C</v>
      </c>
      <c r="B873" s="8">
        <v>254746101119</v>
      </c>
      <c r="C873" s="9">
        <v>15965797</v>
      </c>
      <c r="D873" s="10">
        <v>46161.4046527778</v>
      </c>
      <c r="E873" s="12" t="s">
        <v>254</v>
      </c>
      <c r="F873" s="9">
        <v>0</v>
      </c>
      <c r="G873" s="9">
        <v>0</v>
      </c>
      <c r="H873" s="9">
        <v>0</v>
      </c>
      <c r="I873" s="9">
        <v>0</v>
      </c>
      <c r="J873" s="9">
        <v>0</v>
      </c>
      <c r="K873" s="9">
        <v>0</v>
      </c>
      <c r="L873" s="9">
        <v>0</v>
      </c>
      <c r="M873" s="9">
        <v>0</v>
      </c>
      <c r="N873" s="9">
        <v>0</v>
      </c>
      <c r="O873" s="9">
        <v>0</v>
      </c>
      <c r="P873" s="9">
        <v>0</v>
      </c>
      <c r="Q873" s="9">
        <v>0</v>
      </c>
    </row>
    <row r="874" s="1" customFormat="1" ht="14.25" hidden="1" spans="1:17">
      <c r="A874" s="1" t="str">
        <f>VLOOKUP(B874,combinate!A:B,2,FALSE)</f>
        <v>Group C</v>
      </c>
      <c r="B874" s="8">
        <v>254704126760</v>
      </c>
      <c r="C874" s="9">
        <v>16124657</v>
      </c>
      <c r="D874" s="10">
        <v>46183.3242939815</v>
      </c>
      <c r="E874" s="11" t="s">
        <v>250</v>
      </c>
      <c r="F874" s="9">
        <v>2.29</v>
      </c>
      <c r="G874" s="9">
        <v>305</v>
      </c>
      <c r="H874" s="9">
        <v>0</v>
      </c>
      <c r="I874" s="9">
        <v>305</v>
      </c>
      <c r="J874" s="9">
        <v>0</v>
      </c>
      <c r="K874" s="9">
        <v>205.5</v>
      </c>
      <c r="L874" s="9">
        <v>1.55</v>
      </c>
      <c r="M874" s="9">
        <v>205.5</v>
      </c>
      <c r="N874" s="9">
        <v>1.57</v>
      </c>
      <c r="O874" s="9">
        <v>209</v>
      </c>
      <c r="P874" s="9">
        <v>0</v>
      </c>
      <c r="Q874" s="9">
        <v>0</v>
      </c>
    </row>
    <row r="875" s="1" customFormat="1" ht="14.25" hidden="1" spans="1:17">
      <c r="A875" s="1" t="str">
        <f>VLOOKUP(B875,combinate!A:B,2,FALSE)</f>
        <v>Group C</v>
      </c>
      <c r="B875" s="8">
        <v>254741862937</v>
      </c>
      <c r="C875" s="9">
        <v>16270206</v>
      </c>
      <c r="D875" s="10">
        <v>46166.8252893519</v>
      </c>
      <c r="E875" s="12" t="s">
        <v>254</v>
      </c>
      <c r="F875" s="9">
        <v>0</v>
      </c>
      <c r="G875" s="9">
        <v>0</v>
      </c>
      <c r="H875" s="9">
        <v>0</v>
      </c>
      <c r="I875" s="9">
        <v>0</v>
      </c>
      <c r="J875" s="9">
        <v>0</v>
      </c>
      <c r="K875" s="9">
        <v>0</v>
      </c>
      <c r="L875" s="9">
        <v>0</v>
      </c>
      <c r="M875" s="9">
        <v>0</v>
      </c>
      <c r="N875" s="9">
        <v>0</v>
      </c>
      <c r="O875" s="9">
        <v>0</v>
      </c>
      <c r="P875" s="9">
        <v>0</v>
      </c>
      <c r="Q875" s="9">
        <v>0</v>
      </c>
    </row>
    <row r="876" s="1" customFormat="1" ht="14.25" hidden="1" spans="1:17">
      <c r="A876" s="1" t="str">
        <f>VLOOKUP(B876,combinate!A:B,2,FALSE)</f>
        <v>Group C</v>
      </c>
      <c r="B876" s="8">
        <v>254714173303</v>
      </c>
      <c r="C876" s="9">
        <v>16353767</v>
      </c>
      <c r="D876" s="10">
        <v>46162.7975810185</v>
      </c>
      <c r="E876" s="12" t="s">
        <v>254</v>
      </c>
      <c r="F876" s="9">
        <v>0</v>
      </c>
      <c r="G876" s="9">
        <v>0</v>
      </c>
      <c r="H876" s="9">
        <v>0</v>
      </c>
      <c r="I876" s="9">
        <v>0</v>
      </c>
      <c r="J876" s="9">
        <v>0</v>
      </c>
      <c r="K876" s="9">
        <v>0</v>
      </c>
      <c r="L876" s="9">
        <v>0</v>
      </c>
      <c r="M876" s="9">
        <v>0</v>
      </c>
      <c r="N876" s="9">
        <v>0</v>
      </c>
      <c r="O876" s="9">
        <v>0</v>
      </c>
      <c r="P876" s="9">
        <v>0</v>
      </c>
      <c r="Q876" s="9">
        <v>0</v>
      </c>
    </row>
    <row r="877" s="1" customFormat="1" ht="14.25" hidden="1" spans="1:17">
      <c r="A877" s="1" t="str">
        <f>VLOOKUP(B877,combinate!A:B,2,FALSE)</f>
        <v>Group C</v>
      </c>
      <c r="B877" s="8">
        <v>254797104848</v>
      </c>
      <c r="C877" s="9">
        <v>16729919</v>
      </c>
      <c r="D877" s="10">
        <v>46183.9277662037</v>
      </c>
      <c r="E877" s="11" t="s">
        <v>250</v>
      </c>
      <c r="F877" s="9">
        <v>129.45</v>
      </c>
      <c r="G877" s="9">
        <v>17217</v>
      </c>
      <c r="H877" s="9">
        <v>0</v>
      </c>
      <c r="I877" s="9">
        <v>17217</v>
      </c>
      <c r="J877" s="9">
        <v>0</v>
      </c>
      <c r="K877" s="9">
        <v>2475.35</v>
      </c>
      <c r="L877" s="9">
        <v>18.61</v>
      </c>
      <c r="M877" s="9">
        <v>2475.35</v>
      </c>
      <c r="N877" s="9">
        <v>25</v>
      </c>
      <c r="O877" s="9">
        <v>3325</v>
      </c>
      <c r="P877" s="9">
        <v>12.03</v>
      </c>
      <c r="Q877" s="9">
        <v>1600</v>
      </c>
    </row>
    <row r="878" s="1" customFormat="1" ht="14.25" hidden="1" spans="1:17">
      <c r="A878" s="1" t="str">
        <f>VLOOKUP(B878,combinate!A:B,2,FALSE)</f>
        <v>Group A</v>
      </c>
      <c r="B878" s="8">
        <v>254799864187</v>
      </c>
      <c r="C878" s="9">
        <v>16912040</v>
      </c>
      <c r="D878" s="10">
        <v>46166.9022916667</v>
      </c>
      <c r="E878" s="12" t="s">
        <v>254</v>
      </c>
      <c r="F878" s="9">
        <v>0</v>
      </c>
      <c r="G878" s="9">
        <v>0</v>
      </c>
      <c r="H878" s="9">
        <v>0</v>
      </c>
      <c r="I878" s="9">
        <v>0</v>
      </c>
      <c r="J878" s="9">
        <v>0</v>
      </c>
      <c r="K878" s="9">
        <v>0</v>
      </c>
      <c r="L878" s="9">
        <v>0</v>
      </c>
      <c r="M878" s="9">
        <v>0</v>
      </c>
      <c r="N878" s="9">
        <v>0</v>
      </c>
      <c r="O878" s="9">
        <v>0</v>
      </c>
      <c r="P878" s="9">
        <v>0</v>
      </c>
      <c r="Q878" s="9">
        <v>0</v>
      </c>
    </row>
    <row r="879" s="1" customFormat="1" ht="14.25" hidden="1" spans="1:17">
      <c r="A879" s="1" t="str">
        <f>VLOOKUP(B879,combinate!A:B,2,FALSE)</f>
        <v>Group A</v>
      </c>
      <c r="B879" s="8">
        <v>254769908165</v>
      </c>
      <c r="C879" s="9">
        <v>17256152</v>
      </c>
      <c r="D879" s="10">
        <v>46181.9355787037</v>
      </c>
      <c r="E879" s="12" t="s">
        <v>254</v>
      </c>
      <c r="F879" s="9">
        <v>0</v>
      </c>
      <c r="G879" s="9">
        <v>0</v>
      </c>
      <c r="H879" s="9">
        <v>0</v>
      </c>
      <c r="I879" s="9">
        <v>0</v>
      </c>
      <c r="J879" s="9">
        <v>0</v>
      </c>
      <c r="K879" s="9">
        <v>0</v>
      </c>
      <c r="L879" s="9">
        <v>0</v>
      </c>
      <c r="M879" s="9">
        <v>0</v>
      </c>
      <c r="N879" s="9">
        <v>0</v>
      </c>
      <c r="O879" s="9">
        <v>0</v>
      </c>
      <c r="P879" s="9">
        <v>0</v>
      </c>
      <c r="Q879" s="9">
        <v>0</v>
      </c>
    </row>
    <row r="880" s="1" customFormat="1" ht="14.25" hidden="1" spans="1:17">
      <c r="A880" s="1" t="str">
        <f>VLOOKUP(B880,combinate!A:B,2,FALSE)</f>
        <v>Group A</v>
      </c>
      <c r="B880" s="8">
        <v>254722824576</v>
      </c>
      <c r="C880" s="9">
        <v>17342291</v>
      </c>
      <c r="D880" s="10">
        <v>46162.685</v>
      </c>
      <c r="E880" s="12" t="s">
        <v>254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L880" s="9">
        <v>0</v>
      </c>
      <c r="M880" s="9">
        <v>0</v>
      </c>
      <c r="N880" s="9">
        <v>0</v>
      </c>
      <c r="O880" s="9">
        <v>0</v>
      </c>
      <c r="P880" s="9">
        <v>0</v>
      </c>
      <c r="Q880" s="9">
        <v>0</v>
      </c>
    </row>
    <row r="881" s="1" customFormat="1" ht="14.25" hidden="1" spans="1:17">
      <c r="A881" s="1" t="str">
        <f>VLOOKUP(B881,combinate!A:B,2,FALSE)</f>
        <v>Group A</v>
      </c>
      <c r="B881" s="8">
        <v>254712366285</v>
      </c>
      <c r="C881" s="9">
        <v>17453882</v>
      </c>
      <c r="D881" s="10">
        <v>46179.6627199074</v>
      </c>
      <c r="E881" s="11" t="s">
        <v>250</v>
      </c>
      <c r="F881" s="9">
        <v>47.74</v>
      </c>
      <c r="G881" s="9">
        <v>6350</v>
      </c>
      <c r="H881" s="9">
        <v>0</v>
      </c>
      <c r="I881" s="9">
        <v>6350</v>
      </c>
      <c r="J881" s="9">
        <v>0</v>
      </c>
      <c r="K881" s="9">
        <v>1879</v>
      </c>
      <c r="L881" s="9">
        <v>14.13</v>
      </c>
      <c r="M881" s="9">
        <v>1879</v>
      </c>
      <c r="N881" s="9">
        <v>14.29</v>
      </c>
      <c r="O881" s="9">
        <v>1900</v>
      </c>
      <c r="P881" s="9">
        <v>0</v>
      </c>
      <c r="Q881" s="9">
        <v>0</v>
      </c>
    </row>
    <row r="882" s="1" customFormat="1" ht="14.25" hidden="1" spans="1:17">
      <c r="A882" s="1" t="str">
        <f>VLOOKUP(B882,combinate!A:B,2,FALSE)</f>
        <v>Group B</v>
      </c>
      <c r="B882" s="8">
        <v>254719871117</v>
      </c>
      <c r="C882" s="9">
        <v>18155184</v>
      </c>
      <c r="D882" s="10">
        <v>46160.1956134259</v>
      </c>
      <c r="E882" s="12" t="s">
        <v>254</v>
      </c>
      <c r="F882" s="9">
        <v>0</v>
      </c>
      <c r="G882" s="9">
        <v>0</v>
      </c>
      <c r="H882" s="9">
        <v>0</v>
      </c>
      <c r="I882" s="9">
        <v>0</v>
      </c>
      <c r="J882" s="9">
        <v>0</v>
      </c>
      <c r="K882" s="9">
        <v>0</v>
      </c>
      <c r="L882" s="9">
        <v>0</v>
      </c>
      <c r="M882" s="9">
        <v>0</v>
      </c>
      <c r="N882" s="9">
        <v>0</v>
      </c>
      <c r="O882" s="9">
        <v>0</v>
      </c>
      <c r="P882" s="9">
        <v>0</v>
      </c>
      <c r="Q882" s="9">
        <v>0</v>
      </c>
    </row>
    <row r="883" s="1" customFormat="1" ht="14.25" hidden="1" spans="1:17">
      <c r="A883" s="1" t="str">
        <f>VLOOKUP(B883,combinate!A:B,2,FALSE)</f>
        <v>Group B</v>
      </c>
      <c r="B883" s="8">
        <v>254715956093</v>
      </c>
      <c r="C883" s="9">
        <v>18401254</v>
      </c>
      <c r="D883" s="10">
        <v>46176.4614583333</v>
      </c>
      <c r="E883" s="12" t="s">
        <v>254</v>
      </c>
      <c r="F883" s="9">
        <v>0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  <c r="L883" s="9">
        <v>0</v>
      </c>
      <c r="M883" s="9">
        <v>0</v>
      </c>
      <c r="N883" s="9">
        <v>0</v>
      </c>
      <c r="O883" s="9">
        <v>0</v>
      </c>
      <c r="P883" s="9">
        <v>0</v>
      </c>
      <c r="Q883" s="9">
        <v>0</v>
      </c>
    </row>
    <row r="884" s="1" customFormat="1" ht="14.25" hidden="1" spans="1:17">
      <c r="A884" s="1" t="str">
        <f>VLOOKUP(B884,combinate!A:B,2,FALSE)</f>
        <v>Group B</v>
      </c>
      <c r="B884" s="8">
        <v>254116754229</v>
      </c>
      <c r="C884" s="9">
        <v>18695264</v>
      </c>
      <c r="D884" s="10">
        <v>46161.8956018519</v>
      </c>
      <c r="E884" s="12" t="s">
        <v>254</v>
      </c>
      <c r="F884" s="9">
        <v>0</v>
      </c>
      <c r="G884" s="9">
        <v>0</v>
      </c>
      <c r="H884" s="9">
        <v>0</v>
      </c>
      <c r="I884" s="9">
        <v>0</v>
      </c>
      <c r="J884" s="9">
        <v>0</v>
      </c>
      <c r="K884" s="9">
        <v>0</v>
      </c>
      <c r="L884" s="9">
        <v>0</v>
      </c>
      <c r="M884" s="9">
        <v>0</v>
      </c>
      <c r="N884" s="9">
        <v>0</v>
      </c>
      <c r="O884" s="9">
        <v>0</v>
      </c>
      <c r="P884" s="9">
        <v>0</v>
      </c>
      <c r="Q884" s="9">
        <v>0</v>
      </c>
    </row>
    <row r="885" s="1" customFormat="1" ht="14.25" hidden="1" spans="1:17">
      <c r="A885" s="1" t="str">
        <f>VLOOKUP(B885,combinate!A:B,2,FALSE)</f>
        <v>Group B</v>
      </c>
      <c r="B885" s="8">
        <v>254112794842</v>
      </c>
      <c r="C885" s="9">
        <v>19009964</v>
      </c>
      <c r="D885" s="10">
        <v>46160.7563773148</v>
      </c>
      <c r="E885" s="12" t="s">
        <v>254</v>
      </c>
      <c r="F885" s="9">
        <v>0</v>
      </c>
      <c r="G885" s="9">
        <v>0</v>
      </c>
      <c r="H885" s="9">
        <v>0</v>
      </c>
      <c r="I885" s="9">
        <v>0</v>
      </c>
      <c r="J885" s="9">
        <v>0</v>
      </c>
      <c r="K885" s="9">
        <v>0</v>
      </c>
      <c r="L885" s="9">
        <v>0</v>
      </c>
      <c r="M885" s="9">
        <v>0</v>
      </c>
      <c r="N885" s="9">
        <v>0</v>
      </c>
      <c r="O885" s="9">
        <v>0</v>
      </c>
      <c r="P885" s="9">
        <v>0</v>
      </c>
      <c r="Q885" s="9">
        <v>0</v>
      </c>
    </row>
    <row r="886" s="1" customFormat="1" ht="14.25" hidden="1" spans="1:17">
      <c r="A886" s="1" t="str">
        <f>VLOOKUP(B886,combinate!A:B,2,FALSE)</f>
        <v>Group C</v>
      </c>
      <c r="B886" s="8">
        <v>254702926824</v>
      </c>
      <c r="C886" s="9">
        <v>19869217</v>
      </c>
      <c r="D886" s="10">
        <v>46166.8894328704</v>
      </c>
      <c r="E886" s="12" t="s">
        <v>254</v>
      </c>
      <c r="F886" s="9">
        <v>0</v>
      </c>
      <c r="G886" s="9">
        <v>0</v>
      </c>
      <c r="H886" s="9">
        <v>0</v>
      </c>
      <c r="I886" s="9">
        <v>0</v>
      </c>
      <c r="J886" s="9">
        <v>0</v>
      </c>
      <c r="K886" s="9">
        <v>0</v>
      </c>
      <c r="L886" s="9">
        <v>0</v>
      </c>
      <c r="M886" s="9">
        <v>0</v>
      </c>
      <c r="N886" s="9">
        <v>0</v>
      </c>
      <c r="O886" s="9">
        <v>0</v>
      </c>
      <c r="P886" s="9">
        <v>0</v>
      </c>
      <c r="Q886" s="9">
        <v>0</v>
      </c>
    </row>
    <row r="887" s="1" customFormat="1" ht="14.25" hidden="1" spans="1:17">
      <c r="A887" s="1" t="str">
        <f>VLOOKUP(B887,combinate!A:B,2,FALSE)</f>
        <v>Group C</v>
      </c>
      <c r="B887" s="8">
        <v>254717725609</v>
      </c>
      <c r="C887" s="9">
        <v>19922439</v>
      </c>
      <c r="D887" s="10">
        <v>46181.8552662037</v>
      </c>
      <c r="E887" s="12" t="s">
        <v>254</v>
      </c>
      <c r="F887" s="9">
        <v>0</v>
      </c>
      <c r="G887" s="9">
        <v>0</v>
      </c>
      <c r="H887" s="9">
        <v>0</v>
      </c>
      <c r="I887" s="9">
        <v>0</v>
      </c>
      <c r="J887" s="9">
        <v>0</v>
      </c>
      <c r="K887" s="9">
        <v>0</v>
      </c>
      <c r="L887" s="9">
        <v>0</v>
      </c>
      <c r="M887" s="9">
        <v>0</v>
      </c>
      <c r="N887" s="9">
        <v>0</v>
      </c>
      <c r="O887" s="9">
        <v>0</v>
      </c>
      <c r="P887" s="9">
        <v>0</v>
      </c>
      <c r="Q887" s="9">
        <v>0</v>
      </c>
    </row>
    <row r="888" s="1" customFormat="1" ht="14.25" hidden="1" spans="1:17">
      <c r="A888" s="1" t="str">
        <f>VLOOKUP(B888,combinate!A:B,2,FALSE)</f>
        <v>Group C</v>
      </c>
      <c r="B888" s="8">
        <v>254117507840</v>
      </c>
      <c r="C888" s="9">
        <v>20259796</v>
      </c>
      <c r="D888" s="10">
        <v>46161.4527083333</v>
      </c>
      <c r="E888" s="12" t="s">
        <v>254</v>
      </c>
      <c r="F888" s="9">
        <v>0</v>
      </c>
      <c r="G888" s="9">
        <v>0</v>
      </c>
      <c r="H888" s="9">
        <v>0</v>
      </c>
      <c r="I888" s="9">
        <v>0</v>
      </c>
      <c r="J888" s="9">
        <v>0</v>
      </c>
      <c r="K888" s="9">
        <v>0</v>
      </c>
      <c r="L888" s="9">
        <v>0</v>
      </c>
      <c r="M888" s="9">
        <v>0</v>
      </c>
      <c r="N888" s="9">
        <v>0</v>
      </c>
      <c r="O888" s="9">
        <v>0</v>
      </c>
      <c r="P888" s="9">
        <v>0</v>
      </c>
      <c r="Q888" s="9">
        <v>0</v>
      </c>
    </row>
    <row r="889" s="1" customFormat="1" ht="14.25" hidden="1" spans="1:17">
      <c r="A889" s="1" t="str">
        <f>VLOOKUP(B889,combinate!A:B,2,FALSE)</f>
        <v>Group A</v>
      </c>
      <c r="B889" s="8">
        <v>254729893155</v>
      </c>
      <c r="C889" s="9">
        <v>20267270</v>
      </c>
      <c r="D889" s="10">
        <v>46163.1695601852</v>
      </c>
      <c r="E889" s="12" t="s">
        <v>254</v>
      </c>
      <c r="F889" s="9">
        <v>0</v>
      </c>
      <c r="G889" s="9">
        <v>0</v>
      </c>
      <c r="H889" s="9">
        <v>0</v>
      </c>
      <c r="I889" s="9">
        <v>0</v>
      </c>
      <c r="J889" s="9">
        <v>0</v>
      </c>
      <c r="K889" s="9">
        <v>0</v>
      </c>
      <c r="L889" s="9">
        <v>0</v>
      </c>
      <c r="M889" s="9">
        <v>0</v>
      </c>
      <c r="N889" s="9">
        <v>0</v>
      </c>
      <c r="O889" s="9">
        <v>0</v>
      </c>
      <c r="P889" s="9">
        <v>0</v>
      </c>
      <c r="Q889" s="9">
        <v>0</v>
      </c>
    </row>
  </sheetData>
  <autoFilter xmlns:etc="http://www.wps.cn/officeDocument/2017/etCustomData" ref="A1:Q889" etc:filterBottomFollowUsedRange="0">
    <filterColumn colId="5">
      <filters>
        <filter val="578.72"/>
        <filter val="9237.82"/>
        <filter val="439.14"/>
        <filter val="475.34"/>
        <filter val="587.85"/>
        <filter val="522.56"/>
        <filter val="489.8"/>
        <filter val="457.68"/>
        <filter val="2346.28"/>
        <filter val="2022.09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</vt:lpstr>
      <vt:lpstr>B</vt:lpstr>
      <vt:lpstr>C</vt:lpstr>
      <vt:lpstr>combinate</vt:lpstr>
      <vt:lpstr>Sheet1</vt:lpstr>
      <vt:lpstr>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ddj57</dc:creator>
  <cp:lastModifiedBy>ddj57</cp:lastModifiedBy>
  <dcterms:created xsi:type="dcterms:W3CDTF">2023-05-12T11:15:00Z</dcterms:created>
  <dcterms:modified xsi:type="dcterms:W3CDTF">2026-06-12T07:40:14Z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1607468CFC4141BDB5FAC4406FCBE5B9_13</vt:lpwstr>
  </property>
  <property fmtid="{D5CDD505-2E9C-101B-9397-08002B2CF9AE}" pid="4" name="CalculationRule">
    <vt:i4>0</vt:i4>
  </property>
</Properties>
</file>