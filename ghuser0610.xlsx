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activeTab="5"/>
  </bookViews>
  <sheets>
    <sheet name="A组" sheetId="1" r:id="rId1"/>
    <sheet name="B组" sheetId="2" r:id="rId2"/>
    <sheet name="C组" sheetId="3" r:id="rId3"/>
    <sheet name="combinate" sheetId="4" r:id="rId4"/>
    <sheet name="Sheet2" sheetId="7" r:id="rId5"/>
    <sheet name="总表" sheetId="6" r:id="rId6"/>
  </sheets>
  <definedNames>
    <definedName name="_xlnm._FilterDatabase" localSheetId="0" hidden="1">A组!$A$1:$AC$170</definedName>
    <definedName name="_xlnm._FilterDatabase" localSheetId="5" hidden="1">总表!$A$1:$Q$591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<sst xmlns="http://schemas.openxmlformats.org/spreadsheetml/2006/main" count="8595" uniqueCount="441">
  <si>
    <t>date</t>
  </si>
  <si>
    <t>country</t>
  </si>
  <si>
    <t>userid</t>
  </si>
  <si>
    <t>username</t>
  </si>
  <si>
    <t>register_time</t>
  </si>
  <si>
    <t>Total Stake</t>
  </si>
  <si>
    <t>Total Stake on Sports</t>
  </si>
  <si>
    <t>Total Stake on Games</t>
  </si>
  <si>
    <t>Total GGR</t>
  </si>
  <si>
    <t>Total Sports GGR</t>
  </si>
  <si>
    <t>Total Gaming GGR</t>
  </si>
  <si>
    <t>Total Deposit (usd)</t>
  </si>
  <si>
    <t>Total Deposit (local)</t>
  </si>
  <si>
    <t>The latest 90days Deposit (usd)</t>
  </si>
  <si>
    <t>The latest 90days Deposit (local)</t>
  </si>
  <si>
    <t>User Preference</t>
  </si>
  <si>
    <t>deposit_category</t>
  </si>
  <si>
    <t>label</t>
  </si>
  <si>
    <t>No-Deposit Sports Coupon(odd&gt;2.5)</t>
  </si>
  <si>
    <t>casinobonus</t>
  </si>
  <si>
    <t>VIP-type</t>
  </si>
  <si>
    <t>sex</t>
  </si>
  <si>
    <t>first_name</t>
  </si>
  <si>
    <t>last_name</t>
  </si>
  <si>
    <t>birthday</t>
  </si>
  <si>
    <t>temp_birthday</t>
  </si>
  <si>
    <t>email</t>
  </si>
  <si>
    <t>号段</t>
  </si>
  <si>
    <t>通讯商</t>
  </si>
  <si>
    <t>2026-06-08</t>
  </si>
  <si>
    <t>gh</t>
  </si>
  <si>
    <t>233200425461</t>
  </si>
  <si>
    <t>casino-user</t>
  </si>
  <si>
    <t>[50,1000)</t>
  </si>
  <si>
    <t>Group A</t>
  </si>
  <si>
    <t/>
  </si>
  <si>
    <t>20</t>
  </si>
  <si>
    <t>Telecel</t>
  </si>
  <si>
    <t>233202423882</t>
  </si>
  <si>
    <t>unknown</t>
  </si>
  <si>
    <t>233500578321</t>
  </si>
  <si>
    <t>aviator-user</t>
  </si>
  <si>
    <t>[1000,10w)</t>
  </si>
  <si>
    <t>50</t>
  </si>
  <si>
    <t>233503326514</t>
  </si>
  <si>
    <t>233506502760</t>
  </si>
  <si>
    <t>233507814734</t>
  </si>
  <si>
    <t>233240254349</t>
  </si>
  <si>
    <t>24</t>
  </si>
  <si>
    <t>MTN</t>
  </si>
  <si>
    <t>233243952996</t>
  </si>
  <si>
    <t>233248914647</t>
  </si>
  <si>
    <t>233256999078</t>
  </si>
  <si>
    <t>25</t>
  </si>
  <si>
    <t>233257286401</t>
  </si>
  <si>
    <t>233257564352</t>
  </si>
  <si>
    <t>233257685762</t>
  </si>
  <si>
    <t>233530876873</t>
  </si>
  <si>
    <t>53</t>
  </si>
  <si>
    <t>233531138233</t>
  </si>
  <si>
    <t>233531439036</t>
  </si>
  <si>
    <t>bet&amp;casino-user</t>
  </si>
  <si>
    <t>233531966836</t>
  </si>
  <si>
    <t>233535425471</t>
  </si>
  <si>
    <t>233535831756</t>
  </si>
  <si>
    <t>233537499088</t>
  </si>
  <si>
    <t>233537704967</t>
  </si>
  <si>
    <t>233539043315</t>
  </si>
  <si>
    <t>233539614598</t>
  </si>
  <si>
    <t>233542275666</t>
  </si>
  <si>
    <t>54</t>
  </si>
  <si>
    <t>233544687595</t>
  </si>
  <si>
    <t>233544979077</t>
  </si>
  <si>
    <t>233545295774</t>
  </si>
  <si>
    <t>233545807815</t>
  </si>
  <si>
    <t>233548155384</t>
  </si>
  <si>
    <t>233548694876</t>
  </si>
  <si>
    <t>233548989747</t>
  </si>
  <si>
    <t>233549920355</t>
  </si>
  <si>
    <t>233551995862</t>
  </si>
  <si>
    <t>55</t>
  </si>
  <si>
    <t>233552808730</t>
  </si>
  <si>
    <t>233557444083</t>
  </si>
  <si>
    <t>233594085826</t>
  </si>
  <si>
    <t>59</t>
  </si>
  <si>
    <t>2026-06-05</t>
  </si>
  <si>
    <t>233201534803</t>
  </si>
  <si>
    <t>233204251901</t>
  </si>
  <si>
    <t>233505307892</t>
  </si>
  <si>
    <t>233241107011</t>
  </si>
  <si>
    <t>233243087488</t>
  </si>
  <si>
    <t>233243902182</t>
  </si>
  <si>
    <t>233246278056</t>
  </si>
  <si>
    <t>233246486641</t>
  </si>
  <si>
    <t>233247574216</t>
  </si>
  <si>
    <t>233247850749</t>
  </si>
  <si>
    <t>233256605971</t>
  </si>
  <si>
    <t>233257783811</t>
  </si>
  <si>
    <t>233533515688</t>
  </si>
  <si>
    <t>233538468651</t>
  </si>
  <si>
    <t>233539291766</t>
  </si>
  <si>
    <t>233539695179</t>
  </si>
  <si>
    <t>233541818650</t>
  </si>
  <si>
    <t>233542675398</t>
  </si>
  <si>
    <t>233547083268</t>
  </si>
  <si>
    <t>233548536598</t>
  </si>
  <si>
    <t>233549352539</t>
  </si>
  <si>
    <t>233552289192</t>
  </si>
  <si>
    <t>233552853700</t>
  </si>
  <si>
    <t>233554247328</t>
  </si>
  <si>
    <t>233592580788</t>
  </si>
  <si>
    <t>2026-06-04</t>
  </si>
  <si>
    <t>2026-06-03</t>
  </si>
  <si>
    <t>233205674321</t>
  </si>
  <si>
    <t>233206412771</t>
  </si>
  <si>
    <t>233242773533</t>
  </si>
  <si>
    <t>233242983501</t>
  </si>
  <si>
    <t>233245374329</t>
  </si>
  <si>
    <t>233245923424</t>
  </si>
  <si>
    <t>233246969922</t>
  </si>
  <si>
    <t>233248070816</t>
  </si>
  <si>
    <t>233248356133</t>
  </si>
  <si>
    <t>233277807786</t>
  </si>
  <si>
    <t>233500244589</t>
  </si>
  <si>
    <t>233502672121</t>
  </si>
  <si>
    <t>233530794204</t>
  </si>
  <si>
    <t>233532749478</t>
  </si>
  <si>
    <t>233533186236</t>
  </si>
  <si>
    <t>233533377138</t>
  </si>
  <si>
    <t>233538119555</t>
  </si>
  <si>
    <t>233542100562</t>
  </si>
  <si>
    <t>233544913832</t>
  </si>
  <si>
    <t>233552066358</t>
  </si>
  <si>
    <t>233553219886</t>
  </si>
  <si>
    <t>233557086546</t>
  </si>
  <si>
    <t>233558171044</t>
  </si>
  <si>
    <t>233558394162</t>
  </si>
  <si>
    <t>233591882426</t>
  </si>
  <si>
    <t>233591903619</t>
  </si>
  <si>
    <t>233592262499</t>
  </si>
  <si>
    <t>233593917702</t>
  </si>
  <si>
    <t>233596535721</t>
  </si>
  <si>
    <t>233597869750</t>
  </si>
  <si>
    <t>233598826679</t>
  </si>
  <si>
    <t>233599049022</t>
  </si>
  <si>
    <t>2026-06-02</t>
  </si>
  <si>
    <t>A组</t>
  </si>
  <si>
    <t>233201359579</t>
  </si>
  <si>
    <t>Group B</t>
  </si>
  <si>
    <t>233202159883</t>
  </si>
  <si>
    <t>233202438559</t>
  </si>
  <si>
    <t>233500556145</t>
  </si>
  <si>
    <t>233500580056</t>
  </si>
  <si>
    <t>233505126375</t>
  </si>
  <si>
    <t>233505415114</t>
  </si>
  <si>
    <t>233509066010</t>
  </si>
  <si>
    <t>233509875276</t>
  </si>
  <si>
    <t>233264612466</t>
  </si>
  <si>
    <t>26</t>
  </si>
  <si>
    <t>AirtelTigo</t>
  </si>
  <si>
    <t>233267635627</t>
  </si>
  <si>
    <t>233268228181</t>
  </si>
  <si>
    <t>233571660024</t>
  </si>
  <si>
    <t>57</t>
  </si>
  <si>
    <t>233240097781</t>
  </si>
  <si>
    <t>233242285035</t>
  </si>
  <si>
    <t>233243747967</t>
  </si>
  <si>
    <t>233244845722</t>
  </si>
  <si>
    <t>233245012485</t>
  </si>
  <si>
    <t>233245694932</t>
  </si>
  <si>
    <t>233246936676</t>
  </si>
  <si>
    <t>233247884786</t>
  </si>
  <si>
    <t>233257323851</t>
  </si>
  <si>
    <t>233257480377</t>
  </si>
  <si>
    <t>233257520716</t>
  </si>
  <si>
    <t>233257871806</t>
  </si>
  <si>
    <t>233533362272</t>
  </si>
  <si>
    <t>233533764476</t>
  </si>
  <si>
    <t>233534001349</t>
  </si>
  <si>
    <t>233534478904</t>
  </si>
  <si>
    <t>233535084552</t>
  </si>
  <si>
    <t>233536975005</t>
  </si>
  <si>
    <t>233537951485</t>
  </si>
  <si>
    <t>233540312088</t>
  </si>
  <si>
    <t>233540576978</t>
  </si>
  <si>
    <t>233541576758</t>
  </si>
  <si>
    <t>233541808237</t>
  </si>
  <si>
    <t>233542168939</t>
  </si>
  <si>
    <t>233543639050</t>
  </si>
  <si>
    <t>233548305001</t>
  </si>
  <si>
    <t>233551286908</t>
  </si>
  <si>
    <t>233552383650</t>
  </si>
  <si>
    <t>233552619671</t>
  </si>
  <si>
    <t>233554485255</t>
  </si>
  <si>
    <t>233554857562</t>
  </si>
  <si>
    <t>233555333290</t>
  </si>
  <si>
    <t>233555763867</t>
  </si>
  <si>
    <t>233559186932</t>
  </si>
  <si>
    <t>233593835709</t>
  </si>
  <si>
    <t>233595846265</t>
  </si>
  <si>
    <t>233595956926</t>
  </si>
  <si>
    <t>233597296254</t>
  </si>
  <si>
    <t>233598392217</t>
  </si>
  <si>
    <t>233599838991</t>
  </si>
  <si>
    <t>233202065140</t>
  </si>
  <si>
    <t>233203514545</t>
  </si>
  <si>
    <t>233209737890</t>
  </si>
  <si>
    <t>233508868600</t>
  </si>
  <si>
    <t>233243256747</t>
  </si>
  <si>
    <t>233243788708</t>
  </si>
  <si>
    <t>233246773930</t>
  </si>
  <si>
    <t>233531482687</t>
  </si>
  <si>
    <t>233531894257</t>
  </si>
  <si>
    <t>233532035600</t>
  </si>
  <si>
    <t>233532670211</t>
  </si>
  <si>
    <t>233533549777</t>
  </si>
  <si>
    <t>233534036763</t>
  </si>
  <si>
    <t>233536040004</t>
  </si>
  <si>
    <t>233539595174</t>
  </si>
  <si>
    <t>233539622144</t>
  </si>
  <si>
    <t>233539965983</t>
  </si>
  <si>
    <t>233541140331</t>
  </si>
  <si>
    <t>233543234141</t>
  </si>
  <si>
    <t>233548350363</t>
  </si>
  <si>
    <t>233548660654</t>
  </si>
  <si>
    <t>233551400667</t>
  </si>
  <si>
    <t>233553800193</t>
  </si>
  <si>
    <t>233591381501</t>
  </si>
  <si>
    <t>233598782161</t>
  </si>
  <si>
    <t>233598886565</t>
  </si>
  <si>
    <t>233272465877</t>
  </si>
  <si>
    <t>27</t>
  </si>
  <si>
    <t>14/07/1989</t>
  </si>
  <si>
    <t>233203919255</t>
  </si>
  <si>
    <t>233209744395</t>
  </si>
  <si>
    <t>233240862819</t>
  </si>
  <si>
    <t>233241660533</t>
  </si>
  <si>
    <t>233243686986</t>
  </si>
  <si>
    <t>233243919366</t>
  </si>
  <si>
    <t>233244290896</t>
  </si>
  <si>
    <t>233244778254</t>
  </si>
  <si>
    <t>233245586585</t>
  </si>
  <si>
    <t>233247020883</t>
  </si>
  <si>
    <t>233249835515</t>
  </si>
  <si>
    <t>233257087428</t>
  </si>
  <si>
    <t>233500340384</t>
  </si>
  <si>
    <t>233501302726</t>
  </si>
  <si>
    <t>233504718376</t>
  </si>
  <si>
    <t>233530151142</t>
  </si>
  <si>
    <t>233533310060</t>
  </si>
  <si>
    <t>233533561433</t>
  </si>
  <si>
    <t>233533772959</t>
  </si>
  <si>
    <t>233536462350</t>
  </si>
  <si>
    <t>233536936336</t>
  </si>
  <si>
    <t>233537962097</t>
  </si>
  <si>
    <t>233540723416</t>
  </si>
  <si>
    <t>233543968847</t>
  </si>
  <si>
    <t>233545274515</t>
  </si>
  <si>
    <t>233546802208</t>
  </si>
  <si>
    <t>233550388583</t>
  </si>
  <si>
    <t>233550645918</t>
  </si>
  <si>
    <t>233557075083</t>
  </si>
  <si>
    <t>233557338656</t>
  </si>
  <si>
    <t>233558219758</t>
  </si>
  <si>
    <t>233559077557</t>
  </si>
  <si>
    <t>233559644517</t>
  </si>
  <si>
    <t>233594510478</t>
  </si>
  <si>
    <t>233595452539</t>
  </si>
  <si>
    <t>233597642209</t>
  </si>
  <si>
    <t>B组</t>
  </si>
  <si>
    <t>233200444912</t>
  </si>
  <si>
    <t>Group C</t>
  </si>
  <si>
    <t>233502081093</t>
  </si>
  <si>
    <t>233503517522</t>
  </si>
  <si>
    <t>233507375778</t>
  </si>
  <si>
    <t>233270922498</t>
  </si>
  <si>
    <t>233279862324</t>
  </si>
  <si>
    <t>233240252836</t>
  </si>
  <si>
    <t>233244070496</t>
  </si>
  <si>
    <t>233246896108</t>
  </si>
  <si>
    <t>233247456529</t>
  </si>
  <si>
    <t>233248896339</t>
  </si>
  <si>
    <t>233530602308</t>
  </si>
  <si>
    <t>233533161192</t>
  </si>
  <si>
    <t>233534942236</t>
  </si>
  <si>
    <t>233535716645</t>
  </si>
  <si>
    <t>233535980488</t>
  </si>
  <si>
    <t>233536344448</t>
  </si>
  <si>
    <t>233537555377</t>
  </si>
  <si>
    <t>233537948699</t>
  </si>
  <si>
    <t>233539246450</t>
  </si>
  <si>
    <t>233539402204</t>
  </si>
  <si>
    <t>233539719727</t>
  </si>
  <si>
    <t>233540982751</t>
  </si>
  <si>
    <t>233542043521</t>
  </si>
  <si>
    <t>233542072259</t>
  </si>
  <si>
    <t>233543816460</t>
  </si>
  <si>
    <t>233543899313</t>
  </si>
  <si>
    <t>233544369827</t>
  </si>
  <si>
    <t>233545262420</t>
  </si>
  <si>
    <t>233546488347</t>
  </si>
  <si>
    <t>233549416655</t>
  </si>
  <si>
    <t>233552481827</t>
  </si>
  <si>
    <t>233552788336</t>
  </si>
  <si>
    <t>233555745429</t>
  </si>
  <si>
    <t>233555951896</t>
  </si>
  <si>
    <t>233556568604</t>
  </si>
  <si>
    <t>233556691745</t>
  </si>
  <si>
    <t>233558069824</t>
  </si>
  <si>
    <t>233591831636</t>
  </si>
  <si>
    <t>233592211220</t>
  </si>
  <si>
    <t>233593741782</t>
  </si>
  <si>
    <t>233594503247</t>
  </si>
  <si>
    <t>233594589391</t>
  </si>
  <si>
    <t>233597120659</t>
  </si>
  <si>
    <t>233597944137</t>
  </si>
  <si>
    <t>233204901500</t>
  </si>
  <si>
    <t>233208926409</t>
  </si>
  <si>
    <t>233209168535</t>
  </si>
  <si>
    <t>233502506084</t>
  </si>
  <si>
    <t>233505163657</t>
  </si>
  <si>
    <t>233240752841</t>
  </si>
  <si>
    <t>233244466292</t>
  </si>
  <si>
    <t>233247235984</t>
  </si>
  <si>
    <t>233248074977</t>
  </si>
  <si>
    <t>233249840788</t>
  </si>
  <si>
    <t>233257953793</t>
  </si>
  <si>
    <t>233530432591</t>
  </si>
  <si>
    <t>233531641061</t>
  </si>
  <si>
    <t>233532644248</t>
  </si>
  <si>
    <t>233532647063</t>
  </si>
  <si>
    <t>233533329135</t>
  </si>
  <si>
    <t>233534773719</t>
  </si>
  <si>
    <t>233536407070</t>
  </si>
  <si>
    <t>233537471145</t>
  </si>
  <si>
    <t>233537991383</t>
  </si>
  <si>
    <t>233538252927</t>
  </si>
  <si>
    <t>233538437956</t>
  </si>
  <si>
    <t>233539500951</t>
  </si>
  <si>
    <t>233539959089</t>
  </si>
  <si>
    <t>233540253638</t>
  </si>
  <si>
    <t>233540607632</t>
  </si>
  <si>
    <t>233541104581</t>
  </si>
  <si>
    <t>233543344284</t>
  </si>
  <si>
    <t>233543404765</t>
  </si>
  <si>
    <t>233544168071</t>
  </si>
  <si>
    <t>233546812807</t>
  </si>
  <si>
    <t>233547073438</t>
  </si>
  <si>
    <t>233547968425</t>
  </si>
  <si>
    <t>233550882322</t>
  </si>
  <si>
    <t>233551196817</t>
  </si>
  <si>
    <t>233551591706</t>
  </si>
  <si>
    <t>233557327139</t>
  </si>
  <si>
    <t>233559605292</t>
  </si>
  <si>
    <t>233591944922</t>
  </si>
  <si>
    <t>233593497417</t>
  </si>
  <si>
    <t>233594017894</t>
  </si>
  <si>
    <t>233596777416</t>
  </si>
  <si>
    <t>233597491241</t>
  </si>
  <si>
    <t>233597984883</t>
  </si>
  <si>
    <t>233266742990</t>
  </si>
  <si>
    <t>233205560620</t>
  </si>
  <si>
    <t>233206082502</t>
  </si>
  <si>
    <t>233208298785</t>
  </si>
  <si>
    <t>233240383459</t>
  </si>
  <si>
    <t>233242734542</t>
  </si>
  <si>
    <t>233246720532</t>
  </si>
  <si>
    <t>233247080842</t>
  </si>
  <si>
    <t>233248193755</t>
  </si>
  <si>
    <t>233249842853</t>
  </si>
  <si>
    <t>233256440051</t>
  </si>
  <si>
    <t>233257799338</t>
  </si>
  <si>
    <t>233268593131</t>
  </si>
  <si>
    <t>233507528286</t>
  </si>
  <si>
    <t>233531431629</t>
  </si>
  <si>
    <t>233533152286</t>
  </si>
  <si>
    <t>233533387210</t>
  </si>
  <si>
    <t>233533763118</t>
  </si>
  <si>
    <t>233533874821</t>
  </si>
  <si>
    <t>233533943171</t>
  </si>
  <si>
    <t>233535188460</t>
  </si>
  <si>
    <t>233535995394</t>
  </si>
  <si>
    <t>233536098738</t>
  </si>
  <si>
    <t>233536455716</t>
  </si>
  <si>
    <t>233537768417</t>
  </si>
  <si>
    <t>233538733339</t>
  </si>
  <si>
    <t>233540279587</t>
  </si>
  <si>
    <t>233540704188</t>
  </si>
  <si>
    <t>233540957725</t>
  </si>
  <si>
    <t>233543254042</t>
  </si>
  <si>
    <t>233543679447</t>
  </si>
  <si>
    <t>233544687990</t>
  </si>
  <si>
    <t>233544706880</t>
  </si>
  <si>
    <t>233546931921</t>
  </si>
  <si>
    <t>233547789793</t>
  </si>
  <si>
    <t>233548554251</t>
  </si>
  <si>
    <t>233549916330</t>
  </si>
  <si>
    <t>233549993865</t>
  </si>
  <si>
    <t>233550836727</t>
  </si>
  <si>
    <t>233551187883</t>
  </si>
  <si>
    <t>233551964885</t>
  </si>
  <si>
    <t>233551980573</t>
  </si>
  <si>
    <t>233552768670</t>
  </si>
  <si>
    <t>233555292563</t>
  </si>
  <si>
    <t>233559761869</t>
  </si>
  <si>
    <t>233559996063</t>
  </si>
  <si>
    <t>233593830484</t>
  </si>
  <si>
    <t>233594399784</t>
  </si>
  <si>
    <t>233594769770</t>
  </si>
  <si>
    <t>233597886048</t>
  </si>
  <si>
    <t>233598956797</t>
  </si>
  <si>
    <t>233599577957</t>
  </si>
  <si>
    <t>C组</t>
  </si>
  <si>
    <t>计数项:用户手机号</t>
  </si>
  <si>
    <t>是否回归</t>
  </si>
  <si>
    <t>是</t>
  </si>
  <si>
    <t>总计</t>
  </si>
  <si>
    <t>回归率</t>
  </si>
  <si>
    <t>是否有效回归</t>
  </si>
  <si>
    <t>否</t>
  </si>
  <si>
    <t>漏斗有效</t>
  </si>
  <si>
    <t>有效回归率</t>
  </si>
  <si>
    <t>计数项:是否有效回归</t>
  </si>
  <si>
    <t>求和项:总投注流水（本地货币）</t>
  </si>
  <si>
    <t>求和项:全部ggr（本地货币）</t>
  </si>
  <si>
    <t>求和项:充值金额（本地货币）</t>
  </si>
  <si>
    <t>用户手机号</t>
  </si>
  <si>
    <t>用户id</t>
  </si>
  <si>
    <t>最后登录时间</t>
  </si>
  <si>
    <t>总投注流水（usd）</t>
  </si>
  <si>
    <t>总投注流水（本地货币）</t>
  </si>
  <si>
    <t>体育投注流水（本地货币）</t>
  </si>
  <si>
    <t>游戏投注流水（本地货币）</t>
  </si>
  <si>
    <t>体育ggr（本地货币）</t>
  </si>
  <si>
    <t>游戏ggr（本地货币）</t>
  </si>
  <si>
    <t>全部ggr（usd）</t>
  </si>
  <si>
    <t>全部ggr（本地货币）</t>
  </si>
  <si>
    <t>充值金额（usd）</t>
  </si>
  <si>
    <t>充值金额（本地货币）</t>
  </si>
  <si>
    <t>提现金额（usd）</t>
  </si>
  <si>
    <t>提现金额（本地货币）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</si>
</sst>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yyyy\-mm\-dd\ hh:mm:ss"/>
    <numFmt numFmtId="178" formatCode="0.000_ "/>
  </numFmts>
  <fonts count="24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18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0" fillId="0" borderId="0" xfId="0" applyFont="1" applyFill="1" applyAlignment="1"/>
    <xf numFmtId="176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6" fontId="3" fillId="0" borderId="0" xfId="0" applyNumberFormat="1" applyFont="1" applyFill="1" applyAlignment="1"/>
    <xf numFmtId="0" fontId="3" fillId="0" borderId="0" xfId="0" applyFont="1" applyFill="1" applyAlignment="1"/>
    <xf numFmtId="177" fontId="3" fillId="0" borderId="0" xfId="0" applyNumberFormat="1" applyFont="1" applyFill="1" applyAlignment="1"/>
    <xf numFmtId="176" fontId="4" fillId="0" borderId="0" xfId="0" applyNumberFormat="1" applyFont="1" applyFill="1" applyAlignment="1"/>
    <xf numFmtId="10" fontId="0" fillId="0" borderId="0" xfId="3" applyNumberFormat="1">
      <alignment vertical="center"/>
    </xf>
    <xf numFmtId="178" fontId="0" fillId="0" borderId="0" xfId="0" applyNumberFormat="1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 applyFont="1" applyFill="1" applyAlignment="1"/>
    <xf numFmtId="176" fontId="0" fillId="0" borderId="0" xfId="0" applyNumberFormat="1" applyFill="1" applyAlignment="1"/>
    <xf numFmtId="0" fontId="0" fillId="0" borderId="0" xfId="0" applyFill="1" applyAlignment="1"/>
    <xf numFmtId="177" fontId="0" fillId="0" borderId="0" xfId="0" applyNumberFormat="1" applyFont="1" applyFill="1" applyAlignment="1"/>
    <xf numFmtId="177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5.5799305556" refreshedBy="ddj57" recordCount="591">
  <cacheSource type="worksheet">
    <worksheetSource ref="A1:Q1048576" sheet="总表"/>
  </cacheSource>
  <cacheFields count="17">
    <cacheField name="label" numFmtId="0">
      <sharedItems containsBlank="1" count="4">
        <s v="Group A"/>
        <s v="Group B"/>
        <s v="Group C"/>
        <m/>
      </sharedItems>
    </cacheField>
    <cacheField name="用户手机号" numFmtId="176">
      <sharedItems containsString="0" containsBlank="1" containsNumber="1" containsInteger="1" minValue="233200425461" maxValue="233599838991" count="591">
        <n v="233558171044"/>
        <n v="233545295774"/>
        <n v="233248112064"/>
        <n v="233505163657"/>
        <n v="233558696996"/>
        <n v="233539246450"/>
        <n v="233536455716"/>
        <n v="233596777416"/>
        <n v="233504756403"/>
        <n v="233206082502"/>
        <n v="233540982751"/>
        <n v="233545807815"/>
        <n v="233549197381"/>
        <n v="233502831808"/>
        <n v="233543789679"/>
        <n v="233541683908"/>
        <n v="233531410156"/>
        <n v="233597984883"/>
        <n v="233591225910"/>
        <n v="233556387444"/>
        <n v="233555706110"/>
        <n v="233538787059"/>
        <n v="233532644248"/>
        <n v="233247247678"/>
        <n v="233531263528"/>
        <n v="233539282807"/>
        <n v="233543536942"/>
        <n v="233530876873"/>
        <n v="233256605971"/>
        <n v="233546812807"/>
        <n v="233598826679"/>
        <n v="233530789866"/>
        <n v="233591507141"/>
        <n v="233535058461"/>
        <n v="233542704167"/>
        <n v="233268593131"/>
        <n v="233543254042"/>
        <n v="233549416655"/>
        <n v="233505415114"/>
        <n v="233557327139"/>
        <n v="233550882322"/>
        <n v="233530794204"/>
        <n v="233538468651"/>
        <n v="233552788336"/>
        <n v="233205560620"/>
        <n v="233534478904"/>
        <n v="233201359579"/>
        <n v="233535142261"/>
        <n v="233247850749"/>
        <n v="233500340384"/>
        <n v="233592227720"/>
        <n v="233200954039"/>
        <n v="233552532803"/>
        <n v="233533329135"/>
        <n v="233530151142"/>
        <n v="233555949923"/>
        <n v="233506502760"/>
        <n v="233536829880"/>
        <n v="233551196817"/>
        <n v="233500244589"/>
        <n v="233534773719"/>
        <n v="233592698408"/>
        <n v="233537768417"/>
        <n v="233246278056"/>
        <n v="233555763867"/>
        <n v="233542168939"/>
        <n v="233531781196"/>
        <n v="233244893284"/>
        <n v="233533874821"/>
        <n v="233256304920"/>
        <n v="233599686769"/>
        <n v="233594177677"/>
        <n v="233559761869"/>
        <n v="233279862324"/>
        <n v="233244845722"/>
        <n v="233243686986"/>
        <n v="233202438559"/>
        <n v="233537471145"/>
        <n v="233544817618"/>
        <n v="233242734542"/>
        <n v="233538672775"/>
        <n v="233507173284"/>
        <n v="233247080842"/>
        <n v="233533943171"/>
        <n v="233246936676"/>
        <n v="233505517369"/>
        <n v="233594085826"/>
        <n v="233547968425"/>
        <n v="233535995394"/>
        <n v="233245616781"/>
        <n v="233243627795"/>
        <n v="233533362272"/>
        <n v="233531138233"/>
        <n v="233539959089"/>
        <n v="233536407070"/>
        <n v="233507375778"/>
        <n v="233201350455"/>
        <n v="233537704967"/>
        <n v="233549007527"/>
        <n v="233549189045"/>
        <n v="233552768670"/>
        <n v="233534632526"/>
        <n v="233249842853"/>
        <n v="233539096720"/>
        <n v="233597491241"/>
        <n v="233593830484"/>
        <n v="233543327603"/>
        <n v="233243919366"/>
        <n v="233209630228"/>
        <n v="233544926043"/>
        <n v="233548350363"/>
        <n v="233257323851"/>
        <n v="233247393151"/>
        <n v="233507107583"/>
        <n v="233201775602"/>
        <n v="233256999078"/>
        <n v="233552383650"/>
        <n v="233248914647"/>
        <n v="233594510478"/>
        <n v="233543639050"/>
        <n v="233503326514"/>
        <n v="233554139986"/>
        <n v="233535425471"/>
        <n v="233550675613"/>
        <n v="233537816991"/>
        <n v="233547083268"/>
        <n v="233242983501"/>
        <n v="233207394944"/>
        <n v="233533772959"/>
        <n v="233543816460"/>
        <n v="233533387210"/>
        <n v="233502784330"/>
        <n v="233558839899"/>
        <n v="233546147982"/>
        <n v="233535743035"/>
        <n v="233532653605"/>
        <n v="233536975005"/>
        <n v="233537744338"/>
        <n v="233540253638"/>
        <n v="233555142411"/>
        <n v="233548536598"/>
        <n v="233539651381"/>
        <n v="233599577957"/>
        <n v="233593748193"/>
        <n v="233545262420"/>
        <n v="233552481827"/>
        <n v="233531193764"/>
        <n v="233552853700"/>
        <n v="233548989747"/>
        <n v="233503441168"/>
        <n v="233537855354"/>
        <n v="233549236284"/>
        <n v="233507469796"/>
        <n v="233558069824"/>
        <n v="233549352539"/>
        <n v="233551286908"/>
        <n v="233539415619"/>
        <n v="233550345957"/>
        <n v="233550321617"/>
        <n v="233553219886"/>
        <n v="233594503247"/>
        <n v="233559644517"/>
        <n v="233549838026"/>
        <n v="233202423882"/>
        <n v="233541576758"/>
        <n v="233533763118"/>
        <n v="233203465830"/>
        <n v="233599668929"/>
        <n v="233208956292"/>
        <n v="233245726619"/>
        <n v="233275324742"/>
        <n v="233272465877"/>
        <n v="233257443175"/>
        <n v="233546488347"/>
        <n v="233257286401"/>
        <n v="233535830324"/>
        <n v="233555041183"/>
        <n v="233548307931"/>
        <n v="233245937208"/>
        <n v="233531894257"/>
        <n v="233543679447"/>
        <n v="233536561433"/>
        <n v="233537555377"/>
        <n v="233502081093"/>
        <n v="233209744395"/>
        <n v="233597120659"/>
        <n v="233548694876"/>
        <n v="233240030903"/>
        <n v="233532035600"/>
        <n v="233248356133"/>
        <n v="233591381501"/>
        <n v="233559223319"/>
        <n v="233246773930"/>
        <n v="233530602308"/>
        <n v="233206463544"/>
        <n v="233533450790"/>
        <n v="233539622144"/>
        <n v="233535869485"/>
        <n v="233535980488"/>
        <n v="233532698754"/>
        <n v="233591433531"/>
        <n v="233256440051"/>
        <n v="233544706880"/>
        <n v="233246486641"/>
        <n v="233247235984"/>
        <n v="233540624253"/>
        <n v="233245294616"/>
        <n v="233544180624"/>
        <n v="233559186932"/>
        <n v="233544269565"/>
        <n v="233541808237"/>
        <n v="233535475914"/>
        <n v="233207133573"/>
        <n v="233545274515"/>
        <n v="233540993379"/>
        <n v="233245586585"/>
        <n v="233548554251"/>
        <n v="233202065140"/>
        <n v="233257783811"/>
        <n v="233536276569"/>
        <n v="233592872040"/>
        <n v="233537489835"/>
        <n v="233202159883"/>
        <n v="233545850627"/>
        <n v="233599049022"/>
        <n v="233500580056"/>
        <n v="233244290896"/>
        <n v="233559996063"/>
        <n v="233592057174"/>
        <n v="233533549777"/>
        <n v="233257799338"/>
        <n v="233547789793"/>
        <n v="233556273127"/>
        <n v="233508894990"/>
        <n v="233277807786"/>
        <n v="233209737890"/>
        <n v="233267635627"/>
        <n v="233594399517"/>
        <n v="233542675398"/>
        <n v="233505271584"/>
        <n v="233549671804"/>
        <n v="233505126375"/>
        <n v="233531936605"/>
        <n v="233593917702"/>
        <n v="233530490066"/>
        <n v="233557086546"/>
        <n v="233538252927"/>
        <n v="233257871806"/>
        <n v="233592580788"/>
        <n v="233503517522"/>
        <n v="233558367018"/>
        <n v="233599762914"/>
        <n v="233531887435"/>
        <n v="233243902182"/>
        <n v="233245082056"/>
        <n v="233543234141"/>
        <n v="233208298785"/>
        <n v="233598339437"/>
        <n v="233593950410"/>
        <n v="233597408477"/>
        <n v="233555333290"/>
        <n v="233532647063"/>
        <n v="233501302726"/>
        <n v="233538437956"/>
        <n v="233555951896"/>
        <n v="233544687990"/>
        <n v="233555686955"/>
        <n v="233553237753"/>
        <n v="233536105177"/>
        <n v="233543980242"/>
        <n v="233593835709"/>
        <n v="233240383459"/>
        <n v="233201683310"/>
        <n v="233246720532"/>
        <n v="233532670211"/>
        <n v="233505921496"/>
        <n v="233552529816"/>
        <n v="233533826168"/>
        <n v="233208926409"/>
        <n v="233502506084"/>
        <n v="233257746231"/>
        <n v="233257564352"/>
        <n v="233257480377"/>
        <n v="233548305001"/>
        <n v="233544833210"/>
        <n v="233249840788"/>
        <n v="233257519851"/>
        <n v="233540312088"/>
        <n v="233549916330"/>
        <n v="233534036763"/>
        <n v="233546802208"/>
        <n v="233248070816"/>
        <n v="233534221912"/>
        <n v="233541104581"/>
        <n v="233500148658"/>
        <n v="233243243365"/>
        <n v="233538733339"/>
        <n v="233531369812"/>
        <n v="233502672121"/>
        <n v="233202471977"/>
        <n v="233531641061"/>
        <n v="233541140331"/>
        <n v="233203514545"/>
        <n v="233533561433"/>
        <n v="233596436153"/>
        <n v="233543354277"/>
        <n v="233599292401"/>
        <n v="233257520716"/>
        <n v="233594589391"/>
        <n v="233257087428"/>
        <n v="233536619231"/>
        <n v="233257953793"/>
        <n v="233554154847"/>
        <n v="233245374329"/>
        <n v="233539962898"/>
        <n v="233247053975"/>
        <n v="233597296254"/>
        <n v="233551914847"/>
        <n v="233559732728"/>
        <n v="233546961527"/>
        <n v="233551187883"/>
        <n v="233552598263"/>
        <n v="233591831636"/>
        <n v="233241660533"/>
        <n v="233202510472"/>
        <n v="233544687595"/>
        <n v="233247574216"/>
        <n v="233204251901"/>
        <n v="233244778254"/>
        <n v="233244466292"/>
        <n v="233500556145"/>
        <n v="233542043521"/>
        <n v="233248896339"/>
        <n v="233558219758"/>
        <n v="233592211220"/>
        <n v="233244070496"/>
        <n v="233247635684"/>
        <n v="233256916100"/>
        <n v="233537617719"/>
        <n v="233550641760"/>
        <n v="233536447577"/>
        <n v="233536098738"/>
        <n v="233246896108"/>
        <n v="233543915356"/>
        <n v="233202257155"/>
        <n v="233200556260"/>
        <n v="233503718805"/>
        <n v="233544979077"/>
        <n v="233550974187"/>
        <n v="233592262499"/>
        <n v="233531966836"/>
        <n v="233242773533"/>
        <n v="233249456703"/>
        <n v="233596535721"/>
        <n v="233542072259"/>
        <n v="233531439036"/>
        <n v="233539695179"/>
        <n v="233594399784"/>
        <n v="233257312628"/>
        <n v="233591882426"/>
        <n v="233249488836"/>
        <n v="233245012485"/>
        <n v="233249835515"/>
        <n v="233550388583"/>
        <n v="233242720495"/>
        <n v="233533310060"/>
        <n v="233548472171"/>
        <n v="233243788708"/>
        <n v="233593223711"/>
        <n v="233270922498"/>
        <n v="233551980573"/>
        <n v="233536522217"/>
        <n v="233594769770"/>
        <n v="233539291766"/>
        <n v="233275960162"/>
        <n v="233247657338"/>
        <n v="233257685762"/>
        <n v="233598956797"/>
        <n v="233554061539"/>
        <n v="233571660024"/>
        <n v="233209168535"/>
        <n v="233548396231"/>
        <n v="233266742990"/>
        <n v="233505979507"/>
        <n v="233205674321"/>
        <n v="233597886048"/>
        <n v="233594416288"/>
        <n v="233546128244"/>
        <n v="233537962097"/>
        <n v="233532749478"/>
        <n v="233209266637"/>
        <n v="233201534803"/>
        <n v="233505307892"/>
        <n v="233551400667"/>
        <n v="233247884786"/>
        <n v="233543173589"/>
        <n v="233248193755"/>
        <n v="233535311866"/>
        <n v="233548155384"/>
        <n v="233549993865"/>
        <n v="233552066358"/>
        <n v="233557493822"/>
        <n v="233536344448"/>
        <n v="233559605292"/>
        <n v="233597944137"/>
        <n v="233539043315"/>
        <n v="233551964885"/>
        <n v="233538190171"/>
        <n v="233556691745"/>
        <n v="233200425461"/>
        <n v="233595956926"/>
        <n v="233591944922"/>
        <n v="233549920355"/>
        <n v="233553902578"/>
        <n v="233245923424"/>
        <n v="233596464412"/>
        <n v="233547316813"/>
        <n v="233595846265"/>
        <n v="233547073438"/>
        <n v="233240252836"/>
        <n v="233550645918"/>
        <n v="233544905944"/>
        <n v="233539402204"/>
        <n v="233203919255"/>
        <n v="233593497417"/>
        <n v="233543344284"/>
        <n v="233208326265"/>
        <n v="233551591706"/>
        <n v="233205527661"/>
        <n v="233537991383"/>
        <n v="233539500951"/>
        <n v="233557446009"/>
        <n v="233509066010"/>
        <n v="233557338656"/>
        <n v="233554485255"/>
        <n v="233537499088"/>
        <n v="233535064720"/>
        <n v="233557714056"/>
        <n v="233531431629"/>
        <n v="233542275666"/>
        <n v="233552012755"/>
        <n v="233595452539"/>
        <n v="233504718376"/>
        <n v="233543404765"/>
        <n v="233243256747"/>
        <n v="233598392217"/>
        <n v="233503314322"/>
        <n v="233540279587"/>
        <n v="233507814734"/>
        <n v="233551336950"/>
        <n v="233544580539"/>
        <n v="233598782161"/>
        <n v="233533515688"/>
        <n v="233533764476"/>
        <n v="233536936336"/>
        <n v="233257465992"/>
        <n v="233240752841"/>
        <n v="233553800193"/>
        <n v="233537951485"/>
        <n v="233256634713"/>
        <n v="233539595174"/>
        <n v="233537413674"/>
        <n v="233533186236"/>
        <n v="233598886565"/>
        <n v="233557444083"/>
        <n v="233540957725"/>
        <n v="233206212547"/>
        <n v="233539614598"/>
        <n v="233539046132"/>
        <n v="233508868600"/>
        <n v="233245688964"/>
        <n v="233533377138"/>
        <n v="233547335141"/>
        <n v="233548259287"/>
        <n v="233535188460"/>
        <n v="233551995862"/>
        <n v="233500578321"/>
        <n v="233552808730"/>
        <n v="233594828331"/>
        <n v="233541818650"/>
        <n v="233209260780"/>
        <n v="233204901500"/>
        <n v="233599838991"/>
        <n v="233205219476"/>
        <n v="233559072236"/>
        <n v="233537542538"/>
        <n v="233248843859"/>
        <n v="233555292563"/>
        <n v="233546431205"/>
        <n v="233242406918"/>
        <n v="233534001349"/>
        <n v="233537948699"/>
        <n v="233558170596"/>
        <n v="233533085845"/>
        <n v="233538119555"/>
        <n v="233536040004"/>
        <n v="233546931921"/>
        <n v="233206412771"/>
        <n v="233591130260"/>
        <n v="233551567423"/>
        <n v="233243087488"/>
        <n v="233552108003"/>
        <n v="233544369827"/>
        <n v="233540723416"/>
        <n v="233557075083"/>
        <n v="233503600463"/>
        <n v="233247456529"/>
        <n v="233547769061"/>
        <n v="233546457029"/>
        <n v="233535841416"/>
        <n v="233548120195"/>
        <n v="233534942236"/>
        <n v="233554012450"/>
        <n v="233240254349"/>
        <n v="233248593147"/>
        <n v="233591903619"/>
        <n v="233550836727"/>
        <n v="233556568604"/>
        <n v="233532072837"/>
        <n v="233531482687"/>
        <n v="233593741782"/>
        <n v="233535084552"/>
        <n v="233533161192"/>
        <n v="233554247328"/>
        <n v="233549811433"/>
        <n v="233551273169"/>
        <n v="233507528286"/>
        <n v="233552619671"/>
        <n v="233593196722"/>
        <n v="233533152286"/>
        <n v="233532377608"/>
        <n v="233557777141"/>
        <n v="233543640304"/>
        <n v="233200444912"/>
        <n v="233242285035"/>
        <n v="233530432591"/>
        <n v="233540607632"/>
        <n v="233247684827"/>
        <n v="233540704188"/>
        <n v="233551605927"/>
        <n v="233598817455"/>
        <n v="233555837953"/>
        <n v="233543593321"/>
        <n v="233541503624"/>
        <n v="233509875276"/>
        <n v="233554857562"/>
        <n v="233539965983"/>
        <n v="233594017894"/>
        <n v="233243747967"/>
        <n v="233539069212"/>
        <n v="233544913832"/>
        <n v="233552289192"/>
        <n v="233555683159"/>
        <n v="233592789729"/>
        <n v="233535716645"/>
        <n v="233240862819"/>
        <n v="233245694932"/>
        <n v="233559077557"/>
        <n v="233597869750"/>
        <n v="233248074977"/>
        <n v="233531478264"/>
        <n v="233247020883"/>
        <n v="233558394162"/>
        <n v="233596805286"/>
        <n v="233244390015"/>
        <n v="233208388769"/>
        <n v="233540576978"/>
        <n v="233544168071"/>
        <n v="233244062840"/>
        <n v="233543968847"/>
        <n v="233535831756"/>
        <n v="233203620398"/>
        <n v="233548660654"/>
        <n v="233542100562"/>
        <n v="233246969922"/>
        <n v="233545337894"/>
        <n v="233247904073"/>
        <n v="233241107011"/>
        <n v="233543899313"/>
        <n v="233555745429"/>
        <n v="233264612466"/>
        <n v="233243016610"/>
        <n v="233536462350"/>
        <n v="233552201343"/>
        <n v="233597642209"/>
        <n v="233243952996"/>
        <n v="233240097781"/>
        <n v="233256529449"/>
        <n v="233539719727"/>
        <n v="233268228181"/>
        <m/>
      </sharedItems>
    </cacheField>
    <cacheField name="用户id" numFmtId="0">
      <sharedItems containsString="0" containsBlank="1" containsNumber="1" containsInteger="1" minValue="3453065" maxValue="23003012" count="591">
        <n v="3650431"/>
        <n v="5832722"/>
        <n v="7103744"/>
        <n v="9598168"/>
        <n v="10001207"/>
        <n v="13226456"/>
        <n v="16391417"/>
        <n v="17182599"/>
        <n v="17523041"/>
        <n v="18173108"/>
        <n v="18685406"/>
        <n v="19569981"/>
        <n v="19580816"/>
        <n v="20299783"/>
        <n v="20337084"/>
        <n v="20413789"/>
        <n v="20674651"/>
        <n v="7832538"/>
        <n v="9321750"/>
        <n v="9623671"/>
        <n v="10027490"/>
        <n v="14952293"/>
        <n v="15882129"/>
        <n v="16876812"/>
        <n v="17359491"/>
        <n v="17864468"/>
        <n v="18018506"/>
        <n v="18715910"/>
        <n v="18959650"/>
        <n v="19102897"/>
        <n v="19660251"/>
        <n v="20405435"/>
        <n v="20600436"/>
        <n v="20817972"/>
        <n v="20919950"/>
        <n v="21285139"/>
        <n v="21428526"/>
        <n v="21451739"/>
        <n v="21825435"/>
        <n v="21840737"/>
        <n v="21996776"/>
        <n v="22033622"/>
        <n v="22068621"/>
        <n v="22169459"/>
        <n v="22246937"/>
        <n v="22372504"/>
        <n v="22400003"/>
        <n v="22475074"/>
        <n v="22478120"/>
        <n v="22503005"/>
        <n v="22540757"/>
        <n v="22616565"/>
        <n v="22617023"/>
        <n v="22622806"/>
        <n v="22636405"/>
        <n v="22752429"/>
        <n v="22843761"/>
        <n v="22873957"/>
        <n v="8079619"/>
        <n v="10634700"/>
        <n v="13635959"/>
        <n v="14108564"/>
        <n v="17173126"/>
        <n v="17731132"/>
        <n v="17983514"/>
        <n v="18333044"/>
        <n v="18736972"/>
        <n v="18935441"/>
        <n v="19027206"/>
        <n v="19175361"/>
        <n v="19778282"/>
        <n v="19917533"/>
        <n v="20180769"/>
        <n v="20414886"/>
        <n v="5015133"/>
        <n v="10718495"/>
        <n v="11300113"/>
        <n v="13476187"/>
        <n v="14844666"/>
        <n v="15234739"/>
        <n v="16729775"/>
        <n v="16731807"/>
        <n v="17065379"/>
        <n v="17394317"/>
        <n v="18495305"/>
        <n v="18696980"/>
        <n v="18720280"/>
        <n v="19543429"/>
        <n v="19557939"/>
        <n v="19631921"/>
        <n v="20003449"/>
        <n v="20838455"/>
        <n v="20948881"/>
        <n v="20982807"/>
        <n v="21062669"/>
        <n v="21330248"/>
        <n v="21363744"/>
        <n v="21642371"/>
        <n v="21726036"/>
        <n v="21841129"/>
        <n v="21869227"/>
        <n v="21967354"/>
        <n v="21986107"/>
        <n v="21994085"/>
        <n v="22209506"/>
        <n v="22447938"/>
        <n v="22479594"/>
        <n v="22517423"/>
        <n v="22526883"/>
        <n v="22585634"/>
        <n v="22606125"/>
        <n v="22614203"/>
        <n v="22631271"/>
        <n v="22742057"/>
        <n v="22742231"/>
        <n v="22742322"/>
        <n v="22748835"/>
        <n v="22818780"/>
        <n v="22854244"/>
        <n v="22889213"/>
        <n v="22913470"/>
        <n v="22938233"/>
        <n v="23003012"/>
        <n v="5767946"/>
        <n v="12533683"/>
        <n v="15564442"/>
        <n v="17534360"/>
        <n v="17577170"/>
        <n v="17761593"/>
        <n v="18112359"/>
        <n v="18117048"/>
        <n v="18692450"/>
        <n v="18831246"/>
        <n v="18953440"/>
        <n v="19007179"/>
        <n v="19036941"/>
        <n v="19561073"/>
        <n v="19855747"/>
        <n v="19878827"/>
        <n v="20126465"/>
        <n v="20166972"/>
        <n v="20276148"/>
        <n v="20641888"/>
        <n v="8519314"/>
        <n v="9653917"/>
        <n v="10685749"/>
        <n v="15784426"/>
        <n v="15916650"/>
        <n v="16073481"/>
        <n v="17052492"/>
        <n v="17825445"/>
        <n v="18480503"/>
        <n v="19118112"/>
        <n v="19217737"/>
        <n v="20026501"/>
        <n v="20235395"/>
        <n v="20442123"/>
        <n v="20701711"/>
        <n v="3640113"/>
        <n v="5407732"/>
        <n v="6931167"/>
        <n v="10229403"/>
        <n v="11180374"/>
        <n v="11241392"/>
        <n v="13794514"/>
        <n v="15780316"/>
        <n v="16779578"/>
        <n v="16868920"/>
        <n v="17404264"/>
        <n v="17855357"/>
        <n v="18467342"/>
        <n v="18964363"/>
        <n v="19094430"/>
        <n v="19660176"/>
        <n v="20291542"/>
        <n v="20395155"/>
        <n v="20412445"/>
        <n v="20555245"/>
        <n v="4964765"/>
        <n v="9795303"/>
        <n v="10988769"/>
        <n v="16128585"/>
        <n v="16955619"/>
        <n v="17022597"/>
        <n v="17561275"/>
        <n v="18440676"/>
        <n v="18738320"/>
        <n v="18773205"/>
        <n v="18844063"/>
        <n v="19371962"/>
        <n v="5586014"/>
        <n v="8460878"/>
        <n v="9895703"/>
        <n v="10343166"/>
        <n v="10831809"/>
        <n v="12794153"/>
        <n v="13052233"/>
        <n v="13406686"/>
        <n v="14873809"/>
        <n v="16123334"/>
        <n v="16126013"/>
        <n v="16883507"/>
        <n v="16958296"/>
        <n v="17657980"/>
        <n v="17731547"/>
        <n v="17838248"/>
        <n v="17945461"/>
        <n v="18962287"/>
        <n v="19546764"/>
        <n v="20113108"/>
        <n v="20226304"/>
        <n v="20453866"/>
        <n v="20640865"/>
        <n v="20673873"/>
        <n v="13189232"/>
        <n v="13671925"/>
        <n v="13802808"/>
        <n v="16659455"/>
        <n v="16998061"/>
        <n v="17504579"/>
        <n v="17785184"/>
        <n v="17838754"/>
        <n v="18111154"/>
        <n v="18232786"/>
        <n v="18294781"/>
        <n v="18348573"/>
        <n v="18882804"/>
        <n v="19040939"/>
        <n v="19257039"/>
        <n v="19680015"/>
        <n v="20385847"/>
        <n v="6091327"/>
        <n v="16697498"/>
        <n v="17511067"/>
        <n v="17525512"/>
        <n v="17745175"/>
        <n v="19415225"/>
        <n v="20366883"/>
        <n v="20540411"/>
        <n v="20721976"/>
        <n v="20890171"/>
        <n v="20899433"/>
        <n v="21012159"/>
        <n v="21065631"/>
        <n v="21170082"/>
        <n v="21211651"/>
        <n v="21656767"/>
        <n v="21679314"/>
        <n v="21762342"/>
        <n v="21942736"/>
        <n v="22071617"/>
        <n v="22092099"/>
        <n v="22147002"/>
        <n v="22153971"/>
        <n v="22187969"/>
        <n v="22399335"/>
        <n v="22431226"/>
        <n v="22507627"/>
        <n v="22519006"/>
        <n v="22541819"/>
        <n v="22613094"/>
        <n v="22685996"/>
        <n v="22694405"/>
        <n v="22700237"/>
        <n v="22710429"/>
        <n v="22844097"/>
        <n v="22844740"/>
        <n v="22858598"/>
        <n v="22890421"/>
        <n v="22905479"/>
        <n v="22973144"/>
        <n v="3927517"/>
        <n v="5048000"/>
        <n v="8616766"/>
        <n v="10684725"/>
        <n v="10760743"/>
        <n v="10922988"/>
        <n v="10985680"/>
        <n v="11946799"/>
        <n v="14110309"/>
        <n v="16229428"/>
        <n v="16346011"/>
        <n v="17356955"/>
        <n v="17383143"/>
        <n v="17950999"/>
        <n v="18471138"/>
        <n v="18500020"/>
        <n v="19622364"/>
        <n v="19997989"/>
        <n v="20156004"/>
        <n v="20591393"/>
        <n v="20594860"/>
        <n v="20723339"/>
        <n v="4575489"/>
        <n v="10451947"/>
        <n v="11448881"/>
        <n v="13950868"/>
        <n v="15687696"/>
        <n v="16715920"/>
        <n v="16812668"/>
        <n v="17235106"/>
        <n v="17570495"/>
        <n v="17575953"/>
        <n v="17627685"/>
        <n v="17984994"/>
        <n v="18549795"/>
        <n v="18578626"/>
        <n v="19688255"/>
        <n v="20404189"/>
        <n v="20448775"/>
        <n v="20764312"/>
        <n v="21098208"/>
        <n v="21108267"/>
        <n v="21305071"/>
        <n v="21364615"/>
        <n v="21381565"/>
        <n v="21515823"/>
        <n v="21568702"/>
        <n v="21596570"/>
        <n v="21753145"/>
        <n v="21786006"/>
        <n v="21947029"/>
        <n v="22021019"/>
        <n v="22174763"/>
        <n v="22296861"/>
        <n v="22317092"/>
        <n v="22469281"/>
        <n v="22491221"/>
        <n v="22540114"/>
        <n v="22651099"/>
        <n v="22786134"/>
        <n v="22811906"/>
        <n v="22884327"/>
        <n v="22912964"/>
        <n v="22938699"/>
        <n v="9587987"/>
        <n v="9993755"/>
        <n v="10075832"/>
        <n v="13336400"/>
        <n v="13585988"/>
        <n v="14561318"/>
        <n v="14562807"/>
        <n v="17414157"/>
        <n v="17732038"/>
        <n v="18113379"/>
        <n v="18769065"/>
        <n v="18838470"/>
        <n v="19137112"/>
        <n v="20077511"/>
        <n v="20219321"/>
        <n v="20538991"/>
        <n v="7801700"/>
        <n v="8321836"/>
        <n v="8992591"/>
        <n v="11497298"/>
        <n v="13666322"/>
        <n v="14398531"/>
        <n v="16025459"/>
        <n v="16147578"/>
        <n v="17424642"/>
        <n v="18287460"/>
        <n v="18777805"/>
        <n v="19182934"/>
        <n v="19208203"/>
        <n v="19614452"/>
        <n v="20016693"/>
        <n v="20236109"/>
        <n v="3453065"/>
        <n v="3737923"/>
        <n v="6990358"/>
        <n v="8711966"/>
        <n v="13973508"/>
        <n v="16059248"/>
        <n v="16509181"/>
        <n v="17268456"/>
        <n v="19766812"/>
        <n v="19820951"/>
        <n v="20093607"/>
        <n v="20655924"/>
        <n v="4707205"/>
        <n v="10504058"/>
        <n v="13448384"/>
        <n v="16979056"/>
        <n v="17720965"/>
        <n v="18285030"/>
        <n v="18514567"/>
        <n v="18519895"/>
        <n v="18774969"/>
        <n v="18953554"/>
        <n v="19012501"/>
        <n v="19378358"/>
        <n v="19498712"/>
        <n v="20072952"/>
        <n v="20578065"/>
        <n v="20581154"/>
        <n v="3908442"/>
        <n v="7224256"/>
        <n v="13815184"/>
        <n v="14873540"/>
        <n v="15252997"/>
        <n v="16758691"/>
        <n v="17234540"/>
        <n v="17404887"/>
        <n v="19727199"/>
        <n v="19998717"/>
        <n v="20169110"/>
        <n v="20462629"/>
        <n v="20815899"/>
        <n v="20878619"/>
        <n v="20937650"/>
        <n v="20951743"/>
        <n v="20998209"/>
        <n v="21356012"/>
        <n v="21736632"/>
        <n v="21896912"/>
        <n v="22381275"/>
        <n v="22440490"/>
        <n v="22441305"/>
        <n v="22497447"/>
        <n v="22506286"/>
        <n v="22634273"/>
        <n v="22641501"/>
        <n v="22656206"/>
        <n v="22722864"/>
        <n v="22734199"/>
        <n v="22752609"/>
        <n v="22838630"/>
        <n v="22926508"/>
        <n v="22930183"/>
        <n v="22933658"/>
        <n v="22937316"/>
        <n v="22940295"/>
        <n v="22999645"/>
        <n v="11869543"/>
        <n v="14312965"/>
        <n v="17640241"/>
        <n v="18143571"/>
        <n v="18685300"/>
        <n v="18803559"/>
        <n v="19307471"/>
        <n v="19573246"/>
        <n v="19679654"/>
        <n v="19920945"/>
        <n v="20389549"/>
        <n v="20545743"/>
        <n v="20559584"/>
        <n v="8390697"/>
        <n v="9290589"/>
        <n v="11240940"/>
        <n v="13060248"/>
        <n v="16774536"/>
        <n v="17771453"/>
        <n v="18153361"/>
        <n v="18878594"/>
        <n v="19091913"/>
        <n v="19249216"/>
        <n v="19402858"/>
        <n v="19609723"/>
        <n v="19665645"/>
        <n v="20788561"/>
        <n v="20792863"/>
        <n v="20856573"/>
        <n v="20961621"/>
        <n v="21497165"/>
        <n v="21631392"/>
        <n v="21980956"/>
        <n v="22189933"/>
        <n v="22362211"/>
        <n v="22399019"/>
        <n v="22509353"/>
        <n v="22543560"/>
        <n v="22616452"/>
        <n v="22652697"/>
        <n v="22684462"/>
        <n v="22824569"/>
        <n v="22923760"/>
        <n v="6855101"/>
        <n v="8899321"/>
        <n v="9431962"/>
        <n v="16067102"/>
        <n v="16634140"/>
        <n v="16687596"/>
        <n v="16755325"/>
        <n v="17737358"/>
        <n v="17757335"/>
        <n v="19395433"/>
        <n v="19607909"/>
        <n v="19878098"/>
        <n v="19995494"/>
        <n v="20398158"/>
        <n v="10733783"/>
        <n v="12352438"/>
        <n v="13349373"/>
        <n v="13565280"/>
        <n v="15945840"/>
        <n v="17738463"/>
        <n v="18282097"/>
        <n v="19014180"/>
        <n v="19696966"/>
        <n v="19903561"/>
        <n v="20112922"/>
        <n v="20261140"/>
        <n v="20356166"/>
        <n v="20437494"/>
        <n v="20986425"/>
        <n v="21006907"/>
        <n v="21012646"/>
        <n v="21278470"/>
        <n v="21301189"/>
        <n v="21504006"/>
        <n v="21525025"/>
        <n v="21784758"/>
        <n v="21796395"/>
        <n v="21802200"/>
        <n v="21812127"/>
        <n v="21915890"/>
        <n v="22051628"/>
        <n v="22071506"/>
        <n v="22072303"/>
        <n v="22107934"/>
        <n v="22160276"/>
        <n v="22313843"/>
        <n v="22409646"/>
        <n v="22602490"/>
        <n v="22625030"/>
        <n v="22643556"/>
        <n v="22660596"/>
        <n v="22695905"/>
        <n v="22755142"/>
        <n v="22782698"/>
        <n v="22838524"/>
        <n v="22880730"/>
        <n v="22924758"/>
        <n v="22965717"/>
        <n v="9010675"/>
        <n v="16659569"/>
        <n v="17314816"/>
        <n v="17336353"/>
        <n v="17540816"/>
        <n v="18114912"/>
        <n v="18253184"/>
        <n v="18355012"/>
        <n v="18487115"/>
        <n v="19512537"/>
        <n v="19970315"/>
        <n v="20505795"/>
        <n v="20783243"/>
        <n v="20790157"/>
        <n v="20927865"/>
        <n v="20996851"/>
        <n v="21005141"/>
        <n v="21060660"/>
        <n v="21157261"/>
        <n v="21194556"/>
        <n v="21195457"/>
        <n v="21221134"/>
        <n v="21435623"/>
        <n v="21704435"/>
        <n v="21772010"/>
        <n v="21782719"/>
        <n v="21783173"/>
        <n v="21784384"/>
        <n v="21971540"/>
        <n v="22057738"/>
        <n v="22362013"/>
        <n v="22364297"/>
        <n v="22387195"/>
        <n v="22437078"/>
        <n v="22477425"/>
        <n v="22481285"/>
        <n v="22487841"/>
        <n v="22516984"/>
        <n v="22518843"/>
        <n v="22535861"/>
        <n v="22557042"/>
        <n v="22650902"/>
        <n v="22679150"/>
        <n v="22718402"/>
        <n v="22721147"/>
        <n v="22780517"/>
        <n v="22843754"/>
        <n v="22846240"/>
        <n v="22898745"/>
        <n v="22932444"/>
        <n v="22933633"/>
        <n v="22978641"/>
        <n v="18410664"/>
        <n v="18847798"/>
        <n v="19428007"/>
        <n v="20729693"/>
        <m/>
      </sharedItems>
    </cacheField>
    <cacheField name="最后登录时间" numFmtId="0">
      <sharedItems containsString="0" containsBlank="1" containsNonDate="0" containsDate="1" minDate="2026-05-18T00:41:37" maxDate="2026-06-11T10:02:35" count="591">
        <d v="2026-05-19T15:33:04"/>
        <d v="2026-05-24T00:24:25"/>
        <d v="2026-05-20T16:27:59"/>
        <d v="2026-06-11T09:26:44"/>
        <d v="2026-05-18T17:10:31"/>
        <d v="2026-06-09T16:02:38"/>
        <d v="2026-05-19T22:11:33"/>
        <d v="2026-06-09T06:29:17"/>
        <d v="2026-06-11T00:24:06"/>
        <d v="2026-06-10T18:44:38"/>
        <d v="2026-05-24T12:03:18"/>
        <d v="2026-06-10T15:15:17"/>
        <d v="2026-06-07T22:40:22"/>
        <d v="2026-05-18T18:34:29"/>
        <d v="2026-05-20T12:37:58"/>
        <d v="2026-05-18T09:59:00"/>
        <d v="2026-05-20T16:18:19"/>
        <d v="2026-05-21T02:21:29"/>
        <d v="2026-06-09T11:54:14"/>
        <d v="2026-06-10T21:43:20"/>
        <d v="2026-05-18T14:28:12"/>
        <d v="2026-06-10T09:25:06"/>
        <d v="2026-05-21T09:02:52"/>
        <d v="2026-05-20T01:51:31"/>
        <d v="2026-05-18T14:20:45"/>
        <d v="2026-05-18T10:53:17"/>
        <d v="2026-05-18T20:48:16"/>
        <d v="2026-05-24T06:46:55"/>
        <d v="2026-05-21T11:37:56"/>
        <d v="2026-05-21T23:32:29"/>
        <d v="2026-06-10T16:23:48"/>
        <d v="2026-05-20T09:23:05"/>
        <d v="2026-05-18T19:54:05"/>
        <d v="2026-06-08T09:29:59"/>
        <d v="2026-05-18T18:46:07"/>
        <d v="2026-06-05T07:59:28"/>
        <d v="2026-05-19T07:52:09"/>
        <d v="2026-05-24T13:10:48"/>
        <d v="2026-06-10T20:35:43"/>
        <d v="2026-06-11T05:55:42"/>
        <d v="2026-06-11T02:05:31"/>
        <d v="2026-05-19T11:55:33"/>
        <d v="2026-05-21T11:46:23"/>
        <d v="2026-05-24T15:27:30"/>
        <d v="2026-05-19T16:27:00"/>
        <d v="2026-05-24T10:51:10"/>
        <d v="2026-05-24T08:23:30"/>
        <d v="2026-06-04T15:19:38"/>
        <d v="2026-05-21T12:41:20"/>
        <d v="2026-06-10T23:20:11"/>
        <d v="2026-05-20T09:05:20"/>
        <d v="2026-06-06T19:39:26"/>
        <d v="2026-06-06T19:38:24"/>
        <d v="2026-06-10T19:12:04"/>
        <d v="2026-05-19T13:58:53"/>
        <d v="2026-06-10T10:39:04"/>
        <d v="2026-05-24T19:55:30"/>
        <d v="2026-05-18T18:39:52"/>
        <d v="2026-06-06T19:16:38"/>
        <d v="2026-05-19T10:18:59"/>
        <d v="2026-05-21T18:53:01"/>
        <d v="2026-06-08T22:11:00"/>
        <d v="2026-05-19T18:40:53"/>
        <d v="2026-05-21T10:44:41"/>
        <d v="2026-05-24T21:29:14"/>
        <d v="2026-05-24T07:59:09"/>
        <d v="2026-06-10T16:49:44"/>
        <d v="2026-05-18T09:38:14"/>
        <d v="2026-05-19T21:15:25"/>
        <d v="2026-05-20T20:05:24"/>
        <d v="2026-05-18T11:34:59"/>
        <d v="2026-05-18T21:10:59"/>
        <d v="2026-06-07T07:08:25"/>
        <d v="2026-05-24T17:31:45"/>
        <d v="2026-05-24T20:12:54"/>
        <d v="2026-06-05T04:15:57"/>
        <d v="2026-05-24T13:17:21"/>
        <d v="2026-05-21T20:34:31"/>
        <d v="2026-05-18T20:44:14"/>
        <d v="2026-05-19T04:43:04"/>
        <d v="2026-06-04T17:39:27"/>
        <d v="2026-05-20T09:26:42"/>
        <d v="2026-05-19T20:57:30"/>
        <d v="2026-05-19T03:40:12"/>
        <d v="2026-06-11T04:38:00"/>
        <d v="2026-05-20T02:40:45"/>
        <d v="2026-05-24T19:51:11"/>
        <d v="2026-05-21T07:23:59"/>
        <d v="2026-06-05T18:46:57"/>
        <d v="2026-05-18T10:48:35"/>
        <d v="2026-05-20T05:54:06"/>
        <d v="2026-05-24T15:25:30"/>
        <d v="2026-05-24T14:00:01"/>
        <d v="2026-05-21T19:08:28"/>
        <d v="2026-05-21T23:08:59"/>
        <d v="2026-05-24T17:06:49"/>
        <d v="2026-05-20T10:10:17"/>
        <d v="2026-05-24T18:24:30"/>
        <d v="2026-06-06T09:47:54"/>
        <d v="2026-05-20T12:06:33"/>
        <d v="2026-05-19T11:36:56"/>
        <d v="2026-06-09T09:52:17"/>
        <d v="2026-06-09T21:46:47"/>
        <d v="2026-05-18T19:29:33"/>
        <d v="2026-06-10T20:18:07"/>
        <d v="2026-06-04T17:04:29"/>
        <d v="2026-06-06T11:50:26"/>
        <d v="2026-05-19T00:14:05"/>
        <d v="2026-05-18T11:18:24"/>
        <d v="2026-05-20T17:42:06"/>
        <d v="2026-05-21T22:30:48"/>
        <d v="2026-05-24T09:58:19"/>
        <d v="2026-05-20T17:49:17"/>
        <d v="2026-05-20T08:48:39"/>
        <d v="2026-06-09T02:53:24"/>
        <d v="2026-05-24T23:59:17"/>
        <d v="2026-05-24T14:47:04"/>
        <d v="2026-05-24T10:51:09"/>
        <d v="2026-05-19T13:36:41"/>
        <d v="2026-05-24T15:47:28"/>
        <d v="2026-05-24T07:59:33"/>
        <d v="2026-05-20T03:29:35"/>
        <d v="2026-05-24T18:07:04"/>
        <d v="2026-05-20T01:55:27"/>
        <d v="2026-05-20T23:19:05"/>
        <d v="2026-05-21T02:44:12"/>
        <d v="2026-05-19T20:26:32"/>
        <d v="2026-06-04T01:35:39"/>
        <d v="2026-05-19T20:25:23"/>
        <d v="2026-05-24T08:25:30"/>
        <d v="2026-05-19T12:28:42"/>
        <d v="2026-05-20T10:33:09"/>
        <d v="2026-05-20T18:31:56"/>
        <d v="2026-06-09T21:52:33"/>
        <d v="2026-05-20T23:49:30"/>
        <d v="2026-05-18T22:52:16"/>
        <d v="2026-05-24T22:07:31"/>
        <d v="2026-06-10T23:18:35"/>
        <d v="2026-05-21T15:33:57"/>
        <d v="2026-05-18T14:53:46"/>
        <d v="2026-05-21T21:18:15"/>
        <d v="2026-05-20T11:26:54"/>
        <d v="2026-05-19T20:57:11"/>
        <d v="2026-06-08T18:27:02"/>
        <d v="2026-05-24T18:30:26"/>
        <d v="2026-05-24T13:57:08"/>
        <d v="2026-05-20T22:02:41"/>
        <d v="2026-05-21T14:20:33"/>
        <d v="2026-05-24T15:07:01"/>
        <d v="2026-05-18T15:09:01"/>
        <d v="2026-06-10T16:05:05"/>
        <d v="2026-06-05T00:19:48"/>
        <d v="2026-05-20T19:58:46"/>
        <d v="2026-05-24T15:32:59"/>
        <d v="2026-05-21T20:03:17"/>
        <d v="2026-05-24T00:24:47"/>
        <d v="2026-06-02T18:23:22"/>
        <d v="2026-05-20T02:36:16"/>
        <d v="2026-06-04T08:38:57"/>
        <d v="2026-05-19T23:24:19"/>
        <d v="2026-06-10T01:32:13"/>
        <d v="2026-05-19T07:55:24"/>
        <d v="2026-05-20T08:09:12"/>
        <d v="2026-05-24T13:15:33"/>
        <d v="2026-06-11T07:19:35"/>
        <d v="2026-05-19T22:50:59"/>
        <d v="2026-05-18T16:51:10"/>
        <d v="2026-06-05T04:26:13"/>
        <d v="2026-05-20T14:37:31"/>
        <d v="2026-06-05T11:23:35"/>
        <d v="2026-05-18T03:46:26"/>
        <d v="2026-05-21T16:50:43"/>
        <d v="2026-05-20T21:18:01"/>
        <d v="2026-05-24T00:18:36"/>
        <d v="2026-05-24T18:13:16"/>
        <d v="2026-05-20T17:33:32"/>
        <d v="2026-05-18T12:30:55"/>
        <d v="2026-05-18T19:42:36"/>
        <d v="2026-05-20T11:56:37"/>
        <d v="2026-05-21T19:30:20"/>
        <d v="2026-06-05T10:00:45"/>
        <d v="2026-05-18T16:09:01"/>
        <d v="2026-05-24T19:40:12"/>
        <d v="2026-05-24T14:05:48"/>
        <d v="2026-06-06T18:40:22"/>
        <d v="2026-05-24T19:21:48"/>
        <d v="2026-05-24T17:35:46"/>
        <d v="2026-05-18T10:45:26"/>
        <d v="2026-06-11T08:39:50"/>
        <d v="2026-05-19T08:59:38"/>
        <d v="2026-06-10T22:24:02"/>
        <d v="2026-05-18T10:07:03"/>
        <d v="2026-05-21T14:04:27"/>
        <d v="2026-05-24T17:14:05"/>
        <d v="2026-05-20T06:15:54"/>
        <d v="2026-05-20T10:05:23"/>
        <d v="2026-05-21T20:59:34"/>
        <d v="2026-06-04T16:19:37"/>
        <d v="2026-05-24T06:53:18"/>
        <d v="2026-06-10T16:51:29"/>
        <d v="2026-05-20T15:47:48"/>
        <d v="2026-05-19T23:10:04"/>
        <d v="2026-05-19T10:47:11"/>
        <d v="2026-06-06T15:49:48"/>
        <d v="2026-06-08T11:14:54"/>
        <d v="2026-06-11T03:29:51"/>
        <d v="2026-06-08T19:43:14"/>
        <d v="2026-05-18T15:25:53"/>
        <d v="2026-05-24T14:53:24"/>
        <d v="2026-05-18T09:12:20"/>
        <d v="2026-06-11T09:37:47"/>
        <d v="2026-06-11T00:23:27"/>
        <d v="2026-05-20T07:07:31"/>
        <d v="2026-05-19T22:54:52"/>
        <d v="2026-06-04T23:18:51"/>
        <d v="2026-06-10T06:16:16"/>
        <d v="2026-06-03T19:06:44"/>
        <d v="2026-05-21T09:31:44"/>
        <d v="2026-06-10T04:52:33"/>
        <d v="2026-06-08T15:47:01"/>
        <d v="2026-06-07T07:59:04"/>
        <d v="2026-06-02T13:18:08"/>
        <d v="2026-05-24T23:28:46"/>
        <d v="2026-05-20T10:20:53"/>
        <d v="2026-06-05T12:03:04"/>
        <d v="2026-06-08T08:28:37"/>
        <d v="2026-05-19T13:11:00"/>
        <d v="2026-06-10T15:00:27"/>
        <d v="2026-06-03T10:23:20"/>
        <d v="2026-06-07T22:57:30"/>
        <d v="2026-06-09T12:59:59"/>
        <d v="2026-05-19T11:04:01"/>
        <d v="2026-05-18T14:24:11"/>
        <d v="2026-05-20T06:12:22"/>
        <d v="2026-06-07T23:13:19"/>
        <d v="2026-05-21T06:36:00"/>
        <d v="2026-06-11T06:38:40"/>
        <d v="2026-05-20T10:19:00"/>
        <d v="2026-05-21T08:08:12"/>
        <d v="2026-06-06T23:15:23"/>
        <d v="2026-05-20T22:46:50"/>
        <d v="2026-05-24T09:25:15"/>
        <d v="2026-05-18T21:01:28"/>
        <d v="2026-06-07T06:51:57"/>
        <d v="2026-06-11T08:23:17"/>
        <d v="2026-05-19T06:39:41"/>
        <d v="2026-06-10T20:19:52"/>
        <d v="2026-05-24T22:57:15"/>
        <d v="2026-05-21T23:07:29"/>
        <d v="2026-05-24T22:00:57"/>
        <d v="2026-05-20T12:19:34"/>
        <d v="2026-06-10T18:06:19"/>
        <d v="2026-06-08T14:52:22"/>
        <d v="2026-05-21T16:25:50"/>
        <d v="2026-06-03T11:03:30"/>
        <d v="2026-05-21T12:04:28"/>
        <d v="2026-05-19T19:10:26"/>
        <d v="2026-05-18T08:10:29"/>
        <d v="2026-05-18T10:07:18"/>
        <d v="2026-05-18T17:00:00"/>
        <d v="2026-05-24T18:59:32"/>
        <d v="2026-06-07T17:14:20"/>
        <d v="2026-05-19T18:08:05"/>
        <d v="2026-05-21T20:08:14"/>
        <d v="2026-06-11T09:54:02"/>
        <d v="2026-05-19T16:55:15"/>
        <d v="2026-05-20T00:22:42"/>
        <d v="2026-06-05T15:51:46"/>
        <d v="2026-05-20T21:57:58"/>
        <d v="2026-05-20T19:20:54"/>
        <d v="2026-05-24T22:14:26"/>
        <d v="2026-05-19T00:44:10"/>
        <d v="2026-05-18T15:12:52"/>
        <d v="2026-06-10T15:34:56"/>
        <d v="2026-05-21T17:27:15"/>
        <d v="2026-06-11T00:31:58"/>
        <d v="2026-05-20T13:41:04"/>
        <d v="2026-06-10T18:00:11"/>
        <d v="2026-05-21T10:35:38"/>
        <d v="2026-05-21T21:35:03"/>
        <d v="2026-05-18T15:55:34"/>
        <d v="2026-05-24T18:18:49"/>
        <d v="2026-05-24T04:42:12"/>
        <d v="2026-05-24T11:03:18"/>
        <d v="2026-05-18T16:24:46"/>
        <d v="2026-06-10T13:59:35"/>
        <d v="2026-06-07T21:06:56"/>
        <d v="2026-05-24T19:28:49"/>
        <d v="2026-05-19T07:29:12"/>
        <d v="2026-05-21T10:22:34"/>
        <d v="2026-06-11T09:59:17"/>
        <d v="2026-06-04T03:07:12"/>
        <d v="2026-05-18T08:59:16"/>
        <d v="2026-05-21T16:03:04"/>
        <d v="2026-05-18T22:32:15"/>
        <d v="2026-05-18T16:48:22"/>
        <d v="2026-06-05T09:29:25"/>
        <d v="2026-06-05T05:11:07"/>
        <d v="2026-05-19T11:43:30"/>
        <d v="2026-05-18T21:29:38"/>
        <d v="2026-05-21T00:38:51"/>
        <d v="2026-05-21T23:20:02"/>
        <d v="2026-06-09T04:35:32"/>
        <d v="2026-05-19T10:19:37"/>
        <d v="2026-05-20T01:09:03"/>
        <d v="2026-05-20T15:12:54"/>
        <d v="2026-06-04T15:19:56"/>
        <d v="2026-05-24T06:49:13"/>
        <d v="2026-06-10T22:05:11"/>
        <d v="2026-05-19T10:20:01"/>
        <d v="2026-06-10T17:30:52"/>
        <d v="2026-05-21T06:05:01"/>
        <d v="2026-06-09T17:16:54"/>
        <d v="2026-05-19T10:03:31"/>
        <d v="2026-05-18T02:55:44"/>
        <d v="2026-05-18T09:53:46"/>
        <d v="2026-05-24T19:39:32"/>
        <d v="2026-06-09T16:48:01"/>
        <d v="2026-06-11T08:38:51"/>
        <d v="2026-06-11T07:59:19"/>
        <d v="2026-05-19T05:16:16"/>
        <d v="2026-06-05T15:50:58"/>
        <d v="2026-06-11T08:01:22"/>
        <d v="2026-06-10T21:10:02"/>
        <d v="2026-05-20T07:37:23"/>
        <d v="2026-05-24T12:22:39"/>
        <d v="2026-05-21T11:10:36"/>
        <d v="2026-05-21T23:42:10"/>
        <d v="2026-06-09T20:18:29"/>
        <d v="2026-05-21T12:17:18"/>
        <d v="2026-05-24T10:53:45"/>
        <d v="2026-05-24T13:18:18"/>
        <d v="2026-05-24T22:40:55"/>
        <d v="2026-06-08T02:01:05"/>
        <d v="2026-06-10T15:48:32"/>
        <d v="2026-05-24T16:33:02"/>
        <d v="2026-06-02T14:25:43"/>
        <d v="2026-05-20T17:08:34"/>
        <d v="2026-05-20T02:54:47"/>
        <d v="2026-06-06T13:26:38"/>
        <d v="2026-05-18T06:48:51"/>
        <d v="2026-05-19T16:29:45"/>
        <d v="2026-05-24T20:06:38"/>
        <d v="2026-06-04T10:10:27"/>
        <d v="2026-05-20T10:38:16"/>
        <d v="2026-05-20T05:10:11"/>
        <d v="2026-05-20T23:54:04"/>
        <d v="2026-05-24T09:09:44"/>
        <d v="2026-06-10T22:23:17"/>
        <d v="2026-06-07T00:29:58"/>
        <d v="2026-06-10T07:16:11"/>
        <d v="2026-05-19T19:11:03"/>
        <d v="2026-05-20T19:32:20"/>
        <d v="2026-05-19T03:29:51"/>
        <d v="2026-05-24T14:52:38"/>
        <d v="2026-05-24T16:38:58"/>
        <d v="2026-06-10T15:37:11"/>
        <d v="2026-06-08T22:14:36"/>
        <d v="2026-05-20T11:21:31"/>
        <d v="2026-05-19T18:44:41"/>
        <d v="2026-05-20T23:29:39"/>
        <d v="2026-05-24T22:11:18"/>
        <d v="2026-05-19T14:16:17"/>
        <d v="2026-05-19T19:24:30"/>
        <d v="2026-05-18T19:27:42"/>
        <d v="2026-05-19T20:04:31"/>
        <d v="2026-06-07T13:09:29"/>
        <d v="2026-05-21T22:52:41"/>
        <d v="2026-06-05T07:12:25"/>
        <d v="2026-05-24T06:51:43"/>
        <d v="2026-06-05T23:21:19"/>
        <d v="2026-05-18T17:32:03"/>
        <d v="2026-06-10T22:47:15"/>
        <d v="2026-06-08T23:01:58"/>
        <d v="2026-06-08T20:53:06"/>
        <d v="2026-05-18T20:00:44"/>
        <d v="2026-06-10T14:54:15"/>
        <d v="2026-06-10T23:33:34"/>
        <d v="2026-05-20T17:16:23"/>
        <d v="2026-06-10T03:37:40"/>
        <d v="2026-05-21T23:06:46"/>
        <d v="2026-06-04T21:07:17"/>
        <d v="2026-06-10T09:52:39"/>
        <d v="2026-05-18T13:08:19"/>
        <d v="2026-05-19T15:41:24"/>
        <d v="2026-06-05T13:22:32"/>
        <d v="2026-05-20T21:14:04"/>
        <d v="2026-05-18T22:28:01"/>
        <d v="2026-05-19T21:05:33"/>
        <d v="2026-05-19T14:10:26"/>
        <d v="2026-05-20T16:19:22"/>
        <d v="2026-05-21T20:16:27"/>
        <d v="2026-05-21T18:49:29"/>
        <d v="2026-05-21T17:53:47"/>
        <d v="2026-05-24T06:21:36"/>
        <d v="2026-05-18T07:14:00"/>
        <d v="2026-05-19T13:16:51"/>
        <d v="2026-06-10T23:53:49"/>
        <d v="2026-06-08T18:38:34"/>
        <d v="2026-05-19T13:52:05"/>
        <d v="2026-05-19T06:38:38"/>
        <d v="2026-05-20T17:13:45"/>
        <d v="2026-05-24T01:46:20"/>
        <d v="2026-05-21T18:52:33"/>
        <d v="2026-05-24T16:34:08"/>
        <d v="2026-05-24T13:55:09"/>
        <d v="2026-05-19T11:29:52"/>
        <d v="2026-06-08T18:52:04"/>
        <d v="2026-05-24T15:13:29"/>
        <d v="2026-05-24T20:43:55"/>
        <d v="2026-06-11T09:57:32"/>
        <d v="2026-06-10T09:21:39"/>
        <d v="2026-05-24T19:31:10"/>
        <d v="2026-05-18T20:48:59"/>
        <d v="2026-06-11T08:50:33"/>
        <d v="2026-06-10T12:45:34"/>
        <d v="2026-05-18T10:06:54"/>
        <d v="2026-05-24T12:22:06"/>
        <d v="2026-05-21T16:13:44"/>
        <d v="2026-05-24T09:37:26"/>
        <d v="2026-05-19T19:58:44"/>
        <d v="2026-05-20T19:05:50"/>
        <d v="2026-05-24T04:46:33"/>
        <d v="2026-06-07T06:51:02"/>
        <d v="2026-06-11T09:30:56"/>
        <d v="2026-06-09T22:41:19"/>
        <d v="2026-06-10T10:04:41"/>
        <d v="2026-05-21T16:21:14"/>
        <d v="2026-05-20T10:28:11"/>
        <d v="2026-05-21T15:47:49"/>
        <d v="2026-05-21T20:39:06"/>
        <d v="2026-05-20T06:10:37"/>
        <d v="2026-05-24T00:23:27"/>
        <d v="2026-06-10T11:22:35"/>
        <d v="2026-05-24T18:16:10"/>
        <d v="2026-06-11T01:04:28"/>
        <d v="2026-06-11T07:55:22"/>
        <d v="2026-05-20T01:10:28"/>
        <d v="2026-05-19T11:23:52"/>
        <d v="2026-05-24T05:06:19"/>
        <d v="2026-05-20T22:43:10"/>
        <d v="2026-05-19T20:22:15"/>
        <d v="2026-05-19T17:40:36"/>
        <d v="2026-06-10T16:17:47"/>
        <d v="2026-06-08T22:01:00"/>
        <d v="2026-05-24T21:59:23"/>
        <d v="2026-06-10T17:53:54"/>
        <d v="2026-06-04T21:37:04"/>
        <d v="2026-05-24T13:16:03"/>
        <d v="2026-06-08T16:14:58"/>
        <d v="2026-05-20T08:00:18"/>
        <d v="2026-06-10T01:20:15"/>
        <d v="2026-06-09T17:44:34"/>
        <d v="2026-05-24T18:43:13"/>
        <d v="2026-05-19T12:10:10"/>
        <d v="2026-05-20T10:12:32"/>
        <d v="2026-05-21T23:26:30"/>
        <d v="2026-06-11T07:50:31"/>
        <d v="2026-05-24T22:28:28"/>
        <d v="2026-05-18T12:02:37"/>
        <d v="2026-06-11T09:11:17"/>
        <d v="2026-05-18T04:02:13"/>
        <d v="2026-05-19T11:34:41"/>
        <d v="2026-05-21T15:50:09"/>
        <d v="2026-05-24T08:44:44"/>
        <d v="2026-05-19T12:20:05"/>
        <d v="2026-05-20T06:51:02"/>
        <d v="2026-06-10T13:55:50"/>
        <d v="2026-05-18T12:48:40"/>
        <d v="2026-05-21T02:22:01"/>
        <d v="2026-06-07T03:18:23"/>
        <d v="2026-05-19T16:43:18"/>
        <d v="2026-05-18T15:18:05"/>
        <d v="2026-05-20T08:02:29"/>
        <d v="2026-05-19T05:35:37"/>
        <d v="2026-05-24T15:36:56"/>
        <d v="2026-05-24T03:36:47"/>
        <d v="2026-05-24T20:14:15"/>
        <d v="2026-05-18T07:37:13"/>
        <d v="2026-06-10T08:27:07"/>
        <d v="2026-06-10T22:05:32"/>
        <d v="2026-05-21T16:01:23"/>
        <d v="2026-05-24T22:37:40"/>
        <d v="2026-05-20T19:35:28"/>
        <d v="2026-06-10T19:44:40"/>
        <d v="2026-05-20T22:31:38"/>
        <d v="2026-05-20T14:54:32"/>
        <d v="2026-05-19T22:26:33"/>
        <d v="2026-06-11T07:04:21"/>
        <d v="2026-06-03T11:27:15"/>
        <d v="2026-05-24T20:49:35"/>
        <d v="2026-05-24T04:26:47"/>
        <d v="2026-06-11T08:04:47"/>
        <d v="2026-05-18T12:07:46"/>
        <d v="2026-06-03T06:18:24"/>
        <d v="2026-05-21T20:02:10"/>
        <d v="2026-05-19T17:27:09"/>
        <d v="2026-05-19T23:03:48"/>
        <d v="2026-06-04T17:23:49"/>
        <d v="2026-05-18T10:02:04"/>
        <d v="2026-05-21T06:32:37"/>
        <d v="2026-05-20T13:33:45"/>
        <d v="2026-05-24T14:32:09"/>
        <d v="2026-05-19T10:50:04"/>
        <d v="2026-06-06T22:18:07"/>
        <d v="2026-06-04T05:03:29"/>
        <d v="2026-06-11T07:09:58"/>
        <d v="2026-05-20T17:23:21"/>
        <d v="2026-05-18T09:12:10"/>
        <d v="2026-06-11T08:07:08"/>
        <d v="2026-05-20T03:04:04"/>
        <d v="2026-05-24T22:28:23"/>
        <d v="2026-05-18T10:23:09"/>
        <d v="2026-06-11T10:02:35"/>
        <d v="2026-05-18T11:38:47"/>
        <d v="2026-05-19T11:58:41"/>
        <d v="2026-05-19T09:43:57"/>
        <d v="2026-05-24T16:38:45"/>
        <d v="2026-05-20T09:00:58"/>
        <d v="2026-05-21T19:34:31"/>
        <d v="2026-05-24T16:35:35"/>
        <d v="2026-05-24T23:16:23"/>
        <d v="2026-05-24T03:22:37"/>
        <d v="2026-06-05T17:28:44"/>
        <d v="2026-05-18T00:41:37"/>
        <d v="2026-05-20T20:42:32"/>
        <d v="2026-05-19T22:58:01"/>
        <d v="2026-05-24T09:52:33"/>
        <d v="2026-05-20T20:17:19"/>
        <d v="2026-05-19T09:38:39"/>
        <d v="2026-05-18T19:59:24"/>
        <d v="2026-05-20T20:24:42"/>
        <d v="2026-05-18T16:52:56"/>
        <d v="2026-05-24T09:37:56"/>
        <d v="2026-05-24T08:44:13"/>
        <d v="2026-05-21T14:53:10"/>
        <d v="2026-06-10T06:12:02"/>
        <d v="2026-05-18T16:33:09"/>
        <d v="2026-05-19T22:16:39"/>
        <d v="2026-05-20T23:56:18"/>
        <d v="2026-05-20T10:47:41"/>
        <d v="2026-05-20T14:04:50"/>
        <d v="2026-06-10T21:14:18"/>
        <d v="2026-06-03T18:25:16"/>
        <d v="2026-05-24T16:23:02"/>
        <d v="2026-06-10T20:17:22"/>
        <d v="2026-06-08T13:47:16"/>
        <d v="2026-06-05T11:14:45"/>
        <d v="2026-05-24T17:20:35"/>
        <d v="2026-05-20T19:03:09"/>
        <d v="2026-05-19T11:55:38"/>
        <d v="2026-05-21T23:38:19"/>
        <d v="2026-05-18T06:29:41"/>
        <d v="2026-06-10T01:20:47"/>
        <d v="2026-05-24T10:03:43"/>
        <d v="2026-05-19T14:49:19"/>
        <d v="2026-05-24T21:00:20"/>
        <d v="2026-05-19T08:04:46"/>
        <d v="2026-06-09T20:31:48"/>
        <d v="2026-05-21T12:05:15"/>
        <d v="2026-06-07T17:58:26"/>
        <d v="2026-05-19T00:59:28"/>
        <d v="2026-05-19T20:33:35"/>
        <d v="2026-05-20T10:57:02"/>
        <d v="2026-06-11T02:31:30"/>
        <d v="2026-05-20T16:07:55"/>
        <d v="2026-05-24T07:04:55"/>
        <d v="2026-05-21T21:05:40"/>
        <d v="2026-06-09T10:27:50"/>
        <d v="2026-05-19T13:22:56"/>
        <d v="2026-05-24T23:39:37"/>
        <d v="2026-05-20T08:29:00"/>
        <d v="2026-05-21T10:21:54"/>
        <d v="2026-05-19T13:44:05"/>
        <d v="2026-05-19T08:32:04"/>
        <d v="2026-05-20T09:31:58"/>
        <d v="2026-05-18T22:30:14"/>
        <d v="2026-05-21T02:14:34"/>
        <d v="2026-05-24T21:46:30"/>
        <d v="2026-05-24T15:34:17"/>
        <d v="2026-05-24T10:38:05"/>
        <d v="2026-05-18T11:26:38"/>
        <d v="2026-06-06T09:28:14"/>
        <d v="2026-05-20T06:39:50"/>
        <d v="2026-05-19T14:22:22"/>
        <d v="2026-05-24T11:25:48"/>
        <d v="2026-05-24T23:58:51"/>
        <d v="2026-06-04T15:30:30"/>
        <d v="2026-05-24T14:47:55"/>
        <d v="2026-05-24T00:19:01"/>
        <m/>
      </sharedItems>
    </cacheField>
    <cacheField name="是否有效回归" numFmtId="176">
      <sharedItems containsBlank="1" count="3">
        <s v="否"/>
        <s v="是"/>
        <m/>
      </sharedItems>
    </cacheField>
    <cacheField name="总投注流水（usd）" numFmtId="0">
      <sharedItems containsString="0" containsBlank="1" containsNumber="1" minValue="0" maxValue="9196.06" count="115">
        <n v="0"/>
        <n v="54.85"/>
        <n v="7.15"/>
        <n v="139.95"/>
        <n v="103.15"/>
        <n v="0.54"/>
        <n v="53.41"/>
        <n v="103.26"/>
        <n v="5579.22"/>
        <n v="0.02"/>
        <n v="0.1"/>
        <n v="11.18"/>
        <n v="7443.55"/>
        <n v="478.92"/>
        <n v="7.61"/>
        <n v="736.42"/>
        <n v="0.03"/>
        <n v="1.08"/>
        <n v="97.19"/>
        <n v="9196.06"/>
        <n v="0.01"/>
        <n v="1071.44"/>
        <n v="536.45"/>
        <n v="0.69"/>
        <n v="44.69"/>
        <n v="27.5"/>
        <n v="103.73"/>
        <n v="15.52"/>
        <n v="181.02"/>
        <n v="1.31"/>
        <n v="139.19"/>
        <n v="44.23"/>
        <n v="176.88"/>
        <n v="34.57"/>
        <n v="91.88"/>
        <n v="30.95"/>
        <n v="9.73"/>
        <n v="4.27"/>
        <n v="150.19"/>
        <n v="208.54"/>
        <n v="172.54"/>
        <n v="78.46"/>
        <n v="0.95"/>
        <n v="4.31"/>
        <n v="1.65"/>
        <n v="3.59"/>
        <n v="3224.42"/>
        <n v="164.08"/>
        <n v="0.77"/>
        <n v="662.53"/>
        <n v="31.54"/>
        <n v="796.56"/>
        <n v="6.84"/>
        <n v="6.54"/>
        <n v="226.27"/>
        <n v="4.03"/>
        <n v="133.12"/>
        <n v="9.85"/>
        <n v="11.58"/>
        <n v="142.28"/>
        <n v="1579.65"/>
        <n v="0.42"/>
        <n v="4.62"/>
        <n v="124.73"/>
        <n v="30"/>
        <n v="5"/>
        <n v="6"/>
        <n v="4.48"/>
        <n v="1.62"/>
        <n v="113.68"/>
        <n v="113.64"/>
        <n v="20.15"/>
        <n v="2.19"/>
        <n v="634.23"/>
        <n v="2.23"/>
        <n v="367.45"/>
        <n v="0.46"/>
        <n v="0.04"/>
        <n v="186.08"/>
        <n v="12.08"/>
        <n v="10.89"/>
        <n v="1.42"/>
        <n v="3.15"/>
        <n v="0.38"/>
        <n v="65.2"/>
        <n v="43.95"/>
        <n v="18.92"/>
        <n v="6.35"/>
        <n v="109.8"/>
        <n v="91.04"/>
        <n v="81.17"/>
        <n v="146.1"/>
        <n v="588.43"/>
        <n v="46.08"/>
        <n v="585.58"/>
        <n v="32.93"/>
        <n v="1.23"/>
        <n v="249.35"/>
        <n v="1439.75"/>
        <n v="14.26"/>
        <n v="50.22"/>
        <n v="5319.23"/>
        <n v="0.11"/>
        <n v="39.93"/>
        <n v="7035.27"/>
        <n v="45.26"/>
        <n v="5.46"/>
        <n v="54.52"/>
        <n v="455.19"/>
        <n v="48.97"/>
        <n v="0.05"/>
        <n v="80.35"/>
        <n v="481.74"/>
        <n v="9.03"/>
        <m/>
      </sharedItems>
    </cacheField>
    <cacheField name="总投注流水（本地货币）" numFmtId="0">
      <sharedItems containsString="0" containsBlank="1" containsNumber="1" minValue="0" maxValue="119548.81" count="118">
        <n v="0"/>
        <n v="713"/>
        <n v="92.97"/>
        <n v="1819.3"/>
        <n v="1340.9"/>
        <n v="7"/>
        <n v="694.35"/>
        <n v="1342.34"/>
        <n v="72529.8"/>
        <n v="0.24"/>
        <n v="1.35"/>
        <n v="145.39"/>
        <n v="96766.15"/>
        <n v="6225.94"/>
        <n v="98.91"/>
        <n v="0.2"/>
        <n v="9573.5"/>
        <n v="0.35"/>
        <n v="14"/>
        <n v="1263.48"/>
        <n v="119548.81"/>
        <n v="0.17"/>
        <n v="13928.75"/>
        <n v="6973.8"/>
        <n v="9.03"/>
        <n v="581"/>
        <n v="357.5"/>
        <n v="1348.5"/>
        <n v="201.8"/>
        <n v="2353.23"/>
        <n v="17"/>
        <n v="1809.5"/>
        <n v="575"/>
        <n v="2299.5"/>
        <n v="449.37"/>
        <n v="1194.5"/>
        <n v="402.34"/>
        <n v="126.5"/>
        <n v="55.5"/>
        <n v="1952.5"/>
        <n v="2711"/>
        <n v="2243"/>
        <n v="9"/>
        <n v="1020"/>
        <n v="12.33"/>
        <n v="56"/>
        <n v="21.5"/>
        <n v="46.65"/>
        <n v="41917.47"/>
        <n v="2133"/>
        <n v="10"/>
        <n v="8612.89"/>
        <n v="410"/>
        <n v="10355.32"/>
        <n v="88.86"/>
        <n v="85"/>
        <n v="2941.56"/>
        <n v="52.4"/>
        <n v="1730.51"/>
        <n v="128"/>
        <n v="150.5"/>
        <n v="1849.6"/>
        <n v="20535.4"/>
        <n v="5.5"/>
        <n v="60"/>
        <n v="1621.5"/>
        <n v="390"/>
        <n v="65"/>
        <n v="78"/>
        <n v="58.2"/>
        <n v="21"/>
        <n v="1477.84"/>
        <n v="1477.27"/>
        <n v="262"/>
        <n v="28.5"/>
        <n v="8245"/>
        <n v="28.94"/>
        <n v="4776.9"/>
        <n v="6"/>
        <n v="0.5"/>
        <n v="2419"/>
        <n v="0.28"/>
        <n v="157"/>
        <n v="141.57"/>
        <n v="18.49"/>
        <n v="41"/>
        <n v="5"/>
        <n v="847.58"/>
        <n v="571.3"/>
        <n v="246"/>
        <n v="82.6"/>
        <n v="1427.36"/>
        <n v="1183.5"/>
        <n v="1055.21"/>
        <n v="1899.35"/>
        <n v="7649.57"/>
        <n v="599"/>
        <n v="7612.6"/>
        <n v="428.1"/>
        <n v="16"/>
        <n v="3241.5"/>
        <n v="18716.8"/>
        <n v="185.4"/>
        <n v="652.9"/>
        <n v="69150.01"/>
        <n v="1.43"/>
        <n v="519.11"/>
        <n v="91458.5"/>
        <n v="588.4"/>
        <n v="71"/>
        <n v="708.75"/>
        <n v="5917.5"/>
        <n v="636.56"/>
        <n v="0.6"/>
        <n v="1044.5"/>
        <n v="6262.68"/>
        <n v="117.34"/>
        <m/>
      </sharedItems>
    </cacheField>
    <cacheField name="体育投注流水（本地货币）" numFmtId="0">
      <sharedItems containsString="0" containsBlank="1" containsNumber="1" minValue="0" maxValue="1700" count="14">
        <n v="0"/>
        <n v="1.4"/>
        <n v="141"/>
        <n v="1"/>
        <n v="149"/>
        <n v="10"/>
        <n v="328.8"/>
        <n v="1700"/>
        <n v="2"/>
        <n v="6"/>
        <n v="5.6"/>
        <n v="5"/>
        <n v="20"/>
        <m/>
      </sharedItems>
    </cacheField>
    <cacheField name="游戏投注流水（本地货币）" numFmtId="0">
      <sharedItems containsString="0" containsBlank="1" containsNumber="1" minValue="0" maxValue="119547.81" count="118">
        <n v="0"/>
        <n v="713"/>
        <n v="92.97"/>
        <n v="1819.3"/>
        <n v="1340.9"/>
        <n v="7"/>
        <n v="692.95"/>
        <n v="1342.34"/>
        <n v="72529.8"/>
        <n v="0.24"/>
        <n v="1.35"/>
        <n v="145.39"/>
        <n v="96766.15"/>
        <n v="6084.94"/>
        <n v="98.91"/>
        <n v="0.2"/>
        <n v="9573.5"/>
        <n v="0.35"/>
        <n v="14"/>
        <n v="1262.48"/>
        <n v="119547.81"/>
        <n v="0.17"/>
        <n v="13928.75"/>
        <n v="6973.8"/>
        <n v="9.03"/>
        <n v="581"/>
        <n v="357.5"/>
        <n v="1348.5"/>
        <n v="201.8"/>
        <n v="2353.23"/>
        <n v="17"/>
        <n v="1809.5"/>
        <n v="426"/>
        <n v="2299.5"/>
        <n v="449.37"/>
        <n v="1194.5"/>
        <n v="402.34"/>
        <n v="126.5"/>
        <n v="55.5"/>
        <n v="1942.5"/>
        <n v="2711"/>
        <n v="2243"/>
        <n v="9"/>
        <n v="1020"/>
        <n v="12.33"/>
        <n v="56"/>
        <n v="21.5"/>
        <n v="46.65"/>
        <n v="41917.47"/>
        <n v="2133"/>
        <n v="10"/>
        <n v="8284.09"/>
        <n v="410"/>
        <n v="8655.32"/>
        <n v="88.86"/>
        <n v="85"/>
        <n v="2941.56"/>
        <n v="52.4"/>
        <n v="1730.51"/>
        <n v="128"/>
        <n v="150.5"/>
        <n v="1849.6"/>
        <n v="20533.4"/>
        <n v="5.5"/>
        <n v="60"/>
        <n v="1621.5"/>
        <n v="390"/>
        <n v="65"/>
        <n v="78"/>
        <n v="58.2"/>
        <n v="21"/>
        <n v="1477.84"/>
        <n v="1477.27"/>
        <n v="262"/>
        <n v="28.5"/>
        <n v="8245"/>
        <n v="28.94"/>
        <n v="4776.9"/>
        <n v="54.5"/>
        <n v="0.5"/>
        <n v="2419"/>
        <n v="0.28"/>
        <n v="157"/>
        <n v="141.57"/>
        <n v="18.49"/>
        <n v="41"/>
        <n v="5"/>
        <n v="847.58"/>
        <n v="571.3"/>
        <n v="246"/>
        <n v="77"/>
        <n v="1427.36"/>
        <n v="1178.5"/>
        <n v="1055.21"/>
        <n v="1899.35"/>
        <n v="7629.57"/>
        <n v="599"/>
        <n v="7611.6"/>
        <n v="428.1"/>
        <n v="16"/>
        <n v="3241.5"/>
        <n v="18716.8"/>
        <n v="185.4"/>
        <n v="652.9"/>
        <n v="69148.01"/>
        <n v="1.43"/>
        <n v="519.11"/>
        <n v="91458.5"/>
        <n v="588.4"/>
        <n v="71"/>
        <n v="708.75"/>
        <n v="5917.5"/>
        <n v="636.56"/>
        <n v="0.6"/>
        <n v="1044.5"/>
        <n v="6262.68"/>
        <n v="117.34"/>
        <m/>
      </sharedItems>
    </cacheField>
    <cacheField name="体育ggr（本地货币）" numFmtId="0">
      <sharedItems containsString="0" containsBlank="1" containsNumber="1" minValue="-452.37" maxValue="446.64" count="14">
        <n v="0"/>
        <n v="1.4"/>
        <n v="-452.37"/>
        <n v="1"/>
        <n v="-129.16"/>
        <n v="10"/>
        <n v="107.39"/>
        <n v="446.64"/>
        <n v="2"/>
        <n v="6"/>
        <n v="5.6"/>
        <n v="5"/>
        <n v="20"/>
        <m/>
      </sharedItems>
    </cacheField>
    <cacheField name="游戏ggr（本地货币）" numFmtId="0">
      <sharedItems containsString="0" containsBlank="1" containsNumber="1" minValue="-1365.58" maxValue="12320.3" count="119">
        <n v="0"/>
        <n v="126.7"/>
        <n v="55.87"/>
        <n v="284.85"/>
        <n v="349.66"/>
        <n v="5.04"/>
        <n v="-54"/>
        <n v="-451.48"/>
        <n v="12320.3"/>
        <n v="0.24"/>
        <n v="1.35"/>
        <n v="10.03"/>
        <n v="3386.76"/>
        <n v="-73.96"/>
        <n v="78.08"/>
        <n v="0.2"/>
        <n v="-123.92"/>
        <n v="0.35"/>
        <n v="14"/>
        <n v="54.49"/>
        <n v="2751.15"/>
        <n v="0.17"/>
        <n v="-1365.58"/>
        <n v="898.59"/>
        <n v="9.03"/>
        <n v="209.94"/>
        <n v="49.89"/>
        <n v="509.3"/>
        <n v="-19.9"/>
        <n v="15.26"/>
        <n v="-3.38"/>
        <n v="850.02"/>
        <n v="60.82"/>
        <n v="119.85"/>
        <n v="220.99"/>
        <n v="382.39"/>
        <n v="218.51"/>
        <n v="82.7"/>
        <n v="20.1"/>
        <n v="437.89"/>
        <n v="149.78"/>
        <n v="-199.26"/>
        <n v="9"/>
        <n v="46.56"/>
        <n v="12.33"/>
        <n v="20"/>
        <n v="14.9"/>
        <n v="9.89"/>
        <n v="7034.64"/>
        <n v="801.63"/>
        <n v="10"/>
        <n v="-182.39"/>
        <n v="-124.8"/>
        <n v="3143.82"/>
        <n v="40"/>
        <n v="85"/>
        <n v="268.43"/>
        <n v="11.91"/>
        <n v="41.63"/>
        <n v="44"/>
        <n v="85.32"/>
        <n v="231.18"/>
        <n v="2002.56"/>
        <n v="3.44"/>
        <n v="19.82"/>
        <n v="9.75"/>
        <n v="66.76"/>
        <n v="55"/>
        <n v="-10"/>
        <n v="29.62"/>
        <n v="12.14"/>
        <n v="504.06"/>
        <n v="189.99"/>
        <n v="78.53"/>
        <n v="24.66"/>
        <n v="1048.29"/>
        <n v="0.97"/>
        <n v="532.14"/>
        <n v="43.88"/>
        <n v="0.5"/>
        <n v="-232.65"/>
        <n v="0.28"/>
        <n v="48.76"/>
        <n v="80"/>
        <n v="10.72"/>
        <n v="30.32"/>
        <n v="5"/>
        <n v="232.75"/>
        <n v="11.64"/>
        <n v="116.79"/>
        <n v="11"/>
        <n v="-95.84"/>
        <n v="-257.5"/>
        <n v="58.8"/>
        <n v="128.93"/>
        <n v="895.33"/>
        <n v="87.65"/>
        <n v="-804.4"/>
        <n v="-30.01"/>
        <n v="14.98"/>
        <n v="9.23"/>
        <n v="3675.05"/>
        <n v="20.42"/>
        <n v="190.25"/>
        <n v="535.38"/>
        <n v="0.43"/>
        <n v="70"/>
        <n v="2348.8"/>
        <n v="89.45"/>
        <n v="49.94"/>
        <n v="110.4"/>
        <n v="862.6"/>
        <n v="22"/>
        <n v="-0.06"/>
        <n v="9.9"/>
        <n v="90.13"/>
        <n v="747.68"/>
        <n v="71.25"/>
        <m/>
      </sharedItems>
    </cacheField>
    <cacheField name="全部ggr（usd）" numFmtId="0">
      <sharedItems containsString="0" containsBlank="1" containsNumber="1" minValue="-105.04" maxValue="947.72" count="111">
        <n v="0"/>
        <n v="9.75"/>
        <n v="4.3"/>
        <n v="21.91"/>
        <n v="26.9"/>
        <n v="0.39"/>
        <n v="-4.05"/>
        <n v="-34.73"/>
        <n v="947.72"/>
        <n v="0.02"/>
        <n v="0.1"/>
        <n v="0.77"/>
        <n v="260.52"/>
        <n v="-40.49"/>
        <n v="6.01"/>
        <n v="-9.53"/>
        <n v="0.03"/>
        <n v="1.08"/>
        <n v="4.27"/>
        <n v="211.7"/>
        <n v="0.01"/>
        <n v="-105.04"/>
        <n v="69.12"/>
        <n v="0.69"/>
        <n v="16.15"/>
        <n v="3.84"/>
        <n v="39.18"/>
        <n v="-1.53"/>
        <n v="1.17"/>
        <n v="-0.26"/>
        <n v="65.39"/>
        <n v="-5.26"/>
        <n v="9.22"/>
        <n v="17"/>
        <n v="29.41"/>
        <n v="16.81"/>
        <n v="6.36"/>
        <n v="1.55"/>
        <n v="34.45"/>
        <n v="11.52"/>
        <n v="-15.33"/>
        <n v="3.58"/>
        <n v="0.95"/>
        <n v="1.54"/>
        <n v="1.15"/>
        <n v="0.76"/>
        <n v="541.13"/>
        <n v="61.66"/>
        <n v="-5.77"/>
        <n v="-9.6"/>
        <n v="276.19"/>
        <n v="3.08"/>
        <n v="6.54"/>
        <n v="20.65"/>
        <n v="0.92"/>
        <n v="3.2"/>
        <n v="3.38"/>
        <n v="6.56"/>
        <n v="17.78"/>
        <n v="154.2"/>
        <n v="0.26"/>
        <n v="1.52"/>
        <n v="0.75"/>
        <n v="5.14"/>
        <n v="4.23"/>
        <n v="-0.77"/>
        <n v="2.28"/>
        <n v="0.93"/>
        <n v="38.77"/>
        <n v="14.61"/>
        <n v="6.04"/>
        <n v="1.9"/>
        <n v="80.64"/>
        <n v="0.07"/>
        <n v="40.93"/>
        <n v="3.45"/>
        <n v="0.46"/>
        <n v="0.04"/>
        <n v="-17.9"/>
        <n v="3.75"/>
        <n v="6.15"/>
        <n v="0.82"/>
        <n v="2.33"/>
        <n v="0.38"/>
        <n v="17.9"/>
        <n v="0.9"/>
        <n v="8.98"/>
        <n v="1.28"/>
        <n v="-7.37"/>
        <n v="-19.42"/>
        <n v="4.52"/>
        <n v="9.92"/>
        <n v="70.41"/>
        <n v="6.74"/>
        <n v="-61.8"/>
        <n v="-2.31"/>
        <n v="0.71"/>
        <n v="282.7"/>
        <n v="1.57"/>
        <n v="14.63"/>
        <n v="41.34"/>
        <n v="5.38"/>
        <n v="180.68"/>
        <n v="6.88"/>
        <n v="8.49"/>
        <n v="66.35"/>
        <n v="1.69"/>
        <n v="6.93"/>
        <n v="57.51"/>
        <n v="5.48"/>
        <m/>
      </sharedItems>
    </cacheField>
    <cacheField name="全部ggr（本地货币）" numFmtId="0">
      <sharedItems containsString="0" containsBlank="1" containsNumber="1" minValue="-1365.58" maxValue="12320.3" count="120">
        <n v="0"/>
        <n v="126.7"/>
        <n v="55.87"/>
        <n v="284.85"/>
        <n v="349.66"/>
        <n v="5.04"/>
        <n v="-52.6"/>
        <n v="-451.48"/>
        <n v="12320.3"/>
        <n v="0.24"/>
        <n v="1.35"/>
        <n v="10.03"/>
        <n v="3386.76"/>
        <n v="-526.33"/>
        <n v="78.08"/>
        <n v="0.2"/>
        <n v="-123.92"/>
        <n v="0.35"/>
        <n v="14"/>
        <n v="55.49"/>
        <n v="2752.15"/>
        <n v="0.17"/>
        <n v="-1365.58"/>
        <n v="898.59"/>
        <n v="9.03"/>
        <n v="209.94"/>
        <n v="49.89"/>
        <n v="509.3"/>
        <n v="-19.9"/>
        <n v="15.26"/>
        <n v="-3.38"/>
        <n v="850.02"/>
        <n v="-68.34"/>
        <n v="119.85"/>
        <n v="220.99"/>
        <n v="382.39"/>
        <n v="218.51"/>
        <n v="82.7"/>
        <n v="20.1"/>
        <n v="447.89"/>
        <n v="149.78"/>
        <n v="-199.26"/>
        <n v="9"/>
        <n v="46.56"/>
        <n v="12.33"/>
        <n v="20"/>
        <n v="14.9"/>
        <n v="9.89"/>
        <n v="7034.64"/>
        <n v="801.63"/>
        <n v="10"/>
        <n v="-75"/>
        <n v="-124.8"/>
        <n v="3590.46"/>
        <n v="40"/>
        <n v="85"/>
        <n v="268.43"/>
        <n v="11.91"/>
        <n v="41.63"/>
        <n v="44"/>
        <n v="85.32"/>
        <n v="231.18"/>
        <n v="2004.56"/>
        <n v="3.44"/>
        <n v="19.82"/>
        <n v="9.75"/>
        <n v="66.76"/>
        <n v="55"/>
        <n v="-10"/>
        <n v="29.62"/>
        <n v="12.14"/>
        <n v="504.06"/>
        <n v="189.99"/>
        <n v="78.53"/>
        <n v="24.66"/>
        <n v="1048.29"/>
        <n v="0.97"/>
        <n v="532.14"/>
        <n v="44.88"/>
        <n v="6"/>
        <n v="0.5"/>
        <n v="-232.65"/>
        <n v="0.28"/>
        <n v="48.76"/>
        <n v="80"/>
        <n v="10.72"/>
        <n v="30.32"/>
        <n v="5"/>
        <n v="232.75"/>
        <n v="11.64"/>
        <n v="116.79"/>
        <n v="16.6"/>
        <n v="-95.84"/>
        <n v="-252.5"/>
        <n v="58.8"/>
        <n v="128.93"/>
        <n v="915.33"/>
        <n v="87.65"/>
        <n v="-803.4"/>
        <n v="-30.01"/>
        <n v="14.98"/>
        <n v="9.23"/>
        <n v="3675.05"/>
        <n v="20.42"/>
        <n v="190.25"/>
        <n v="537.38"/>
        <n v="0.43"/>
        <n v="70"/>
        <n v="2348.8"/>
        <n v="89.45"/>
        <n v="49.94"/>
        <n v="110.4"/>
        <n v="862.6"/>
        <n v="22"/>
        <n v="-0.06"/>
        <n v="9.9"/>
        <n v="90.13"/>
        <n v="747.68"/>
        <n v="71.25"/>
        <m/>
      </sharedItems>
    </cacheField>
    <cacheField name="充值金额（usd）" numFmtId="0">
      <sharedItems containsString="0" containsBlank="1" containsNumber="1" minValue="0" maxValue="1169.23" count="83">
        <n v="0"/>
        <n v="4.62"/>
        <n v="4.31"/>
        <n v="51.92"/>
        <n v="26.92"/>
        <n v="0.38"/>
        <n v="10.77"/>
        <n v="31.23"/>
        <n v="947.69"/>
        <n v="0.08"/>
        <n v="1.54"/>
        <n v="1169.23"/>
        <n v="66.15"/>
        <n v="3.85"/>
        <n v="141.54"/>
        <n v="1.08"/>
        <n v="35"/>
        <n v="585.46"/>
        <n v="221.38"/>
        <n v="95.38"/>
        <n v="0.69"/>
        <n v="16.15"/>
        <n v="5.54"/>
        <n v="40"/>
        <n v="14.62"/>
        <n v="0.54"/>
        <n v="123.08"/>
        <n v="11.54"/>
        <n v="46.15"/>
        <n v="13.69"/>
        <n v="24.69"/>
        <n v="17.85"/>
        <n v="6.38"/>
        <n v="46"/>
        <n v="0.92"/>
        <n v="1.15"/>
        <n v="1.92"/>
        <n v="786.77"/>
        <n v="0.77"/>
        <n v="107.08"/>
        <n v="144.85"/>
        <n v="3.08"/>
        <n v="12.69"/>
        <n v="42.62"/>
        <n v="11.31"/>
        <n v="3.38"/>
        <n v="6.54"/>
        <n v="51.62"/>
        <n v="192.46"/>
        <n v="14.23"/>
        <n v="8.23"/>
        <n v="2.31"/>
        <n v="38.77"/>
        <n v="26.15"/>
        <n v="6.69"/>
        <n v="153.85"/>
        <n v="3.46"/>
        <n v="0.46"/>
        <n v="24.08"/>
        <n v="7.92"/>
        <n v="17.92"/>
        <n v="8.85"/>
        <n v="1.23"/>
        <n v="15.38"/>
        <n v="9.46"/>
        <n v="29.85"/>
        <n v="154"/>
        <n v="15.23"/>
        <n v="81.54"/>
        <n v="0.31"/>
        <n v="6.92"/>
        <n v="20"/>
        <n v="282.69"/>
        <n v="457.46"/>
        <n v="180.69"/>
        <n v="11.46"/>
        <n v="8.46"/>
        <n v="216.46"/>
        <n v="1.69"/>
        <n v="11.15"/>
        <n v="67.69"/>
        <n v="4.85"/>
        <m/>
      </sharedItems>
    </cacheField>
    <cacheField name="充值金额（本地货币）" numFmtId="0">
      <sharedItems containsString="0" containsBlank="1" containsNumber="1" containsInteger="1" minValue="0" maxValue="15200" count="83">
        <n v="0"/>
        <n v="60"/>
        <n v="56"/>
        <n v="675"/>
        <n v="350"/>
        <n v="5"/>
        <n v="140"/>
        <n v="406"/>
        <n v="12320"/>
        <n v="1"/>
        <n v="20"/>
        <n v="15200"/>
        <n v="860"/>
        <n v="50"/>
        <n v="1840"/>
        <n v="14"/>
        <n v="455"/>
        <n v="7611"/>
        <n v="2878"/>
        <n v="1240"/>
        <n v="9"/>
        <n v="210"/>
        <n v="72"/>
        <n v="520"/>
        <n v="190"/>
        <n v="7"/>
        <n v="1600"/>
        <n v="150"/>
        <n v="600"/>
        <n v="178"/>
        <n v="321"/>
        <n v="232"/>
        <n v="83"/>
        <n v="598"/>
        <n v="12"/>
        <n v="15"/>
        <n v="25"/>
        <n v="10228"/>
        <n v="10"/>
        <n v="1392"/>
        <n v="1883"/>
        <n v="40"/>
        <n v="165"/>
        <n v="554"/>
        <n v="147"/>
        <n v="44"/>
        <n v="85"/>
        <n v="671"/>
        <n v="2502"/>
        <n v="185"/>
        <n v="107"/>
        <n v="30"/>
        <n v="504"/>
        <n v="340"/>
        <n v="87"/>
        <n v="2000"/>
        <n v="45"/>
        <n v="6"/>
        <n v="313"/>
        <n v="103"/>
        <n v="233"/>
        <n v="115"/>
        <n v="16"/>
        <n v="200"/>
        <n v="123"/>
        <n v="388"/>
        <n v="2002"/>
        <n v="198"/>
        <n v="1060"/>
        <n v="4"/>
        <n v="90"/>
        <n v="260"/>
        <n v="3675"/>
        <n v="5947"/>
        <n v="2349"/>
        <n v="149"/>
        <n v="110"/>
        <n v="2814"/>
        <n v="22"/>
        <n v="145"/>
        <n v="880"/>
        <n v="63"/>
        <m/>
      </sharedItems>
    </cacheField>
    <cacheField name="提现金额（usd）" numFmtId="0">
      <sharedItems containsString="0" containsBlank="1" containsNumber="1" minValue="0" maxValue="1123.08" count="53">
        <n v="0"/>
        <n v="30"/>
        <n v="14.85"/>
        <n v="66"/>
        <n v="6.92"/>
        <n v="1123.08"/>
        <n v="117.08"/>
        <n v="151.38"/>
        <n v="31.15"/>
        <n v="373.77"/>
        <n v="357.85"/>
        <n v="23.08"/>
        <n v="1.69"/>
        <n v="3.08"/>
        <n v="15.38"/>
        <n v="1.08"/>
        <n v="57.69"/>
        <n v="16.77"/>
        <n v="36.92"/>
        <n v="11.54"/>
        <n v="101"/>
        <n v="7.92"/>
        <n v="1.54"/>
        <n v="1.15"/>
        <n v="538.46"/>
        <n v="112.85"/>
        <n v="6.15"/>
        <n v="46.15"/>
        <n v="33.85"/>
        <n v="91.15"/>
        <n v="13.46"/>
        <n v="0.69"/>
        <n v="73.15"/>
        <n v="10.77"/>
        <n v="42"/>
        <n v="12.08"/>
        <n v="6.85"/>
        <n v="130.77"/>
        <n v="43.31"/>
        <n v="4.92"/>
        <n v="19.92"/>
        <n v="83.54"/>
        <n v="8.46"/>
        <n v="146.15"/>
        <n v="0.31"/>
        <n v="9.23"/>
        <n v="50.77"/>
        <n v="416.08"/>
        <n v="7"/>
        <n v="187.31"/>
        <n v="4.23"/>
        <n v="16.08"/>
        <m/>
      </sharedItems>
    </cacheField>
    <cacheField name="提现金额（本地货币）" numFmtId="0">
      <sharedItems containsString="0" containsBlank="1" containsNumber="1" containsInteger="1" minValue="0" maxValue="14600" count="53">
        <n v="0"/>
        <n v="390"/>
        <n v="193"/>
        <n v="858"/>
        <n v="90"/>
        <n v="14600"/>
        <n v="1522"/>
        <n v="1968"/>
        <n v="405"/>
        <n v="4859"/>
        <n v="4652"/>
        <n v="300"/>
        <n v="22"/>
        <n v="40"/>
        <n v="200"/>
        <n v="14"/>
        <n v="750"/>
        <n v="218"/>
        <n v="480"/>
        <n v="150"/>
        <n v="1313"/>
        <n v="103"/>
        <n v="20"/>
        <n v="15"/>
        <n v="7000"/>
        <n v="1467"/>
        <n v="80"/>
        <n v="600"/>
        <n v="440"/>
        <n v="1185"/>
        <n v="175"/>
        <n v="9"/>
        <n v="951"/>
        <n v="140"/>
        <n v="546"/>
        <n v="157"/>
        <n v="89"/>
        <n v="1700"/>
        <n v="563"/>
        <n v="64"/>
        <n v="259"/>
        <n v="1086"/>
        <n v="110"/>
        <n v="1900"/>
        <n v="4"/>
        <n v="120"/>
        <n v="660"/>
        <n v="5409"/>
        <n v="91"/>
        <n v="2435"/>
        <n v="55"/>
        <n v="209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91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0"/>
    <x v="0"/>
    <x v="0"/>
    <x v="0"/>
    <x v="0"/>
    <x v="0"/>
    <x v="0"/>
    <x v="0"/>
    <x v="0"/>
    <x v="0"/>
    <x v="0"/>
    <x v="0"/>
    <x v="0"/>
  </r>
  <r>
    <x v="1"/>
    <x v="2"/>
    <x v="2"/>
    <x v="2"/>
    <x v="0"/>
    <x v="0"/>
    <x v="0"/>
    <x v="0"/>
    <x v="0"/>
    <x v="0"/>
    <x v="0"/>
    <x v="0"/>
    <x v="0"/>
    <x v="0"/>
    <x v="0"/>
    <x v="0"/>
    <x v="0"/>
  </r>
  <r>
    <x v="2"/>
    <x v="3"/>
    <x v="3"/>
    <x v="3"/>
    <x v="1"/>
    <x v="1"/>
    <x v="1"/>
    <x v="0"/>
    <x v="1"/>
    <x v="0"/>
    <x v="1"/>
    <x v="1"/>
    <x v="1"/>
    <x v="1"/>
    <x v="1"/>
    <x v="0"/>
    <x v="0"/>
  </r>
  <r>
    <x v="2"/>
    <x v="4"/>
    <x v="4"/>
    <x v="4"/>
    <x v="0"/>
    <x v="0"/>
    <x v="0"/>
    <x v="0"/>
    <x v="0"/>
    <x v="0"/>
    <x v="0"/>
    <x v="0"/>
    <x v="0"/>
    <x v="0"/>
    <x v="0"/>
    <x v="0"/>
    <x v="0"/>
  </r>
  <r>
    <x v="2"/>
    <x v="5"/>
    <x v="5"/>
    <x v="5"/>
    <x v="1"/>
    <x v="2"/>
    <x v="2"/>
    <x v="0"/>
    <x v="2"/>
    <x v="0"/>
    <x v="2"/>
    <x v="2"/>
    <x v="2"/>
    <x v="2"/>
    <x v="2"/>
    <x v="0"/>
    <x v="0"/>
  </r>
  <r>
    <x v="2"/>
    <x v="6"/>
    <x v="6"/>
    <x v="6"/>
    <x v="0"/>
    <x v="0"/>
    <x v="0"/>
    <x v="0"/>
    <x v="0"/>
    <x v="0"/>
    <x v="0"/>
    <x v="0"/>
    <x v="0"/>
    <x v="0"/>
    <x v="0"/>
    <x v="0"/>
    <x v="0"/>
  </r>
  <r>
    <x v="2"/>
    <x v="7"/>
    <x v="7"/>
    <x v="7"/>
    <x v="1"/>
    <x v="3"/>
    <x v="3"/>
    <x v="0"/>
    <x v="3"/>
    <x v="0"/>
    <x v="3"/>
    <x v="3"/>
    <x v="3"/>
    <x v="3"/>
    <x v="3"/>
    <x v="1"/>
    <x v="1"/>
  </r>
  <r>
    <x v="0"/>
    <x v="8"/>
    <x v="8"/>
    <x v="8"/>
    <x v="0"/>
    <x v="0"/>
    <x v="0"/>
    <x v="0"/>
    <x v="0"/>
    <x v="0"/>
    <x v="0"/>
    <x v="0"/>
    <x v="0"/>
    <x v="0"/>
    <x v="0"/>
    <x v="0"/>
    <x v="0"/>
  </r>
  <r>
    <x v="2"/>
    <x v="9"/>
    <x v="9"/>
    <x v="9"/>
    <x v="0"/>
    <x v="0"/>
    <x v="0"/>
    <x v="0"/>
    <x v="0"/>
    <x v="0"/>
    <x v="0"/>
    <x v="0"/>
    <x v="0"/>
    <x v="0"/>
    <x v="0"/>
    <x v="0"/>
    <x v="0"/>
  </r>
  <r>
    <x v="2"/>
    <x v="10"/>
    <x v="10"/>
    <x v="10"/>
    <x v="0"/>
    <x v="0"/>
    <x v="0"/>
    <x v="0"/>
    <x v="0"/>
    <x v="0"/>
    <x v="0"/>
    <x v="0"/>
    <x v="0"/>
    <x v="0"/>
    <x v="0"/>
    <x v="0"/>
    <x v="0"/>
  </r>
  <r>
    <x v="0"/>
    <x v="11"/>
    <x v="11"/>
    <x v="11"/>
    <x v="1"/>
    <x v="4"/>
    <x v="4"/>
    <x v="0"/>
    <x v="4"/>
    <x v="0"/>
    <x v="4"/>
    <x v="4"/>
    <x v="4"/>
    <x v="4"/>
    <x v="4"/>
    <x v="0"/>
    <x v="0"/>
  </r>
  <r>
    <x v="2"/>
    <x v="12"/>
    <x v="12"/>
    <x v="12"/>
    <x v="1"/>
    <x v="5"/>
    <x v="5"/>
    <x v="0"/>
    <x v="5"/>
    <x v="0"/>
    <x v="5"/>
    <x v="5"/>
    <x v="5"/>
    <x v="5"/>
    <x v="5"/>
    <x v="0"/>
    <x v="0"/>
  </r>
  <r>
    <x v="1"/>
    <x v="13"/>
    <x v="13"/>
    <x v="13"/>
    <x v="0"/>
    <x v="0"/>
    <x v="0"/>
    <x v="0"/>
    <x v="0"/>
    <x v="0"/>
    <x v="0"/>
    <x v="0"/>
    <x v="0"/>
    <x v="0"/>
    <x v="0"/>
    <x v="0"/>
    <x v="0"/>
  </r>
  <r>
    <x v="1"/>
    <x v="14"/>
    <x v="14"/>
    <x v="14"/>
    <x v="0"/>
    <x v="0"/>
    <x v="0"/>
    <x v="0"/>
    <x v="0"/>
    <x v="0"/>
    <x v="0"/>
    <x v="0"/>
    <x v="0"/>
    <x v="0"/>
    <x v="0"/>
    <x v="0"/>
    <x v="0"/>
  </r>
  <r>
    <x v="2"/>
    <x v="15"/>
    <x v="15"/>
    <x v="15"/>
    <x v="0"/>
    <x v="0"/>
    <x v="0"/>
    <x v="0"/>
    <x v="0"/>
    <x v="0"/>
    <x v="0"/>
    <x v="0"/>
    <x v="0"/>
    <x v="0"/>
    <x v="0"/>
    <x v="0"/>
    <x v="0"/>
  </r>
  <r>
    <x v="0"/>
    <x v="16"/>
    <x v="16"/>
    <x v="16"/>
    <x v="0"/>
    <x v="0"/>
    <x v="0"/>
    <x v="0"/>
    <x v="0"/>
    <x v="0"/>
    <x v="0"/>
    <x v="0"/>
    <x v="0"/>
    <x v="0"/>
    <x v="0"/>
    <x v="0"/>
    <x v="0"/>
  </r>
  <r>
    <x v="2"/>
    <x v="17"/>
    <x v="17"/>
    <x v="17"/>
    <x v="0"/>
    <x v="0"/>
    <x v="0"/>
    <x v="0"/>
    <x v="0"/>
    <x v="0"/>
    <x v="0"/>
    <x v="0"/>
    <x v="0"/>
    <x v="0"/>
    <x v="0"/>
    <x v="0"/>
    <x v="0"/>
  </r>
  <r>
    <x v="0"/>
    <x v="18"/>
    <x v="18"/>
    <x v="18"/>
    <x v="1"/>
    <x v="6"/>
    <x v="6"/>
    <x v="1"/>
    <x v="6"/>
    <x v="1"/>
    <x v="6"/>
    <x v="6"/>
    <x v="6"/>
    <x v="6"/>
    <x v="6"/>
    <x v="2"/>
    <x v="2"/>
  </r>
  <r>
    <x v="0"/>
    <x v="19"/>
    <x v="19"/>
    <x v="19"/>
    <x v="1"/>
    <x v="7"/>
    <x v="7"/>
    <x v="0"/>
    <x v="7"/>
    <x v="0"/>
    <x v="7"/>
    <x v="7"/>
    <x v="7"/>
    <x v="7"/>
    <x v="7"/>
    <x v="3"/>
    <x v="3"/>
  </r>
  <r>
    <x v="0"/>
    <x v="20"/>
    <x v="20"/>
    <x v="20"/>
    <x v="0"/>
    <x v="0"/>
    <x v="0"/>
    <x v="0"/>
    <x v="0"/>
    <x v="0"/>
    <x v="0"/>
    <x v="0"/>
    <x v="0"/>
    <x v="0"/>
    <x v="0"/>
    <x v="0"/>
    <x v="0"/>
  </r>
  <r>
    <x v="1"/>
    <x v="21"/>
    <x v="21"/>
    <x v="21"/>
    <x v="0"/>
    <x v="0"/>
    <x v="0"/>
    <x v="0"/>
    <x v="0"/>
    <x v="0"/>
    <x v="0"/>
    <x v="0"/>
    <x v="0"/>
    <x v="0"/>
    <x v="0"/>
    <x v="0"/>
    <x v="0"/>
  </r>
  <r>
    <x v="2"/>
    <x v="22"/>
    <x v="22"/>
    <x v="22"/>
    <x v="0"/>
    <x v="0"/>
    <x v="0"/>
    <x v="0"/>
    <x v="0"/>
    <x v="0"/>
    <x v="0"/>
    <x v="0"/>
    <x v="0"/>
    <x v="0"/>
    <x v="0"/>
    <x v="0"/>
    <x v="0"/>
  </r>
  <r>
    <x v="0"/>
    <x v="23"/>
    <x v="23"/>
    <x v="23"/>
    <x v="0"/>
    <x v="0"/>
    <x v="0"/>
    <x v="0"/>
    <x v="0"/>
    <x v="0"/>
    <x v="0"/>
    <x v="0"/>
    <x v="0"/>
    <x v="0"/>
    <x v="0"/>
    <x v="0"/>
    <x v="0"/>
  </r>
  <r>
    <x v="0"/>
    <x v="24"/>
    <x v="24"/>
    <x v="24"/>
    <x v="0"/>
    <x v="0"/>
    <x v="0"/>
    <x v="0"/>
    <x v="0"/>
    <x v="0"/>
    <x v="0"/>
    <x v="0"/>
    <x v="0"/>
    <x v="0"/>
    <x v="0"/>
    <x v="0"/>
    <x v="0"/>
  </r>
  <r>
    <x v="2"/>
    <x v="25"/>
    <x v="25"/>
    <x v="25"/>
    <x v="0"/>
    <x v="0"/>
    <x v="0"/>
    <x v="0"/>
    <x v="0"/>
    <x v="0"/>
    <x v="0"/>
    <x v="0"/>
    <x v="0"/>
    <x v="0"/>
    <x v="0"/>
    <x v="0"/>
    <x v="0"/>
  </r>
  <r>
    <x v="2"/>
    <x v="26"/>
    <x v="26"/>
    <x v="26"/>
    <x v="0"/>
    <x v="0"/>
    <x v="0"/>
    <x v="0"/>
    <x v="0"/>
    <x v="0"/>
    <x v="0"/>
    <x v="0"/>
    <x v="0"/>
    <x v="0"/>
    <x v="0"/>
    <x v="0"/>
    <x v="0"/>
  </r>
  <r>
    <x v="0"/>
    <x v="27"/>
    <x v="27"/>
    <x v="27"/>
    <x v="0"/>
    <x v="0"/>
    <x v="0"/>
    <x v="0"/>
    <x v="0"/>
    <x v="0"/>
    <x v="0"/>
    <x v="0"/>
    <x v="0"/>
    <x v="0"/>
    <x v="0"/>
    <x v="0"/>
    <x v="0"/>
  </r>
  <r>
    <x v="0"/>
    <x v="28"/>
    <x v="28"/>
    <x v="28"/>
    <x v="0"/>
    <x v="0"/>
    <x v="0"/>
    <x v="0"/>
    <x v="0"/>
    <x v="0"/>
    <x v="0"/>
    <x v="0"/>
    <x v="0"/>
    <x v="0"/>
    <x v="0"/>
    <x v="0"/>
    <x v="0"/>
  </r>
  <r>
    <x v="2"/>
    <x v="29"/>
    <x v="29"/>
    <x v="29"/>
    <x v="0"/>
    <x v="0"/>
    <x v="0"/>
    <x v="0"/>
    <x v="0"/>
    <x v="0"/>
    <x v="0"/>
    <x v="0"/>
    <x v="0"/>
    <x v="0"/>
    <x v="0"/>
    <x v="0"/>
    <x v="0"/>
  </r>
  <r>
    <x v="0"/>
    <x v="30"/>
    <x v="30"/>
    <x v="30"/>
    <x v="1"/>
    <x v="8"/>
    <x v="8"/>
    <x v="0"/>
    <x v="8"/>
    <x v="0"/>
    <x v="8"/>
    <x v="8"/>
    <x v="8"/>
    <x v="8"/>
    <x v="8"/>
    <x v="0"/>
    <x v="0"/>
  </r>
  <r>
    <x v="1"/>
    <x v="31"/>
    <x v="31"/>
    <x v="31"/>
    <x v="0"/>
    <x v="0"/>
    <x v="0"/>
    <x v="0"/>
    <x v="0"/>
    <x v="0"/>
    <x v="0"/>
    <x v="0"/>
    <x v="0"/>
    <x v="0"/>
    <x v="0"/>
    <x v="0"/>
    <x v="0"/>
  </r>
  <r>
    <x v="2"/>
    <x v="32"/>
    <x v="32"/>
    <x v="32"/>
    <x v="0"/>
    <x v="0"/>
    <x v="0"/>
    <x v="0"/>
    <x v="0"/>
    <x v="0"/>
    <x v="0"/>
    <x v="0"/>
    <x v="0"/>
    <x v="0"/>
    <x v="0"/>
    <x v="0"/>
    <x v="0"/>
  </r>
  <r>
    <x v="0"/>
    <x v="33"/>
    <x v="33"/>
    <x v="33"/>
    <x v="0"/>
    <x v="0"/>
    <x v="0"/>
    <x v="0"/>
    <x v="0"/>
    <x v="0"/>
    <x v="0"/>
    <x v="0"/>
    <x v="0"/>
    <x v="0"/>
    <x v="0"/>
    <x v="0"/>
    <x v="0"/>
  </r>
  <r>
    <x v="0"/>
    <x v="34"/>
    <x v="34"/>
    <x v="34"/>
    <x v="0"/>
    <x v="0"/>
    <x v="0"/>
    <x v="0"/>
    <x v="0"/>
    <x v="0"/>
    <x v="0"/>
    <x v="0"/>
    <x v="0"/>
    <x v="0"/>
    <x v="0"/>
    <x v="0"/>
    <x v="0"/>
  </r>
  <r>
    <x v="2"/>
    <x v="35"/>
    <x v="35"/>
    <x v="35"/>
    <x v="1"/>
    <x v="9"/>
    <x v="9"/>
    <x v="0"/>
    <x v="9"/>
    <x v="0"/>
    <x v="9"/>
    <x v="9"/>
    <x v="9"/>
    <x v="0"/>
    <x v="0"/>
    <x v="0"/>
    <x v="0"/>
  </r>
  <r>
    <x v="2"/>
    <x v="36"/>
    <x v="36"/>
    <x v="36"/>
    <x v="0"/>
    <x v="0"/>
    <x v="0"/>
    <x v="0"/>
    <x v="0"/>
    <x v="0"/>
    <x v="0"/>
    <x v="0"/>
    <x v="0"/>
    <x v="0"/>
    <x v="0"/>
    <x v="0"/>
    <x v="0"/>
  </r>
  <r>
    <x v="2"/>
    <x v="37"/>
    <x v="37"/>
    <x v="37"/>
    <x v="0"/>
    <x v="0"/>
    <x v="0"/>
    <x v="0"/>
    <x v="0"/>
    <x v="0"/>
    <x v="0"/>
    <x v="0"/>
    <x v="0"/>
    <x v="0"/>
    <x v="0"/>
    <x v="0"/>
    <x v="0"/>
  </r>
  <r>
    <x v="1"/>
    <x v="38"/>
    <x v="38"/>
    <x v="38"/>
    <x v="1"/>
    <x v="10"/>
    <x v="10"/>
    <x v="0"/>
    <x v="10"/>
    <x v="0"/>
    <x v="10"/>
    <x v="10"/>
    <x v="10"/>
    <x v="9"/>
    <x v="9"/>
    <x v="0"/>
    <x v="0"/>
  </r>
  <r>
    <x v="2"/>
    <x v="39"/>
    <x v="39"/>
    <x v="39"/>
    <x v="1"/>
    <x v="11"/>
    <x v="11"/>
    <x v="0"/>
    <x v="11"/>
    <x v="0"/>
    <x v="11"/>
    <x v="11"/>
    <x v="11"/>
    <x v="10"/>
    <x v="10"/>
    <x v="4"/>
    <x v="4"/>
  </r>
  <r>
    <x v="2"/>
    <x v="40"/>
    <x v="40"/>
    <x v="40"/>
    <x v="1"/>
    <x v="12"/>
    <x v="12"/>
    <x v="0"/>
    <x v="12"/>
    <x v="0"/>
    <x v="12"/>
    <x v="12"/>
    <x v="12"/>
    <x v="11"/>
    <x v="11"/>
    <x v="5"/>
    <x v="5"/>
  </r>
  <r>
    <x v="0"/>
    <x v="41"/>
    <x v="41"/>
    <x v="41"/>
    <x v="0"/>
    <x v="0"/>
    <x v="0"/>
    <x v="0"/>
    <x v="0"/>
    <x v="0"/>
    <x v="0"/>
    <x v="0"/>
    <x v="0"/>
    <x v="0"/>
    <x v="0"/>
    <x v="0"/>
    <x v="0"/>
  </r>
  <r>
    <x v="0"/>
    <x v="42"/>
    <x v="42"/>
    <x v="42"/>
    <x v="0"/>
    <x v="0"/>
    <x v="0"/>
    <x v="0"/>
    <x v="0"/>
    <x v="0"/>
    <x v="0"/>
    <x v="0"/>
    <x v="0"/>
    <x v="0"/>
    <x v="0"/>
    <x v="0"/>
    <x v="0"/>
  </r>
  <r>
    <x v="2"/>
    <x v="43"/>
    <x v="43"/>
    <x v="43"/>
    <x v="0"/>
    <x v="0"/>
    <x v="0"/>
    <x v="0"/>
    <x v="0"/>
    <x v="0"/>
    <x v="0"/>
    <x v="0"/>
    <x v="0"/>
    <x v="0"/>
    <x v="0"/>
    <x v="0"/>
    <x v="0"/>
  </r>
  <r>
    <x v="2"/>
    <x v="44"/>
    <x v="44"/>
    <x v="44"/>
    <x v="0"/>
    <x v="0"/>
    <x v="0"/>
    <x v="0"/>
    <x v="0"/>
    <x v="0"/>
    <x v="0"/>
    <x v="0"/>
    <x v="0"/>
    <x v="0"/>
    <x v="0"/>
    <x v="0"/>
    <x v="0"/>
  </r>
  <r>
    <x v="1"/>
    <x v="45"/>
    <x v="45"/>
    <x v="45"/>
    <x v="0"/>
    <x v="0"/>
    <x v="0"/>
    <x v="0"/>
    <x v="0"/>
    <x v="0"/>
    <x v="0"/>
    <x v="0"/>
    <x v="0"/>
    <x v="0"/>
    <x v="0"/>
    <x v="0"/>
    <x v="0"/>
  </r>
  <r>
    <x v="1"/>
    <x v="46"/>
    <x v="46"/>
    <x v="46"/>
    <x v="0"/>
    <x v="0"/>
    <x v="0"/>
    <x v="0"/>
    <x v="0"/>
    <x v="0"/>
    <x v="0"/>
    <x v="0"/>
    <x v="0"/>
    <x v="0"/>
    <x v="0"/>
    <x v="0"/>
    <x v="0"/>
  </r>
  <r>
    <x v="1"/>
    <x v="47"/>
    <x v="47"/>
    <x v="47"/>
    <x v="0"/>
    <x v="0"/>
    <x v="0"/>
    <x v="0"/>
    <x v="0"/>
    <x v="0"/>
    <x v="0"/>
    <x v="0"/>
    <x v="0"/>
    <x v="0"/>
    <x v="0"/>
    <x v="0"/>
    <x v="0"/>
  </r>
  <r>
    <x v="0"/>
    <x v="48"/>
    <x v="48"/>
    <x v="48"/>
    <x v="0"/>
    <x v="0"/>
    <x v="0"/>
    <x v="0"/>
    <x v="0"/>
    <x v="0"/>
    <x v="0"/>
    <x v="0"/>
    <x v="0"/>
    <x v="0"/>
    <x v="0"/>
    <x v="0"/>
    <x v="0"/>
  </r>
  <r>
    <x v="1"/>
    <x v="49"/>
    <x v="49"/>
    <x v="49"/>
    <x v="1"/>
    <x v="13"/>
    <x v="13"/>
    <x v="2"/>
    <x v="13"/>
    <x v="2"/>
    <x v="13"/>
    <x v="13"/>
    <x v="13"/>
    <x v="12"/>
    <x v="12"/>
    <x v="6"/>
    <x v="6"/>
  </r>
  <r>
    <x v="2"/>
    <x v="50"/>
    <x v="50"/>
    <x v="50"/>
    <x v="0"/>
    <x v="0"/>
    <x v="0"/>
    <x v="0"/>
    <x v="0"/>
    <x v="0"/>
    <x v="0"/>
    <x v="0"/>
    <x v="0"/>
    <x v="0"/>
    <x v="0"/>
    <x v="0"/>
    <x v="0"/>
  </r>
  <r>
    <x v="1"/>
    <x v="51"/>
    <x v="51"/>
    <x v="51"/>
    <x v="1"/>
    <x v="14"/>
    <x v="14"/>
    <x v="0"/>
    <x v="14"/>
    <x v="0"/>
    <x v="14"/>
    <x v="14"/>
    <x v="14"/>
    <x v="13"/>
    <x v="13"/>
    <x v="0"/>
    <x v="0"/>
  </r>
  <r>
    <x v="1"/>
    <x v="52"/>
    <x v="52"/>
    <x v="52"/>
    <x v="1"/>
    <x v="9"/>
    <x v="15"/>
    <x v="0"/>
    <x v="15"/>
    <x v="0"/>
    <x v="15"/>
    <x v="9"/>
    <x v="15"/>
    <x v="0"/>
    <x v="0"/>
    <x v="0"/>
    <x v="0"/>
  </r>
  <r>
    <x v="2"/>
    <x v="53"/>
    <x v="53"/>
    <x v="53"/>
    <x v="1"/>
    <x v="15"/>
    <x v="16"/>
    <x v="0"/>
    <x v="16"/>
    <x v="0"/>
    <x v="16"/>
    <x v="15"/>
    <x v="16"/>
    <x v="14"/>
    <x v="14"/>
    <x v="7"/>
    <x v="7"/>
  </r>
  <r>
    <x v="1"/>
    <x v="54"/>
    <x v="54"/>
    <x v="54"/>
    <x v="0"/>
    <x v="0"/>
    <x v="0"/>
    <x v="0"/>
    <x v="0"/>
    <x v="0"/>
    <x v="0"/>
    <x v="0"/>
    <x v="0"/>
    <x v="0"/>
    <x v="0"/>
    <x v="0"/>
    <x v="0"/>
  </r>
  <r>
    <x v="2"/>
    <x v="55"/>
    <x v="55"/>
    <x v="55"/>
    <x v="1"/>
    <x v="16"/>
    <x v="17"/>
    <x v="0"/>
    <x v="17"/>
    <x v="0"/>
    <x v="17"/>
    <x v="16"/>
    <x v="17"/>
    <x v="0"/>
    <x v="0"/>
    <x v="0"/>
    <x v="0"/>
  </r>
  <r>
    <x v="0"/>
    <x v="56"/>
    <x v="56"/>
    <x v="56"/>
    <x v="0"/>
    <x v="0"/>
    <x v="0"/>
    <x v="0"/>
    <x v="0"/>
    <x v="0"/>
    <x v="0"/>
    <x v="0"/>
    <x v="0"/>
    <x v="0"/>
    <x v="0"/>
    <x v="0"/>
    <x v="0"/>
  </r>
  <r>
    <x v="2"/>
    <x v="57"/>
    <x v="57"/>
    <x v="57"/>
    <x v="0"/>
    <x v="0"/>
    <x v="0"/>
    <x v="0"/>
    <x v="0"/>
    <x v="0"/>
    <x v="0"/>
    <x v="0"/>
    <x v="0"/>
    <x v="0"/>
    <x v="0"/>
    <x v="0"/>
    <x v="0"/>
  </r>
  <r>
    <x v="2"/>
    <x v="58"/>
    <x v="58"/>
    <x v="58"/>
    <x v="1"/>
    <x v="17"/>
    <x v="18"/>
    <x v="0"/>
    <x v="18"/>
    <x v="0"/>
    <x v="18"/>
    <x v="17"/>
    <x v="18"/>
    <x v="15"/>
    <x v="15"/>
    <x v="0"/>
    <x v="0"/>
  </r>
  <r>
    <x v="0"/>
    <x v="59"/>
    <x v="59"/>
    <x v="59"/>
    <x v="0"/>
    <x v="0"/>
    <x v="0"/>
    <x v="0"/>
    <x v="0"/>
    <x v="0"/>
    <x v="0"/>
    <x v="0"/>
    <x v="0"/>
    <x v="0"/>
    <x v="0"/>
    <x v="0"/>
    <x v="0"/>
  </r>
  <r>
    <x v="2"/>
    <x v="60"/>
    <x v="60"/>
    <x v="60"/>
    <x v="0"/>
    <x v="0"/>
    <x v="0"/>
    <x v="0"/>
    <x v="0"/>
    <x v="0"/>
    <x v="0"/>
    <x v="0"/>
    <x v="0"/>
    <x v="0"/>
    <x v="0"/>
    <x v="0"/>
    <x v="0"/>
  </r>
  <r>
    <x v="1"/>
    <x v="61"/>
    <x v="61"/>
    <x v="61"/>
    <x v="1"/>
    <x v="18"/>
    <x v="19"/>
    <x v="3"/>
    <x v="19"/>
    <x v="3"/>
    <x v="19"/>
    <x v="18"/>
    <x v="19"/>
    <x v="16"/>
    <x v="16"/>
    <x v="8"/>
    <x v="8"/>
  </r>
  <r>
    <x v="2"/>
    <x v="62"/>
    <x v="62"/>
    <x v="62"/>
    <x v="0"/>
    <x v="0"/>
    <x v="0"/>
    <x v="0"/>
    <x v="0"/>
    <x v="0"/>
    <x v="0"/>
    <x v="0"/>
    <x v="0"/>
    <x v="0"/>
    <x v="0"/>
    <x v="0"/>
    <x v="0"/>
  </r>
  <r>
    <x v="0"/>
    <x v="63"/>
    <x v="63"/>
    <x v="63"/>
    <x v="0"/>
    <x v="0"/>
    <x v="0"/>
    <x v="0"/>
    <x v="0"/>
    <x v="0"/>
    <x v="0"/>
    <x v="0"/>
    <x v="0"/>
    <x v="0"/>
    <x v="0"/>
    <x v="0"/>
    <x v="0"/>
  </r>
  <r>
    <x v="1"/>
    <x v="64"/>
    <x v="64"/>
    <x v="64"/>
    <x v="0"/>
    <x v="0"/>
    <x v="0"/>
    <x v="0"/>
    <x v="0"/>
    <x v="0"/>
    <x v="0"/>
    <x v="0"/>
    <x v="0"/>
    <x v="0"/>
    <x v="0"/>
    <x v="0"/>
    <x v="0"/>
  </r>
  <r>
    <x v="1"/>
    <x v="65"/>
    <x v="65"/>
    <x v="65"/>
    <x v="0"/>
    <x v="0"/>
    <x v="0"/>
    <x v="0"/>
    <x v="0"/>
    <x v="0"/>
    <x v="0"/>
    <x v="0"/>
    <x v="0"/>
    <x v="0"/>
    <x v="0"/>
    <x v="0"/>
    <x v="0"/>
  </r>
  <r>
    <x v="0"/>
    <x v="66"/>
    <x v="66"/>
    <x v="66"/>
    <x v="1"/>
    <x v="19"/>
    <x v="20"/>
    <x v="3"/>
    <x v="20"/>
    <x v="3"/>
    <x v="20"/>
    <x v="19"/>
    <x v="20"/>
    <x v="17"/>
    <x v="17"/>
    <x v="9"/>
    <x v="9"/>
  </r>
  <r>
    <x v="0"/>
    <x v="67"/>
    <x v="67"/>
    <x v="67"/>
    <x v="0"/>
    <x v="0"/>
    <x v="0"/>
    <x v="0"/>
    <x v="0"/>
    <x v="0"/>
    <x v="0"/>
    <x v="0"/>
    <x v="0"/>
    <x v="0"/>
    <x v="0"/>
    <x v="0"/>
    <x v="0"/>
  </r>
  <r>
    <x v="2"/>
    <x v="68"/>
    <x v="68"/>
    <x v="68"/>
    <x v="0"/>
    <x v="0"/>
    <x v="0"/>
    <x v="0"/>
    <x v="0"/>
    <x v="0"/>
    <x v="0"/>
    <x v="0"/>
    <x v="0"/>
    <x v="0"/>
    <x v="0"/>
    <x v="0"/>
    <x v="0"/>
  </r>
  <r>
    <x v="0"/>
    <x v="69"/>
    <x v="69"/>
    <x v="69"/>
    <x v="0"/>
    <x v="0"/>
    <x v="0"/>
    <x v="0"/>
    <x v="0"/>
    <x v="0"/>
    <x v="0"/>
    <x v="0"/>
    <x v="0"/>
    <x v="0"/>
    <x v="0"/>
    <x v="0"/>
    <x v="0"/>
  </r>
  <r>
    <x v="0"/>
    <x v="70"/>
    <x v="70"/>
    <x v="70"/>
    <x v="0"/>
    <x v="0"/>
    <x v="0"/>
    <x v="0"/>
    <x v="0"/>
    <x v="0"/>
    <x v="0"/>
    <x v="0"/>
    <x v="0"/>
    <x v="0"/>
    <x v="0"/>
    <x v="0"/>
    <x v="0"/>
  </r>
  <r>
    <x v="1"/>
    <x v="71"/>
    <x v="71"/>
    <x v="71"/>
    <x v="0"/>
    <x v="0"/>
    <x v="0"/>
    <x v="0"/>
    <x v="0"/>
    <x v="0"/>
    <x v="0"/>
    <x v="0"/>
    <x v="0"/>
    <x v="0"/>
    <x v="0"/>
    <x v="0"/>
    <x v="0"/>
  </r>
  <r>
    <x v="2"/>
    <x v="72"/>
    <x v="72"/>
    <x v="72"/>
    <x v="1"/>
    <x v="20"/>
    <x v="21"/>
    <x v="0"/>
    <x v="21"/>
    <x v="0"/>
    <x v="21"/>
    <x v="20"/>
    <x v="21"/>
    <x v="0"/>
    <x v="0"/>
    <x v="0"/>
    <x v="0"/>
  </r>
  <r>
    <x v="2"/>
    <x v="73"/>
    <x v="73"/>
    <x v="73"/>
    <x v="0"/>
    <x v="0"/>
    <x v="0"/>
    <x v="0"/>
    <x v="0"/>
    <x v="0"/>
    <x v="0"/>
    <x v="0"/>
    <x v="0"/>
    <x v="0"/>
    <x v="0"/>
    <x v="0"/>
    <x v="0"/>
  </r>
  <r>
    <x v="1"/>
    <x v="74"/>
    <x v="74"/>
    <x v="74"/>
    <x v="0"/>
    <x v="0"/>
    <x v="0"/>
    <x v="0"/>
    <x v="0"/>
    <x v="0"/>
    <x v="0"/>
    <x v="0"/>
    <x v="0"/>
    <x v="0"/>
    <x v="0"/>
    <x v="0"/>
    <x v="0"/>
  </r>
  <r>
    <x v="1"/>
    <x v="75"/>
    <x v="75"/>
    <x v="75"/>
    <x v="0"/>
    <x v="0"/>
    <x v="0"/>
    <x v="0"/>
    <x v="0"/>
    <x v="0"/>
    <x v="0"/>
    <x v="0"/>
    <x v="0"/>
    <x v="0"/>
    <x v="0"/>
    <x v="0"/>
    <x v="0"/>
  </r>
  <r>
    <x v="1"/>
    <x v="76"/>
    <x v="76"/>
    <x v="76"/>
    <x v="0"/>
    <x v="0"/>
    <x v="0"/>
    <x v="0"/>
    <x v="0"/>
    <x v="0"/>
    <x v="0"/>
    <x v="0"/>
    <x v="0"/>
    <x v="0"/>
    <x v="0"/>
    <x v="0"/>
    <x v="0"/>
  </r>
  <r>
    <x v="2"/>
    <x v="77"/>
    <x v="77"/>
    <x v="77"/>
    <x v="0"/>
    <x v="0"/>
    <x v="0"/>
    <x v="0"/>
    <x v="0"/>
    <x v="0"/>
    <x v="0"/>
    <x v="0"/>
    <x v="0"/>
    <x v="0"/>
    <x v="0"/>
    <x v="0"/>
    <x v="0"/>
  </r>
  <r>
    <x v="2"/>
    <x v="78"/>
    <x v="78"/>
    <x v="78"/>
    <x v="0"/>
    <x v="0"/>
    <x v="0"/>
    <x v="0"/>
    <x v="0"/>
    <x v="0"/>
    <x v="0"/>
    <x v="0"/>
    <x v="0"/>
    <x v="0"/>
    <x v="0"/>
    <x v="0"/>
    <x v="0"/>
  </r>
  <r>
    <x v="2"/>
    <x v="79"/>
    <x v="79"/>
    <x v="79"/>
    <x v="0"/>
    <x v="0"/>
    <x v="0"/>
    <x v="0"/>
    <x v="0"/>
    <x v="0"/>
    <x v="0"/>
    <x v="0"/>
    <x v="0"/>
    <x v="0"/>
    <x v="0"/>
    <x v="0"/>
    <x v="0"/>
  </r>
  <r>
    <x v="1"/>
    <x v="80"/>
    <x v="80"/>
    <x v="80"/>
    <x v="0"/>
    <x v="0"/>
    <x v="0"/>
    <x v="0"/>
    <x v="0"/>
    <x v="0"/>
    <x v="0"/>
    <x v="0"/>
    <x v="0"/>
    <x v="0"/>
    <x v="0"/>
    <x v="0"/>
    <x v="0"/>
  </r>
  <r>
    <x v="2"/>
    <x v="81"/>
    <x v="81"/>
    <x v="81"/>
    <x v="0"/>
    <x v="0"/>
    <x v="0"/>
    <x v="0"/>
    <x v="0"/>
    <x v="0"/>
    <x v="0"/>
    <x v="0"/>
    <x v="0"/>
    <x v="0"/>
    <x v="0"/>
    <x v="0"/>
    <x v="0"/>
  </r>
  <r>
    <x v="2"/>
    <x v="82"/>
    <x v="82"/>
    <x v="82"/>
    <x v="0"/>
    <x v="0"/>
    <x v="0"/>
    <x v="0"/>
    <x v="0"/>
    <x v="0"/>
    <x v="0"/>
    <x v="0"/>
    <x v="0"/>
    <x v="0"/>
    <x v="0"/>
    <x v="0"/>
    <x v="0"/>
  </r>
  <r>
    <x v="2"/>
    <x v="83"/>
    <x v="83"/>
    <x v="83"/>
    <x v="0"/>
    <x v="0"/>
    <x v="0"/>
    <x v="0"/>
    <x v="0"/>
    <x v="0"/>
    <x v="0"/>
    <x v="0"/>
    <x v="0"/>
    <x v="0"/>
    <x v="0"/>
    <x v="0"/>
    <x v="0"/>
  </r>
  <r>
    <x v="1"/>
    <x v="84"/>
    <x v="84"/>
    <x v="84"/>
    <x v="0"/>
    <x v="0"/>
    <x v="0"/>
    <x v="0"/>
    <x v="0"/>
    <x v="0"/>
    <x v="0"/>
    <x v="0"/>
    <x v="0"/>
    <x v="0"/>
    <x v="0"/>
    <x v="0"/>
    <x v="0"/>
  </r>
  <r>
    <x v="0"/>
    <x v="85"/>
    <x v="85"/>
    <x v="85"/>
    <x v="0"/>
    <x v="0"/>
    <x v="0"/>
    <x v="0"/>
    <x v="0"/>
    <x v="0"/>
    <x v="0"/>
    <x v="0"/>
    <x v="0"/>
    <x v="0"/>
    <x v="0"/>
    <x v="0"/>
    <x v="0"/>
  </r>
  <r>
    <x v="0"/>
    <x v="86"/>
    <x v="86"/>
    <x v="86"/>
    <x v="0"/>
    <x v="0"/>
    <x v="0"/>
    <x v="0"/>
    <x v="0"/>
    <x v="0"/>
    <x v="0"/>
    <x v="0"/>
    <x v="0"/>
    <x v="0"/>
    <x v="0"/>
    <x v="0"/>
    <x v="0"/>
  </r>
  <r>
    <x v="2"/>
    <x v="87"/>
    <x v="87"/>
    <x v="87"/>
    <x v="0"/>
    <x v="0"/>
    <x v="0"/>
    <x v="0"/>
    <x v="0"/>
    <x v="0"/>
    <x v="0"/>
    <x v="0"/>
    <x v="0"/>
    <x v="0"/>
    <x v="0"/>
    <x v="0"/>
    <x v="0"/>
  </r>
  <r>
    <x v="2"/>
    <x v="88"/>
    <x v="88"/>
    <x v="88"/>
    <x v="0"/>
    <x v="0"/>
    <x v="0"/>
    <x v="0"/>
    <x v="0"/>
    <x v="0"/>
    <x v="0"/>
    <x v="0"/>
    <x v="0"/>
    <x v="0"/>
    <x v="0"/>
    <x v="0"/>
    <x v="0"/>
  </r>
  <r>
    <x v="0"/>
    <x v="89"/>
    <x v="89"/>
    <x v="89"/>
    <x v="0"/>
    <x v="0"/>
    <x v="0"/>
    <x v="0"/>
    <x v="0"/>
    <x v="0"/>
    <x v="0"/>
    <x v="0"/>
    <x v="0"/>
    <x v="0"/>
    <x v="0"/>
    <x v="0"/>
    <x v="0"/>
  </r>
  <r>
    <x v="2"/>
    <x v="90"/>
    <x v="90"/>
    <x v="90"/>
    <x v="0"/>
    <x v="0"/>
    <x v="0"/>
    <x v="0"/>
    <x v="0"/>
    <x v="0"/>
    <x v="0"/>
    <x v="0"/>
    <x v="0"/>
    <x v="0"/>
    <x v="0"/>
    <x v="0"/>
    <x v="0"/>
  </r>
  <r>
    <x v="1"/>
    <x v="91"/>
    <x v="91"/>
    <x v="91"/>
    <x v="0"/>
    <x v="0"/>
    <x v="0"/>
    <x v="0"/>
    <x v="0"/>
    <x v="0"/>
    <x v="0"/>
    <x v="0"/>
    <x v="0"/>
    <x v="0"/>
    <x v="0"/>
    <x v="0"/>
    <x v="0"/>
  </r>
  <r>
    <x v="0"/>
    <x v="92"/>
    <x v="92"/>
    <x v="92"/>
    <x v="0"/>
    <x v="0"/>
    <x v="0"/>
    <x v="0"/>
    <x v="0"/>
    <x v="0"/>
    <x v="0"/>
    <x v="0"/>
    <x v="0"/>
    <x v="0"/>
    <x v="0"/>
    <x v="0"/>
    <x v="0"/>
  </r>
  <r>
    <x v="2"/>
    <x v="93"/>
    <x v="93"/>
    <x v="93"/>
    <x v="0"/>
    <x v="0"/>
    <x v="0"/>
    <x v="0"/>
    <x v="0"/>
    <x v="0"/>
    <x v="0"/>
    <x v="0"/>
    <x v="0"/>
    <x v="0"/>
    <x v="0"/>
    <x v="0"/>
    <x v="0"/>
  </r>
  <r>
    <x v="2"/>
    <x v="94"/>
    <x v="94"/>
    <x v="94"/>
    <x v="0"/>
    <x v="0"/>
    <x v="0"/>
    <x v="0"/>
    <x v="0"/>
    <x v="0"/>
    <x v="0"/>
    <x v="0"/>
    <x v="0"/>
    <x v="0"/>
    <x v="0"/>
    <x v="0"/>
    <x v="0"/>
  </r>
  <r>
    <x v="2"/>
    <x v="95"/>
    <x v="95"/>
    <x v="95"/>
    <x v="0"/>
    <x v="0"/>
    <x v="0"/>
    <x v="0"/>
    <x v="0"/>
    <x v="0"/>
    <x v="0"/>
    <x v="0"/>
    <x v="0"/>
    <x v="0"/>
    <x v="0"/>
    <x v="0"/>
    <x v="0"/>
  </r>
  <r>
    <x v="1"/>
    <x v="96"/>
    <x v="96"/>
    <x v="96"/>
    <x v="0"/>
    <x v="0"/>
    <x v="0"/>
    <x v="0"/>
    <x v="0"/>
    <x v="0"/>
    <x v="0"/>
    <x v="0"/>
    <x v="0"/>
    <x v="0"/>
    <x v="0"/>
    <x v="0"/>
    <x v="0"/>
  </r>
  <r>
    <x v="0"/>
    <x v="97"/>
    <x v="97"/>
    <x v="97"/>
    <x v="0"/>
    <x v="0"/>
    <x v="0"/>
    <x v="0"/>
    <x v="0"/>
    <x v="0"/>
    <x v="0"/>
    <x v="0"/>
    <x v="0"/>
    <x v="0"/>
    <x v="0"/>
    <x v="0"/>
    <x v="0"/>
  </r>
  <r>
    <x v="2"/>
    <x v="98"/>
    <x v="98"/>
    <x v="98"/>
    <x v="0"/>
    <x v="0"/>
    <x v="0"/>
    <x v="0"/>
    <x v="0"/>
    <x v="0"/>
    <x v="0"/>
    <x v="0"/>
    <x v="0"/>
    <x v="0"/>
    <x v="0"/>
    <x v="0"/>
    <x v="0"/>
  </r>
  <r>
    <x v="2"/>
    <x v="99"/>
    <x v="99"/>
    <x v="99"/>
    <x v="0"/>
    <x v="0"/>
    <x v="0"/>
    <x v="0"/>
    <x v="0"/>
    <x v="0"/>
    <x v="0"/>
    <x v="0"/>
    <x v="0"/>
    <x v="0"/>
    <x v="0"/>
    <x v="0"/>
    <x v="0"/>
  </r>
  <r>
    <x v="2"/>
    <x v="100"/>
    <x v="100"/>
    <x v="100"/>
    <x v="0"/>
    <x v="0"/>
    <x v="0"/>
    <x v="0"/>
    <x v="0"/>
    <x v="0"/>
    <x v="0"/>
    <x v="0"/>
    <x v="0"/>
    <x v="0"/>
    <x v="0"/>
    <x v="0"/>
    <x v="0"/>
  </r>
  <r>
    <x v="1"/>
    <x v="101"/>
    <x v="101"/>
    <x v="101"/>
    <x v="1"/>
    <x v="21"/>
    <x v="22"/>
    <x v="0"/>
    <x v="22"/>
    <x v="0"/>
    <x v="22"/>
    <x v="21"/>
    <x v="22"/>
    <x v="18"/>
    <x v="18"/>
    <x v="10"/>
    <x v="10"/>
  </r>
  <r>
    <x v="2"/>
    <x v="102"/>
    <x v="102"/>
    <x v="102"/>
    <x v="0"/>
    <x v="0"/>
    <x v="0"/>
    <x v="0"/>
    <x v="0"/>
    <x v="0"/>
    <x v="0"/>
    <x v="0"/>
    <x v="0"/>
    <x v="0"/>
    <x v="0"/>
    <x v="0"/>
    <x v="0"/>
  </r>
  <r>
    <x v="1"/>
    <x v="103"/>
    <x v="103"/>
    <x v="103"/>
    <x v="0"/>
    <x v="0"/>
    <x v="0"/>
    <x v="0"/>
    <x v="0"/>
    <x v="0"/>
    <x v="0"/>
    <x v="0"/>
    <x v="0"/>
    <x v="0"/>
    <x v="0"/>
    <x v="0"/>
    <x v="0"/>
  </r>
  <r>
    <x v="2"/>
    <x v="104"/>
    <x v="104"/>
    <x v="104"/>
    <x v="1"/>
    <x v="22"/>
    <x v="23"/>
    <x v="0"/>
    <x v="23"/>
    <x v="0"/>
    <x v="23"/>
    <x v="22"/>
    <x v="23"/>
    <x v="19"/>
    <x v="19"/>
    <x v="11"/>
    <x v="11"/>
  </r>
  <r>
    <x v="2"/>
    <x v="105"/>
    <x v="105"/>
    <x v="105"/>
    <x v="1"/>
    <x v="23"/>
    <x v="24"/>
    <x v="0"/>
    <x v="24"/>
    <x v="0"/>
    <x v="24"/>
    <x v="23"/>
    <x v="24"/>
    <x v="20"/>
    <x v="20"/>
    <x v="0"/>
    <x v="0"/>
  </r>
  <r>
    <x v="1"/>
    <x v="106"/>
    <x v="106"/>
    <x v="106"/>
    <x v="1"/>
    <x v="24"/>
    <x v="25"/>
    <x v="0"/>
    <x v="25"/>
    <x v="0"/>
    <x v="25"/>
    <x v="24"/>
    <x v="25"/>
    <x v="21"/>
    <x v="21"/>
    <x v="0"/>
    <x v="0"/>
  </r>
  <r>
    <x v="1"/>
    <x v="107"/>
    <x v="107"/>
    <x v="107"/>
    <x v="0"/>
    <x v="0"/>
    <x v="0"/>
    <x v="0"/>
    <x v="0"/>
    <x v="0"/>
    <x v="0"/>
    <x v="0"/>
    <x v="0"/>
    <x v="0"/>
    <x v="0"/>
    <x v="0"/>
    <x v="0"/>
  </r>
  <r>
    <x v="1"/>
    <x v="108"/>
    <x v="108"/>
    <x v="108"/>
    <x v="0"/>
    <x v="0"/>
    <x v="0"/>
    <x v="0"/>
    <x v="0"/>
    <x v="0"/>
    <x v="0"/>
    <x v="0"/>
    <x v="0"/>
    <x v="0"/>
    <x v="0"/>
    <x v="0"/>
    <x v="0"/>
  </r>
  <r>
    <x v="1"/>
    <x v="109"/>
    <x v="109"/>
    <x v="109"/>
    <x v="0"/>
    <x v="0"/>
    <x v="0"/>
    <x v="0"/>
    <x v="0"/>
    <x v="0"/>
    <x v="0"/>
    <x v="0"/>
    <x v="0"/>
    <x v="0"/>
    <x v="0"/>
    <x v="0"/>
    <x v="0"/>
  </r>
  <r>
    <x v="1"/>
    <x v="110"/>
    <x v="110"/>
    <x v="110"/>
    <x v="0"/>
    <x v="0"/>
    <x v="0"/>
    <x v="0"/>
    <x v="0"/>
    <x v="0"/>
    <x v="0"/>
    <x v="0"/>
    <x v="0"/>
    <x v="0"/>
    <x v="0"/>
    <x v="0"/>
    <x v="0"/>
  </r>
  <r>
    <x v="1"/>
    <x v="111"/>
    <x v="111"/>
    <x v="111"/>
    <x v="0"/>
    <x v="0"/>
    <x v="0"/>
    <x v="0"/>
    <x v="0"/>
    <x v="0"/>
    <x v="0"/>
    <x v="0"/>
    <x v="0"/>
    <x v="0"/>
    <x v="0"/>
    <x v="0"/>
    <x v="0"/>
  </r>
  <r>
    <x v="0"/>
    <x v="112"/>
    <x v="112"/>
    <x v="112"/>
    <x v="0"/>
    <x v="0"/>
    <x v="0"/>
    <x v="0"/>
    <x v="0"/>
    <x v="0"/>
    <x v="0"/>
    <x v="0"/>
    <x v="0"/>
    <x v="0"/>
    <x v="0"/>
    <x v="0"/>
    <x v="0"/>
  </r>
  <r>
    <x v="2"/>
    <x v="113"/>
    <x v="113"/>
    <x v="113"/>
    <x v="0"/>
    <x v="0"/>
    <x v="0"/>
    <x v="0"/>
    <x v="0"/>
    <x v="0"/>
    <x v="0"/>
    <x v="0"/>
    <x v="0"/>
    <x v="0"/>
    <x v="0"/>
    <x v="0"/>
    <x v="0"/>
  </r>
  <r>
    <x v="0"/>
    <x v="114"/>
    <x v="114"/>
    <x v="114"/>
    <x v="1"/>
    <x v="25"/>
    <x v="26"/>
    <x v="0"/>
    <x v="26"/>
    <x v="0"/>
    <x v="26"/>
    <x v="25"/>
    <x v="26"/>
    <x v="22"/>
    <x v="22"/>
    <x v="12"/>
    <x v="12"/>
  </r>
  <r>
    <x v="0"/>
    <x v="115"/>
    <x v="115"/>
    <x v="115"/>
    <x v="0"/>
    <x v="0"/>
    <x v="0"/>
    <x v="0"/>
    <x v="0"/>
    <x v="0"/>
    <x v="0"/>
    <x v="0"/>
    <x v="0"/>
    <x v="0"/>
    <x v="0"/>
    <x v="0"/>
    <x v="0"/>
  </r>
  <r>
    <x v="1"/>
    <x v="116"/>
    <x v="116"/>
    <x v="116"/>
    <x v="0"/>
    <x v="0"/>
    <x v="0"/>
    <x v="0"/>
    <x v="0"/>
    <x v="0"/>
    <x v="0"/>
    <x v="0"/>
    <x v="0"/>
    <x v="0"/>
    <x v="0"/>
    <x v="0"/>
    <x v="0"/>
  </r>
  <r>
    <x v="0"/>
    <x v="117"/>
    <x v="117"/>
    <x v="117"/>
    <x v="0"/>
    <x v="0"/>
    <x v="0"/>
    <x v="0"/>
    <x v="0"/>
    <x v="0"/>
    <x v="0"/>
    <x v="0"/>
    <x v="0"/>
    <x v="0"/>
    <x v="0"/>
    <x v="0"/>
    <x v="0"/>
  </r>
  <r>
    <x v="1"/>
    <x v="118"/>
    <x v="118"/>
    <x v="118"/>
    <x v="0"/>
    <x v="0"/>
    <x v="0"/>
    <x v="0"/>
    <x v="0"/>
    <x v="0"/>
    <x v="0"/>
    <x v="0"/>
    <x v="0"/>
    <x v="0"/>
    <x v="0"/>
    <x v="0"/>
    <x v="0"/>
  </r>
  <r>
    <x v="1"/>
    <x v="119"/>
    <x v="119"/>
    <x v="119"/>
    <x v="0"/>
    <x v="0"/>
    <x v="0"/>
    <x v="0"/>
    <x v="0"/>
    <x v="0"/>
    <x v="0"/>
    <x v="0"/>
    <x v="0"/>
    <x v="0"/>
    <x v="0"/>
    <x v="0"/>
    <x v="0"/>
  </r>
  <r>
    <x v="0"/>
    <x v="120"/>
    <x v="120"/>
    <x v="120"/>
    <x v="0"/>
    <x v="0"/>
    <x v="0"/>
    <x v="0"/>
    <x v="0"/>
    <x v="0"/>
    <x v="0"/>
    <x v="0"/>
    <x v="0"/>
    <x v="0"/>
    <x v="0"/>
    <x v="0"/>
    <x v="0"/>
  </r>
  <r>
    <x v="1"/>
    <x v="121"/>
    <x v="121"/>
    <x v="121"/>
    <x v="0"/>
    <x v="0"/>
    <x v="0"/>
    <x v="0"/>
    <x v="0"/>
    <x v="0"/>
    <x v="0"/>
    <x v="0"/>
    <x v="0"/>
    <x v="0"/>
    <x v="0"/>
    <x v="0"/>
    <x v="0"/>
  </r>
  <r>
    <x v="0"/>
    <x v="122"/>
    <x v="122"/>
    <x v="122"/>
    <x v="0"/>
    <x v="0"/>
    <x v="0"/>
    <x v="0"/>
    <x v="0"/>
    <x v="0"/>
    <x v="0"/>
    <x v="0"/>
    <x v="0"/>
    <x v="0"/>
    <x v="0"/>
    <x v="0"/>
    <x v="0"/>
  </r>
  <r>
    <x v="2"/>
    <x v="123"/>
    <x v="123"/>
    <x v="123"/>
    <x v="0"/>
    <x v="0"/>
    <x v="0"/>
    <x v="0"/>
    <x v="0"/>
    <x v="0"/>
    <x v="0"/>
    <x v="0"/>
    <x v="0"/>
    <x v="0"/>
    <x v="0"/>
    <x v="0"/>
    <x v="0"/>
  </r>
  <r>
    <x v="1"/>
    <x v="124"/>
    <x v="124"/>
    <x v="124"/>
    <x v="0"/>
    <x v="0"/>
    <x v="0"/>
    <x v="0"/>
    <x v="0"/>
    <x v="0"/>
    <x v="0"/>
    <x v="0"/>
    <x v="0"/>
    <x v="0"/>
    <x v="0"/>
    <x v="0"/>
    <x v="0"/>
  </r>
  <r>
    <x v="0"/>
    <x v="125"/>
    <x v="125"/>
    <x v="125"/>
    <x v="0"/>
    <x v="0"/>
    <x v="0"/>
    <x v="0"/>
    <x v="0"/>
    <x v="0"/>
    <x v="0"/>
    <x v="0"/>
    <x v="0"/>
    <x v="0"/>
    <x v="0"/>
    <x v="0"/>
    <x v="0"/>
  </r>
  <r>
    <x v="0"/>
    <x v="126"/>
    <x v="126"/>
    <x v="126"/>
    <x v="0"/>
    <x v="0"/>
    <x v="0"/>
    <x v="0"/>
    <x v="0"/>
    <x v="0"/>
    <x v="0"/>
    <x v="0"/>
    <x v="0"/>
    <x v="0"/>
    <x v="0"/>
    <x v="0"/>
    <x v="0"/>
  </r>
  <r>
    <x v="0"/>
    <x v="127"/>
    <x v="127"/>
    <x v="127"/>
    <x v="0"/>
    <x v="0"/>
    <x v="0"/>
    <x v="0"/>
    <x v="0"/>
    <x v="0"/>
    <x v="0"/>
    <x v="0"/>
    <x v="0"/>
    <x v="0"/>
    <x v="0"/>
    <x v="0"/>
    <x v="0"/>
  </r>
  <r>
    <x v="1"/>
    <x v="128"/>
    <x v="128"/>
    <x v="128"/>
    <x v="0"/>
    <x v="0"/>
    <x v="0"/>
    <x v="0"/>
    <x v="0"/>
    <x v="0"/>
    <x v="0"/>
    <x v="0"/>
    <x v="0"/>
    <x v="0"/>
    <x v="0"/>
    <x v="0"/>
    <x v="0"/>
  </r>
  <r>
    <x v="2"/>
    <x v="129"/>
    <x v="129"/>
    <x v="129"/>
    <x v="0"/>
    <x v="0"/>
    <x v="0"/>
    <x v="0"/>
    <x v="0"/>
    <x v="0"/>
    <x v="0"/>
    <x v="0"/>
    <x v="0"/>
    <x v="0"/>
    <x v="0"/>
    <x v="0"/>
    <x v="0"/>
  </r>
  <r>
    <x v="2"/>
    <x v="130"/>
    <x v="130"/>
    <x v="130"/>
    <x v="0"/>
    <x v="0"/>
    <x v="0"/>
    <x v="0"/>
    <x v="0"/>
    <x v="0"/>
    <x v="0"/>
    <x v="0"/>
    <x v="0"/>
    <x v="0"/>
    <x v="0"/>
    <x v="0"/>
    <x v="0"/>
  </r>
  <r>
    <x v="0"/>
    <x v="131"/>
    <x v="131"/>
    <x v="131"/>
    <x v="0"/>
    <x v="0"/>
    <x v="0"/>
    <x v="0"/>
    <x v="0"/>
    <x v="0"/>
    <x v="0"/>
    <x v="0"/>
    <x v="0"/>
    <x v="0"/>
    <x v="0"/>
    <x v="0"/>
    <x v="0"/>
  </r>
  <r>
    <x v="2"/>
    <x v="132"/>
    <x v="132"/>
    <x v="132"/>
    <x v="0"/>
    <x v="0"/>
    <x v="0"/>
    <x v="0"/>
    <x v="0"/>
    <x v="0"/>
    <x v="0"/>
    <x v="0"/>
    <x v="0"/>
    <x v="0"/>
    <x v="0"/>
    <x v="0"/>
    <x v="0"/>
  </r>
  <r>
    <x v="0"/>
    <x v="133"/>
    <x v="133"/>
    <x v="133"/>
    <x v="1"/>
    <x v="26"/>
    <x v="27"/>
    <x v="0"/>
    <x v="27"/>
    <x v="0"/>
    <x v="27"/>
    <x v="26"/>
    <x v="27"/>
    <x v="23"/>
    <x v="23"/>
    <x v="0"/>
    <x v="0"/>
  </r>
  <r>
    <x v="2"/>
    <x v="134"/>
    <x v="134"/>
    <x v="134"/>
    <x v="0"/>
    <x v="0"/>
    <x v="0"/>
    <x v="0"/>
    <x v="0"/>
    <x v="0"/>
    <x v="0"/>
    <x v="0"/>
    <x v="0"/>
    <x v="0"/>
    <x v="0"/>
    <x v="0"/>
    <x v="0"/>
  </r>
  <r>
    <x v="0"/>
    <x v="135"/>
    <x v="135"/>
    <x v="135"/>
    <x v="0"/>
    <x v="0"/>
    <x v="0"/>
    <x v="0"/>
    <x v="0"/>
    <x v="0"/>
    <x v="0"/>
    <x v="0"/>
    <x v="0"/>
    <x v="0"/>
    <x v="0"/>
    <x v="0"/>
    <x v="0"/>
  </r>
  <r>
    <x v="1"/>
    <x v="136"/>
    <x v="136"/>
    <x v="136"/>
    <x v="0"/>
    <x v="0"/>
    <x v="0"/>
    <x v="0"/>
    <x v="0"/>
    <x v="0"/>
    <x v="0"/>
    <x v="0"/>
    <x v="0"/>
    <x v="0"/>
    <x v="0"/>
    <x v="0"/>
    <x v="0"/>
  </r>
  <r>
    <x v="2"/>
    <x v="137"/>
    <x v="137"/>
    <x v="137"/>
    <x v="1"/>
    <x v="27"/>
    <x v="28"/>
    <x v="0"/>
    <x v="28"/>
    <x v="0"/>
    <x v="28"/>
    <x v="27"/>
    <x v="28"/>
    <x v="10"/>
    <x v="10"/>
    <x v="13"/>
    <x v="13"/>
  </r>
  <r>
    <x v="2"/>
    <x v="138"/>
    <x v="138"/>
    <x v="138"/>
    <x v="0"/>
    <x v="0"/>
    <x v="0"/>
    <x v="0"/>
    <x v="0"/>
    <x v="0"/>
    <x v="0"/>
    <x v="0"/>
    <x v="0"/>
    <x v="0"/>
    <x v="0"/>
    <x v="0"/>
    <x v="0"/>
  </r>
  <r>
    <x v="1"/>
    <x v="139"/>
    <x v="139"/>
    <x v="139"/>
    <x v="0"/>
    <x v="0"/>
    <x v="0"/>
    <x v="0"/>
    <x v="0"/>
    <x v="0"/>
    <x v="0"/>
    <x v="0"/>
    <x v="0"/>
    <x v="0"/>
    <x v="0"/>
    <x v="0"/>
    <x v="0"/>
  </r>
  <r>
    <x v="0"/>
    <x v="140"/>
    <x v="140"/>
    <x v="140"/>
    <x v="0"/>
    <x v="0"/>
    <x v="0"/>
    <x v="0"/>
    <x v="0"/>
    <x v="0"/>
    <x v="0"/>
    <x v="0"/>
    <x v="0"/>
    <x v="0"/>
    <x v="0"/>
    <x v="0"/>
    <x v="0"/>
  </r>
  <r>
    <x v="2"/>
    <x v="141"/>
    <x v="141"/>
    <x v="141"/>
    <x v="0"/>
    <x v="0"/>
    <x v="0"/>
    <x v="0"/>
    <x v="0"/>
    <x v="0"/>
    <x v="0"/>
    <x v="0"/>
    <x v="0"/>
    <x v="0"/>
    <x v="0"/>
    <x v="0"/>
    <x v="0"/>
  </r>
  <r>
    <x v="2"/>
    <x v="142"/>
    <x v="142"/>
    <x v="142"/>
    <x v="0"/>
    <x v="0"/>
    <x v="0"/>
    <x v="0"/>
    <x v="0"/>
    <x v="0"/>
    <x v="0"/>
    <x v="0"/>
    <x v="0"/>
    <x v="0"/>
    <x v="0"/>
    <x v="0"/>
    <x v="0"/>
  </r>
  <r>
    <x v="1"/>
    <x v="143"/>
    <x v="143"/>
    <x v="143"/>
    <x v="1"/>
    <x v="28"/>
    <x v="29"/>
    <x v="0"/>
    <x v="29"/>
    <x v="0"/>
    <x v="29"/>
    <x v="28"/>
    <x v="29"/>
    <x v="24"/>
    <x v="24"/>
    <x v="14"/>
    <x v="14"/>
  </r>
  <r>
    <x v="2"/>
    <x v="144"/>
    <x v="144"/>
    <x v="144"/>
    <x v="0"/>
    <x v="0"/>
    <x v="0"/>
    <x v="0"/>
    <x v="0"/>
    <x v="0"/>
    <x v="0"/>
    <x v="0"/>
    <x v="0"/>
    <x v="0"/>
    <x v="0"/>
    <x v="0"/>
    <x v="0"/>
  </r>
  <r>
    <x v="2"/>
    <x v="145"/>
    <x v="145"/>
    <x v="145"/>
    <x v="0"/>
    <x v="0"/>
    <x v="0"/>
    <x v="0"/>
    <x v="0"/>
    <x v="0"/>
    <x v="0"/>
    <x v="0"/>
    <x v="0"/>
    <x v="0"/>
    <x v="0"/>
    <x v="0"/>
    <x v="0"/>
  </r>
  <r>
    <x v="2"/>
    <x v="146"/>
    <x v="146"/>
    <x v="146"/>
    <x v="0"/>
    <x v="0"/>
    <x v="0"/>
    <x v="0"/>
    <x v="0"/>
    <x v="0"/>
    <x v="0"/>
    <x v="0"/>
    <x v="0"/>
    <x v="0"/>
    <x v="0"/>
    <x v="0"/>
    <x v="0"/>
  </r>
  <r>
    <x v="0"/>
    <x v="147"/>
    <x v="147"/>
    <x v="147"/>
    <x v="0"/>
    <x v="0"/>
    <x v="0"/>
    <x v="0"/>
    <x v="0"/>
    <x v="0"/>
    <x v="0"/>
    <x v="0"/>
    <x v="0"/>
    <x v="0"/>
    <x v="0"/>
    <x v="0"/>
    <x v="0"/>
  </r>
  <r>
    <x v="0"/>
    <x v="148"/>
    <x v="148"/>
    <x v="148"/>
    <x v="0"/>
    <x v="0"/>
    <x v="0"/>
    <x v="0"/>
    <x v="0"/>
    <x v="0"/>
    <x v="0"/>
    <x v="0"/>
    <x v="0"/>
    <x v="0"/>
    <x v="0"/>
    <x v="0"/>
    <x v="0"/>
  </r>
  <r>
    <x v="0"/>
    <x v="149"/>
    <x v="149"/>
    <x v="149"/>
    <x v="0"/>
    <x v="0"/>
    <x v="0"/>
    <x v="0"/>
    <x v="0"/>
    <x v="0"/>
    <x v="0"/>
    <x v="0"/>
    <x v="0"/>
    <x v="0"/>
    <x v="0"/>
    <x v="0"/>
    <x v="0"/>
  </r>
  <r>
    <x v="1"/>
    <x v="150"/>
    <x v="150"/>
    <x v="150"/>
    <x v="0"/>
    <x v="0"/>
    <x v="0"/>
    <x v="0"/>
    <x v="0"/>
    <x v="0"/>
    <x v="0"/>
    <x v="0"/>
    <x v="0"/>
    <x v="0"/>
    <x v="0"/>
    <x v="0"/>
    <x v="0"/>
  </r>
  <r>
    <x v="1"/>
    <x v="151"/>
    <x v="151"/>
    <x v="151"/>
    <x v="0"/>
    <x v="0"/>
    <x v="0"/>
    <x v="0"/>
    <x v="0"/>
    <x v="0"/>
    <x v="0"/>
    <x v="0"/>
    <x v="0"/>
    <x v="0"/>
    <x v="0"/>
    <x v="0"/>
    <x v="0"/>
  </r>
  <r>
    <x v="0"/>
    <x v="152"/>
    <x v="152"/>
    <x v="152"/>
    <x v="0"/>
    <x v="0"/>
    <x v="0"/>
    <x v="0"/>
    <x v="0"/>
    <x v="0"/>
    <x v="0"/>
    <x v="0"/>
    <x v="0"/>
    <x v="0"/>
    <x v="0"/>
    <x v="0"/>
    <x v="0"/>
  </r>
  <r>
    <x v="2"/>
    <x v="153"/>
    <x v="153"/>
    <x v="153"/>
    <x v="0"/>
    <x v="0"/>
    <x v="0"/>
    <x v="0"/>
    <x v="0"/>
    <x v="0"/>
    <x v="0"/>
    <x v="0"/>
    <x v="0"/>
    <x v="0"/>
    <x v="0"/>
    <x v="0"/>
    <x v="0"/>
  </r>
  <r>
    <x v="0"/>
    <x v="154"/>
    <x v="154"/>
    <x v="154"/>
    <x v="0"/>
    <x v="0"/>
    <x v="0"/>
    <x v="0"/>
    <x v="0"/>
    <x v="0"/>
    <x v="0"/>
    <x v="0"/>
    <x v="0"/>
    <x v="0"/>
    <x v="0"/>
    <x v="0"/>
    <x v="0"/>
  </r>
  <r>
    <x v="1"/>
    <x v="155"/>
    <x v="155"/>
    <x v="155"/>
    <x v="0"/>
    <x v="0"/>
    <x v="0"/>
    <x v="0"/>
    <x v="0"/>
    <x v="0"/>
    <x v="0"/>
    <x v="0"/>
    <x v="0"/>
    <x v="0"/>
    <x v="0"/>
    <x v="0"/>
    <x v="0"/>
  </r>
  <r>
    <x v="1"/>
    <x v="156"/>
    <x v="156"/>
    <x v="156"/>
    <x v="1"/>
    <x v="29"/>
    <x v="30"/>
    <x v="0"/>
    <x v="30"/>
    <x v="0"/>
    <x v="30"/>
    <x v="29"/>
    <x v="30"/>
    <x v="25"/>
    <x v="25"/>
    <x v="15"/>
    <x v="15"/>
  </r>
  <r>
    <x v="0"/>
    <x v="157"/>
    <x v="157"/>
    <x v="157"/>
    <x v="0"/>
    <x v="0"/>
    <x v="0"/>
    <x v="0"/>
    <x v="0"/>
    <x v="0"/>
    <x v="0"/>
    <x v="0"/>
    <x v="0"/>
    <x v="0"/>
    <x v="0"/>
    <x v="0"/>
    <x v="0"/>
  </r>
  <r>
    <x v="1"/>
    <x v="158"/>
    <x v="158"/>
    <x v="158"/>
    <x v="1"/>
    <x v="30"/>
    <x v="31"/>
    <x v="0"/>
    <x v="31"/>
    <x v="0"/>
    <x v="31"/>
    <x v="30"/>
    <x v="31"/>
    <x v="26"/>
    <x v="26"/>
    <x v="16"/>
    <x v="16"/>
  </r>
  <r>
    <x v="0"/>
    <x v="159"/>
    <x v="159"/>
    <x v="159"/>
    <x v="0"/>
    <x v="0"/>
    <x v="0"/>
    <x v="0"/>
    <x v="0"/>
    <x v="0"/>
    <x v="0"/>
    <x v="0"/>
    <x v="0"/>
    <x v="0"/>
    <x v="0"/>
    <x v="0"/>
    <x v="0"/>
  </r>
  <r>
    <x v="2"/>
    <x v="160"/>
    <x v="160"/>
    <x v="160"/>
    <x v="0"/>
    <x v="0"/>
    <x v="0"/>
    <x v="0"/>
    <x v="0"/>
    <x v="0"/>
    <x v="0"/>
    <x v="0"/>
    <x v="0"/>
    <x v="0"/>
    <x v="0"/>
    <x v="0"/>
    <x v="0"/>
  </r>
  <r>
    <x v="1"/>
    <x v="161"/>
    <x v="161"/>
    <x v="161"/>
    <x v="0"/>
    <x v="0"/>
    <x v="0"/>
    <x v="0"/>
    <x v="0"/>
    <x v="0"/>
    <x v="0"/>
    <x v="0"/>
    <x v="0"/>
    <x v="0"/>
    <x v="0"/>
    <x v="0"/>
    <x v="0"/>
  </r>
  <r>
    <x v="1"/>
    <x v="162"/>
    <x v="162"/>
    <x v="162"/>
    <x v="0"/>
    <x v="0"/>
    <x v="0"/>
    <x v="0"/>
    <x v="0"/>
    <x v="0"/>
    <x v="0"/>
    <x v="0"/>
    <x v="0"/>
    <x v="0"/>
    <x v="0"/>
    <x v="0"/>
    <x v="0"/>
  </r>
  <r>
    <x v="0"/>
    <x v="163"/>
    <x v="163"/>
    <x v="163"/>
    <x v="0"/>
    <x v="0"/>
    <x v="0"/>
    <x v="0"/>
    <x v="0"/>
    <x v="0"/>
    <x v="0"/>
    <x v="0"/>
    <x v="0"/>
    <x v="0"/>
    <x v="0"/>
    <x v="0"/>
    <x v="0"/>
  </r>
  <r>
    <x v="1"/>
    <x v="164"/>
    <x v="164"/>
    <x v="164"/>
    <x v="1"/>
    <x v="31"/>
    <x v="32"/>
    <x v="4"/>
    <x v="32"/>
    <x v="4"/>
    <x v="32"/>
    <x v="31"/>
    <x v="32"/>
    <x v="27"/>
    <x v="27"/>
    <x v="17"/>
    <x v="17"/>
  </r>
  <r>
    <x v="2"/>
    <x v="165"/>
    <x v="165"/>
    <x v="165"/>
    <x v="0"/>
    <x v="0"/>
    <x v="0"/>
    <x v="0"/>
    <x v="0"/>
    <x v="0"/>
    <x v="0"/>
    <x v="0"/>
    <x v="0"/>
    <x v="0"/>
    <x v="0"/>
    <x v="0"/>
    <x v="0"/>
  </r>
  <r>
    <x v="2"/>
    <x v="166"/>
    <x v="166"/>
    <x v="166"/>
    <x v="0"/>
    <x v="0"/>
    <x v="0"/>
    <x v="0"/>
    <x v="0"/>
    <x v="0"/>
    <x v="0"/>
    <x v="0"/>
    <x v="0"/>
    <x v="0"/>
    <x v="0"/>
    <x v="0"/>
    <x v="0"/>
  </r>
  <r>
    <x v="0"/>
    <x v="167"/>
    <x v="167"/>
    <x v="167"/>
    <x v="0"/>
    <x v="0"/>
    <x v="0"/>
    <x v="0"/>
    <x v="0"/>
    <x v="0"/>
    <x v="0"/>
    <x v="0"/>
    <x v="0"/>
    <x v="0"/>
    <x v="0"/>
    <x v="0"/>
    <x v="0"/>
  </r>
  <r>
    <x v="1"/>
    <x v="168"/>
    <x v="168"/>
    <x v="168"/>
    <x v="0"/>
    <x v="0"/>
    <x v="0"/>
    <x v="0"/>
    <x v="0"/>
    <x v="0"/>
    <x v="0"/>
    <x v="0"/>
    <x v="0"/>
    <x v="0"/>
    <x v="0"/>
    <x v="0"/>
    <x v="0"/>
  </r>
  <r>
    <x v="2"/>
    <x v="169"/>
    <x v="169"/>
    <x v="169"/>
    <x v="1"/>
    <x v="32"/>
    <x v="33"/>
    <x v="0"/>
    <x v="33"/>
    <x v="0"/>
    <x v="33"/>
    <x v="32"/>
    <x v="33"/>
    <x v="28"/>
    <x v="28"/>
    <x v="18"/>
    <x v="18"/>
  </r>
  <r>
    <x v="0"/>
    <x v="170"/>
    <x v="170"/>
    <x v="170"/>
    <x v="0"/>
    <x v="0"/>
    <x v="0"/>
    <x v="0"/>
    <x v="0"/>
    <x v="0"/>
    <x v="0"/>
    <x v="0"/>
    <x v="0"/>
    <x v="0"/>
    <x v="0"/>
    <x v="0"/>
    <x v="0"/>
  </r>
  <r>
    <x v="1"/>
    <x v="171"/>
    <x v="171"/>
    <x v="171"/>
    <x v="0"/>
    <x v="0"/>
    <x v="0"/>
    <x v="0"/>
    <x v="0"/>
    <x v="0"/>
    <x v="0"/>
    <x v="0"/>
    <x v="0"/>
    <x v="0"/>
    <x v="0"/>
    <x v="0"/>
    <x v="0"/>
  </r>
  <r>
    <x v="0"/>
    <x v="172"/>
    <x v="172"/>
    <x v="172"/>
    <x v="0"/>
    <x v="0"/>
    <x v="0"/>
    <x v="0"/>
    <x v="0"/>
    <x v="0"/>
    <x v="0"/>
    <x v="0"/>
    <x v="0"/>
    <x v="0"/>
    <x v="0"/>
    <x v="0"/>
    <x v="0"/>
  </r>
  <r>
    <x v="2"/>
    <x v="173"/>
    <x v="173"/>
    <x v="173"/>
    <x v="0"/>
    <x v="0"/>
    <x v="0"/>
    <x v="0"/>
    <x v="0"/>
    <x v="0"/>
    <x v="0"/>
    <x v="0"/>
    <x v="0"/>
    <x v="0"/>
    <x v="0"/>
    <x v="0"/>
    <x v="0"/>
  </r>
  <r>
    <x v="0"/>
    <x v="174"/>
    <x v="174"/>
    <x v="174"/>
    <x v="0"/>
    <x v="0"/>
    <x v="0"/>
    <x v="0"/>
    <x v="0"/>
    <x v="0"/>
    <x v="0"/>
    <x v="0"/>
    <x v="0"/>
    <x v="0"/>
    <x v="0"/>
    <x v="0"/>
    <x v="0"/>
  </r>
  <r>
    <x v="1"/>
    <x v="175"/>
    <x v="175"/>
    <x v="175"/>
    <x v="0"/>
    <x v="0"/>
    <x v="0"/>
    <x v="0"/>
    <x v="0"/>
    <x v="0"/>
    <x v="0"/>
    <x v="0"/>
    <x v="0"/>
    <x v="0"/>
    <x v="0"/>
    <x v="0"/>
    <x v="0"/>
  </r>
  <r>
    <x v="1"/>
    <x v="176"/>
    <x v="176"/>
    <x v="176"/>
    <x v="0"/>
    <x v="0"/>
    <x v="0"/>
    <x v="0"/>
    <x v="0"/>
    <x v="0"/>
    <x v="0"/>
    <x v="0"/>
    <x v="0"/>
    <x v="0"/>
    <x v="0"/>
    <x v="0"/>
    <x v="0"/>
  </r>
  <r>
    <x v="1"/>
    <x v="177"/>
    <x v="177"/>
    <x v="177"/>
    <x v="0"/>
    <x v="0"/>
    <x v="0"/>
    <x v="0"/>
    <x v="0"/>
    <x v="0"/>
    <x v="0"/>
    <x v="0"/>
    <x v="0"/>
    <x v="0"/>
    <x v="0"/>
    <x v="0"/>
    <x v="0"/>
  </r>
  <r>
    <x v="1"/>
    <x v="178"/>
    <x v="178"/>
    <x v="178"/>
    <x v="0"/>
    <x v="0"/>
    <x v="0"/>
    <x v="0"/>
    <x v="0"/>
    <x v="0"/>
    <x v="0"/>
    <x v="0"/>
    <x v="0"/>
    <x v="0"/>
    <x v="0"/>
    <x v="0"/>
    <x v="0"/>
  </r>
  <r>
    <x v="1"/>
    <x v="179"/>
    <x v="179"/>
    <x v="179"/>
    <x v="0"/>
    <x v="0"/>
    <x v="0"/>
    <x v="0"/>
    <x v="0"/>
    <x v="0"/>
    <x v="0"/>
    <x v="0"/>
    <x v="0"/>
    <x v="0"/>
    <x v="0"/>
    <x v="0"/>
    <x v="0"/>
  </r>
  <r>
    <x v="2"/>
    <x v="180"/>
    <x v="180"/>
    <x v="180"/>
    <x v="1"/>
    <x v="33"/>
    <x v="34"/>
    <x v="0"/>
    <x v="34"/>
    <x v="0"/>
    <x v="34"/>
    <x v="33"/>
    <x v="34"/>
    <x v="29"/>
    <x v="29"/>
    <x v="0"/>
    <x v="0"/>
  </r>
  <r>
    <x v="1"/>
    <x v="181"/>
    <x v="181"/>
    <x v="181"/>
    <x v="0"/>
    <x v="0"/>
    <x v="0"/>
    <x v="0"/>
    <x v="0"/>
    <x v="0"/>
    <x v="0"/>
    <x v="0"/>
    <x v="0"/>
    <x v="0"/>
    <x v="0"/>
    <x v="0"/>
    <x v="0"/>
  </r>
  <r>
    <x v="2"/>
    <x v="182"/>
    <x v="182"/>
    <x v="182"/>
    <x v="0"/>
    <x v="0"/>
    <x v="0"/>
    <x v="0"/>
    <x v="0"/>
    <x v="0"/>
    <x v="0"/>
    <x v="0"/>
    <x v="0"/>
    <x v="0"/>
    <x v="0"/>
    <x v="0"/>
    <x v="0"/>
  </r>
  <r>
    <x v="2"/>
    <x v="183"/>
    <x v="183"/>
    <x v="183"/>
    <x v="0"/>
    <x v="0"/>
    <x v="0"/>
    <x v="0"/>
    <x v="0"/>
    <x v="0"/>
    <x v="0"/>
    <x v="0"/>
    <x v="0"/>
    <x v="0"/>
    <x v="0"/>
    <x v="0"/>
    <x v="0"/>
  </r>
  <r>
    <x v="1"/>
    <x v="184"/>
    <x v="184"/>
    <x v="184"/>
    <x v="0"/>
    <x v="0"/>
    <x v="0"/>
    <x v="0"/>
    <x v="0"/>
    <x v="0"/>
    <x v="0"/>
    <x v="0"/>
    <x v="0"/>
    <x v="0"/>
    <x v="0"/>
    <x v="0"/>
    <x v="0"/>
  </r>
  <r>
    <x v="2"/>
    <x v="185"/>
    <x v="185"/>
    <x v="185"/>
    <x v="0"/>
    <x v="0"/>
    <x v="0"/>
    <x v="0"/>
    <x v="0"/>
    <x v="0"/>
    <x v="0"/>
    <x v="0"/>
    <x v="0"/>
    <x v="0"/>
    <x v="0"/>
    <x v="0"/>
    <x v="0"/>
  </r>
  <r>
    <x v="0"/>
    <x v="186"/>
    <x v="186"/>
    <x v="186"/>
    <x v="0"/>
    <x v="0"/>
    <x v="0"/>
    <x v="0"/>
    <x v="0"/>
    <x v="0"/>
    <x v="0"/>
    <x v="0"/>
    <x v="0"/>
    <x v="0"/>
    <x v="0"/>
    <x v="0"/>
    <x v="0"/>
  </r>
  <r>
    <x v="1"/>
    <x v="187"/>
    <x v="187"/>
    <x v="187"/>
    <x v="0"/>
    <x v="0"/>
    <x v="0"/>
    <x v="0"/>
    <x v="0"/>
    <x v="0"/>
    <x v="0"/>
    <x v="0"/>
    <x v="0"/>
    <x v="0"/>
    <x v="0"/>
    <x v="0"/>
    <x v="0"/>
  </r>
  <r>
    <x v="1"/>
    <x v="188"/>
    <x v="188"/>
    <x v="188"/>
    <x v="1"/>
    <x v="34"/>
    <x v="35"/>
    <x v="0"/>
    <x v="35"/>
    <x v="0"/>
    <x v="35"/>
    <x v="34"/>
    <x v="35"/>
    <x v="30"/>
    <x v="30"/>
    <x v="0"/>
    <x v="0"/>
  </r>
  <r>
    <x v="0"/>
    <x v="189"/>
    <x v="189"/>
    <x v="189"/>
    <x v="0"/>
    <x v="0"/>
    <x v="0"/>
    <x v="0"/>
    <x v="0"/>
    <x v="0"/>
    <x v="0"/>
    <x v="0"/>
    <x v="0"/>
    <x v="0"/>
    <x v="0"/>
    <x v="0"/>
    <x v="0"/>
  </r>
  <r>
    <x v="1"/>
    <x v="190"/>
    <x v="190"/>
    <x v="190"/>
    <x v="1"/>
    <x v="35"/>
    <x v="36"/>
    <x v="0"/>
    <x v="36"/>
    <x v="0"/>
    <x v="36"/>
    <x v="35"/>
    <x v="36"/>
    <x v="31"/>
    <x v="31"/>
    <x v="11"/>
    <x v="11"/>
  </r>
  <r>
    <x v="2"/>
    <x v="191"/>
    <x v="191"/>
    <x v="191"/>
    <x v="0"/>
    <x v="0"/>
    <x v="0"/>
    <x v="0"/>
    <x v="0"/>
    <x v="0"/>
    <x v="0"/>
    <x v="0"/>
    <x v="0"/>
    <x v="0"/>
    <x v="0"/>
    <x v="0"/>
    <x v="0"/>
  </r>
  <r>
    <x v="1"/>
    <x v="192"/>
    <x v="192"/>
    <x v="192"/>
    <x v="0"/>
    <x v="0"/>
    <x v="0"/>
    <x v="0"/>
    <x v="0"/>
    <x v="0"/>
    <x v="0"/>
    <x v="0"/>
    <x v="0"/>
    <x v="0"/>
    <x v="0"/>
    <x v="0"/>
    <x v="0"/>
  </r>
  <r>
    <x v="2"/>
    <x v="193"/>
    <x v="193"/>
    <x v="193"/>
    <x v="0"/>
    <x v="0"/>
    <x v="0"/>
    <x v="0"/>
    <x v="0"/>
    <x v="0"/>
    <x v="0"/>
    <x v="0"/>
    <x v="0"/>
    <x v="0"/>
    <x v="0"/>
    <x v="0"/>
    <x v="0"/>
  </r>
  <r>
    <x v="2"/>
    <x v="194"/>
    <x v="194"/>
    <x v="194"/>
    <x v="0"/>
    <x v="0"/>
    <x v="0"/>
    <x v="0"/>
    <x v="0"/>
    <x v="0"/>
    <x v="0"/>
    <x v="0"/>
    <x v="0"/>
    <x v="0"/>
    <x v="0"/>
    <x v="0"/>
    <x v="0"/>
  </r>
  <r>
    <x v="1"/>
    <x v="195"/>
    <x v="195"/>
    <x v="195"/>
    <x v="0"/>
    <x v="0"/>
    <x v="0"/>
    <x v="0"/>
    <x v="0"/>
    <x v="0"/>
    <x v="0"/>
    <x v="0"/>
    <x v="0"/>
    <x v="0"/>
    <x v="0"/>
    <x v="0"/>
    <x v="0"/>
  </r>
  <r>
    <x v="1"/>
    <x v="196"/>
    <x v="196"/>
    <x v="196"/>
    <x v="0"/>
    <x v="0"/>
    <x v="0"/>
    <x v="0"/>
    <x v="0"/>
    <x v="0"/>
    <x v="0"/>
    <x v="0"/>
    <x v="0"/>
    <x v="0"/>
    <x v="0"/>
    <x v="0"/>
    <x v="0"/>
  </r>
  <r>
    <x v="2"/>
    <x v="197"/>
    <x v="197"/>
    <x v="197"/>
    <x v="0"/>
    <x v="0"/>
    <x v="0"/>
    <x v="0"/>
    <x v="0"/>
    <x v="0"/>
    <x v="0"/>
    <x v="0"/>
    <x v="0"/>
    <x v="0"/>
    <x v="0"/>
    <x v="0"/>
    <x v="0"/>
  </r>
  <r>
    <x v="2"/>
    <x v="198"/>
    <x v="198"/>
    <x v="198"/>
    <x v="0"/>
    <x v="0"/>
    <x v="0"/>
    <x v="0"/>
    <x v="0"/>
    <x v="0"/>
    <x v="0"/>
    <x v="0"/>
    <x v="0"/>
    <x v="0"/>
    <x v="0"/>
    <x v="0"/>
    <x v="0"/>
  </r>
  <r>
    <x v="1"/>
    <x v="199"/>
    <x v="199"/>
    <x v="199"/>
    <x v="0"/>
    <x v="0"/>
    <x v="0"/>
    <x v="0"/>
    <x v="0"/>
    <x v="0"/>
    <x v="0"/>
    <x v="0"/>
    <x v="0"/>
    <x v="0"/>
    <x v="0"/>
    <x v="0"/>
    <x v="0"/>
  </r>
  <r>
    <x v="1"/>
    <x v="200"/>
    <x v="200"/>
    <x v="200"/>
    <x v="0"/>
    <x v="0"/>
    <x v="0"/>
    <x v="0"/>
    <x v="0"/>
    <x v="0"/>
    <x v="0"/>
    <x v="0"/>
    <x v="0"/>
    <x v="0"/>
    <x v="0"/>
    <x v="0"/>
    <x v="0"/>
  </r>
  <r>
    <x v="2"/>
    <x v="201"/>
    <x v="201"/>
    <x v="201"/>
    <x v="0"/>
    <x v="0"/>
    <x v="0"/>
    <x v="0"/>
    <x v="0"/>
    <x v="0"/>
    <x v="0"/>
    <x v="0"/>
    <x v="0"/>
    <x v="0"/>
    <x v="0"/>
    <x v="0"/>
    <x v="0"/>
  </r>
  <r>
    <x v="2"/>
    <x v="202"/>
    <x v="202"/>
    <x v="202"/>
    <x v="0"/>
    <x v="0"/>
    <x v="0"/>
    <x v="0"/>
    <x v="0"/>
    <x v="0"/>
    <x v="0"/>
    <x v="0"/>
    <x v="0"/>
    <x v="0"/>
    <x v="0"/>
    <x v="0"/>
    <x v="0"/>
  </r>
  <r>
    <x v="0"/>
    <x v="203"/>
    <x v="203"/>
    <x v="203"/>
    <x v="1"/>
    <x v="36"/>
    <x v="37"/>
    <x v="0"/>
    <x v="37"/>
    <x v="0"/>
    <x v="37"/>
    <x v="36"/>
    <x v="37"/>
    <x v="32"/>
    <x v="32"/>
    <x v="0"/>
    <x v="0"/>
  </r>
  <r>
    <x v="2"/>
    <x v="204"/>
    <x v="204"/>
    <x v="204"/>
    <x v="1"/>
    <x v="37"/>
    <x v="38"/>
    <x v="0"/>
    <x v="38"/>
    <x v="0"/>
    <x v="38"/>
    <x v="37"/>
    <x v="38"/>
    <x v="10"/>
    <x v="10"/>
    <x v="0"/>
    <x v="0"/>
  </r>
  <r>
    <x v="2"/>
    <x v="205"/>
    <x v="205"/>
    <x v="205"/>
    <x v="1"/>
    <x v="38"/>
    <x v="39"/>
    <x v="5"/>
    <x v="39"/>
    <x v="5"/>
    <x v="39"/>
    <x v="38"/>
    <x v="39"/>
    <x v="33"/>
    <x v="33"/>
    <x v="19"/>
    <x v="19"/>
  </r>
  <r>
    <x v="0"/>
    <x v="206"/>
    <x v="206"/>
    <x v="206"/>
    <x v="0"/>
    <x v="0"/>
    <x v="0"/>
    <x v="0"/>
    <x v="0"/>
    <x v="0"/>
    <x v="0"/>
    <x v="0"/>
    <x v="0"/>
    <x v="0"/>
    <x v="0"/>
    <x v="0"/>
    <x v="0"/>
  </r>
  <r>
    <x v="2"/>
    <x v="207"/>
    <x v="207"/>
    <x v="207"/>
    <x v="0"/>
    <x v="0"/>
    <x v="0"/>
    <x v="0"/>
    <x v="0"/>
    <x v="0"/>
    <x v="0"/>
    <x v="0"/>
    <x v="0"/>
    <x v="0"/>
    <x v="0"/>
    <x v="0"/>
    <x v="0"/>
  </r>
  <r>
    <x v="1"/>
    <x v="208"/>
    <x v="208"/>
    <x v="208"/>
    <x v="0"/>
    <x v="0"/>
    <x v="0"/>
    <x v="0"/>
    <x v="0"/>
    <x v="0"/>
    <x v="0"/>
    <x v="0"/>
    <x v="0"/>
    <x v="0"/>
    <x v="0"/>
    <x v="0"/>
    <x v="0"/>
  </r>
  <r>
    <x v="2"/>
    <x v="209"/>
    <x v="209"/>
    <x v="209"/>
    <x v="0"/>
    <x v="0"/>
    <x v="0"/>
    <x v="0"/>
    <x v="0"/>
    <x v="0"/>
    <x v="0"/>
    <x v="0"/>
    <x v="0"/>
    <x v="0"/>
    <x v="0"/>
    <x v="0"/>
    <x v="0"/>
  </r>
  <r>
    <x v="1"/>
    <x v="210"/>
    <x v="210"/>
    <x v="210"/>
    <x v="1"/>
    <x v="39"/>
    <x v="40"/>
    <x v="0"/>
    <x v="40"/>
    <x v="0"/>
    <x v="40"/>
    <x v="39"/>
    <x v="40"/>
    <x v="27"/>
    <x v="27"/>
    <x v="0"/>
    <x v="0"/>
  </r>
  <r>
    <x v="2"/>
    <x v="211"/>
    <x v="211"/>
    <x v="211"/>
    <x v="1"/>
    <x v="40"/>
    <x v="41"/>
    <x v="0"/>
    <x v="41"/>
    <x v="0"/>
    <x v="41"/>
    <x v="40"/>
    <x v="41"/>
    <x v="4"/>
    <x v="4"/>
    <x v="20"/>
    <x v="20"/>
  </r>
  <r>
    <x v="1"/>
    <x v="212"/>
    <x v="212"/>
    <x v="212"/>
    <x v="0"/>
    <x v="0"/>
    <x v="0"/>
    <x v="0"/>
    <x v="0"/>
    <x v="0"/>
    <x v="0"/>
    <x v="0"/>
    <x v="0"/>
    <x v="0"/>
    <x v="0"/>
    <x v="0"/>
    <x v="0"/>
  </r>
  <r>
    <x v="1"/>
    <x v="213"/>
    <x v="213"/>
    <x v="213"/>
    <x v="0"/>
    <x v="0"/>
    <x v="0"/>
    <x v="0"/>
    <x v="0"/>
    <x v="0"/>
    <x v="0"/>
    <x v="0"/>
    <x v="0"/>
    <x v="0"/>
    <x v="0"/>
    <x v="0"/>
    <x v="0"/>
  </r>
  <r>
    <x v="0"/>
    <x v="214"/>
    <x v="214"/>
    <x v="214"/>
    <x v="1"/>
    <x v="23"/>
    <x v="42"/>
    <x v="0"/>
    <x v="42"/>
    <x v="0"/>
    <x v="42"/>
    <x v="23"/>
    <x v="42"/>
    <x v="20"/>
    <x v="20"/>
    <x v="0"/>
    <x v="0"/>
  </r>
  <r>
    <x v="1"/>
    <x v="215"/>
    <x v="215"/>
    <x v="215"/>
    <x v="1"/>
    <x v="41"/>
    <x v="43"/>
    <x v="0"/>
    <x v="43"/>
    <x v="0"/>
    <x v="43"/>
    <x v="41"/>
    <x v="43"/>
    <x v="27"/>
    <x v="27"/>
    <x v="21"/>
    <x v="21"/>
  </r>
  <r>
    <x v="2"/>
    <x v="216"/>
    <x v="216"/>
    <x v="216"/>
    <x v="0"/>
    <x v="0"/>
    <x v="0"/>
    <x v="0"/>
    <x v="0"/>
    <x v="0"/>
    <x v="0"/>
    <x v="0"/>
    <x v="0"/>
    <x v="0"/>
    <x v="0"/>
    <x v="0"/>
    <x v="0"/>
  </r>
  <r>
    <x v="1"/>
    <x v="217"/>
    <x v="217"/>
    <x v="217"/>
    <x v="0"/>
    <x v="0"/>
    <x v="0"/>
    <x v="0"/>
    <x v="0"/>
    <x v="0"/>
    <x v="0"/>
    <x v="0"/>
    <x v="0"/>
    <x v="0"/>
    <x v="0"/>
    <x v="0"/>
    <x v="0"/>
  </r>
  <r>
    <x v="0"/>
    <x v="218"/>
    <x v="218"/>
    <x v="218"/>
    <x v="1"/>
    <x v="42"/>
    <x v="44"/>
    <x v="0"/>
    <x v="44"/>
    <x v="0"/>
    <x v="44"/>
    <x v="42"/>
    <x v="44"/>
    <x v="34"/>
    <x v="34"/>
    <x v="0"/>
    <x v="0"/>
  </r>
  <r>
    <x v="2"/>
    <x v="219"/>
    <x v="219"/>
    <x v="219"/>
    <x v="1"/>
    <x v="43"/>
    <x v="45"/>
    <x v="0"/>
    <x v="45"/>
    <x v="0"/>
    <x v="45"/>
    <x v="43"/>
    <x v="45"/>
    <x v="10"/>
    <x v="10"/>
    <x v="22"/>
    <x v="22"/>
  </r>
  <r>
    <x v="1"/>
    <x v="220"/>
    <x v="220"/>
    <x v="220"/>
    <x v="1"/>
    <x v="44"/>
    <x v="46"/>
    <x v="0"/>
    <x v="46"/>
    <x v="0"/>
    <x v="46"/>
    <x v="44"/>
    <x v="46"/>
    <x v="35"/>
    <x v="35"/>
    <x v="0"/>
    <x v="0"/>
  </r>
  <r>
    <x v="1"/>
    <x v="221"/>
    <x v="221"/>
    <x v="221"/>
    <x v="0"/>
    <x v="0"/>
    <x v="0"/>
    <x v="0"/>
    <x v="0"/>
    <x v="0"/>
    <x v="0"/>
    <x v="0"/>
    <x v="0"/>
    <x v="0"/>
    <x v="0"/>
    <x v="0"/>
    <x v="0"/>
  </r>
  <r>
    <x v="1"/>
    <x v="222"/>
    <x v="222"/>
    <x v="222"/>
    <x v="0"/>
    <x v="0"/>
    <x v="0"/>
    <x v="0"/>
    <x v="0"/>
    <x v="0"/>
    <x v="0"/>
    <x v="0"/>
    <x v="0"/>
    <x v="0"/>
    <x v="0"/>
    <x v="0"/>
    <x v="0"/>
  </r>
  <r>
    <x v="2"/>
    <x v="223"/>
    <x v="223"/>
    <x v="223"/>
    <x v="0"/>
    <x v="0"/>
    <x v="0"/>
    <x v="0"/>
    <x v="0"/>
    <x v="0"/>
    <x v="0"/>
    <x v="0"/>
    <x v="0"/>
    <x v="0"/>
    <x v="0"/>
    <x v="0"/>
    <x v="0"/>
  </r>
  <r>
    <x v="0"/>
    <x v="224"/>
    <x v="224"/>
    <x v="224"/>
    <x v="0"/>
    <x v="0"/>
    <x v="0"/>
    <x v="0"/>
    <x v="0"/>
    <x v="0"/>
    <x v="0"/>
    <x v="0"/>
    <x v="0"/>
    <x v="0"/>
    <x v="0"/>
    <x v="0"/>
    <x v="0"/>
  </r>
  <r>
    <x v="1"/>
    <x v="225"/>
    <x v="225"/>
    <x v="225"/>
    <x v="1"/>
    <x v="45"/>
    <x v="47"/>
    <x v="0"/>
    <x v="47"/>
    <x v="0"/>
    <x v="47"/>
    <x v="45"/>
    <x v="47"/>
    <x v="36"/>
    <x v="36"/>
    <x v="23"/>
    <x v="23"/>
  </r>
  <r>
    <x v="1"/>
    <x v="226"/>
    <x v="226"/>
    <x v="226"/>
    <x v="0"/>
    <x v="0"/>
    <x v="0"/>
    <x v="0"/>
    <x v="0"/>
    <x v="0"/>
    <x v="0"/>
    <x v="0"/>
    <x v="0"/>
    <x v="0"/>
    <x v="0"/>
    <x v="0"/>
    <x v="0"/>
  </r>
  <r>
    <x v="2"/>
    <x v="227"/>
    <x v="227"/>
    <x v="227"/>
    <x v="1"/>
    <x v="46"/>
    <x v="48"/>
    <x v="0"/>
    <x v="48"/>
    <x v="0"/>
    <x v="48"/>
    <x v="46"/>
    <x v="48"/>
    <x v="37"/>
    <x v="37"/>
    <x v="24"/>
    <x v="24"/>
  </r>
  <r>
    <x v="2"/>
    <x v="228"/>
    <x v="228"/>
    <x v="228"/>
    <x v="0"/>
    <x v="0"/>
    <x v="0"/>
    <x v="0"/>
    <x v="0"/>
    <x v="0"/>
    <x v="0"/>
    <x v="0"/>
    <x v="0"/>
    <x v="0"/>
    <x v="0"/>
    <x v="0"/>
    <x v="0"/>
  </r>
  <r>
    <x v="1"/>
    <x v="229"/>
    <x v="229"/>
    <x v="229"/>
    <x v="1"/>
    <x v="47"/>
    <x v="49"/>
    <x v="0"/>
    <x v="49"/>
    <x v="0"/>
    <x v="49"/>
    <x v="47"/>
    <x v="49"/>
    <x v="0"/>
    <x v="0"/>
    <x v="0"/>
    <x v="0"/>
  </r>
  <r>
    <x v="2"/>
    <x v="230"/>
    <x v="230"/>
    <x v="230"/>
    <x v="0"/>
    <x v="0"/>
    <x v="0"/>
    <x v="0"/>
    <x v="0"/>
    <x v="0"/>
    <x v="0"/>
    <x v="0"/>
    <x v="0"/>
    <x v="0"/>
    <x v="0"/>
    <x v="0"/>
    <x v="0"/>
  </r>
  <r>
    <x v="2"/>
    <x v="231"/>
    <x v="231"/>
    <x v="231"/>
    <x v="0"/>
    <x v="0"/>
    <x v="0"/>
    <x v="0"/>
    <x v="0"/>
    <x v="0"/>
    <x v="0"/>
    <x v="0"/>
    <x v="0"/>
    <x v="0"/>
    <x v="0"/>
    <x v="0"/>
    <x v="0"/>
  </r>
  <r>
    <x v="2"/>
    <x v="232"/>
    <x v="232"/>
    <x v="232"/>
    <x v="0"/>
    <x v="0"/>
    <x v="0"/>
    <x v="0"/>
    <x v="0"/>
    <x v="0"/>
    <x v="0"/>
    <x v="0"/>
    <x v="0"/>
    <x v="0"/>
    <x v="0"/>
    <x v="0"/>
    <x v="0"/>
  </r>
  <r>
    <x v="2"/>
    <x v="233"/>
    <x v="233"/>
    <x v="233"/>
    <x v="0"/>
    <x v="0"/>
    <x v="0"/>
    <x v="0"/>
    <x v="0"/>
    <x v="0"/>
    <x v="0"/>
    <x v="0"/>
    <x v="0"/>
    <x v="0"/>
    <x v="0"/>
    <x v="0"/>
    <x v="0"/>
  </r>
  <r>
    <x v="0"/>
    <x v="234"/>
    <x v="234"/>
    <x v="234"/>
    <x v="1"/>
    <x v="48"/>
    <x v="50"/>
    <x v="0"/>
    <x v="50"/>
    <x v="0"/>
    <x v="50"/>
    <x v="11"/>
    <x v="50"/>
    <x v="38"/>
    <x v="38"/>
    <x v="0"/>
    <x v="0"/>
  </r>
  <r>
    <x v="1"/>
    <x v="235"/>
    <x v="235"/>
    <x v="235"/>
    <x v="0"/>
    <x v="0"/>
    <x v="0"/>
    <x v="0"/>
    <x v="0"/>
    <x v="0"/>
    <x v="0"/>
    <x v="0"/>
    <x v="0"/>
    <x v="0"/>
    <x v="0"/>
    <x v="0"/>
    <x v="0"/>
  </r>
  <r>
    <x v="1"/>
    <x v="236"/>
    <x v="236"/>
    <x v="236"/>
    <x v="0"/>
    <x v="0"/>
    <x v="0"/>
    <x v="0"/>
    <x v="0"/>
    <x v="0"/>
    <x v="0"/>
    <x v="0"/>
    <x v="0"/>
    <x v="0"/>
    <x v="0"/>
    <x v="0"/>
    <x v="0"/>
  </r>
  <r>
    <x v="1"/>
    <x v="237"/>
    <x v="237"/>
    <x v="237"/>
    <x v="0"/>
    <x v="0"/>
    <x v="0"/>
    <x v="0"/>
    <x v="0"/>
    <x v="0"/>
    <x v="0"/>
    <x v="0"/>
    <x v="0"/>
    <x v="0"/>
    <x v="0"/>
    <x v="0"/>
    <x v="0"/>
  </r>
  <r>
    <x v="0"/>
    <x v="238"/>
    <x v="238"/>
    <x v="238"/>
    <x v="0"/>
    <x v="0"/>
    <x v="0"/>
    <x v="0"/>
    <x v="0"/>
    <x v="0"/>
    <x v="0"/>
    <x v="0"/>
    <x v="0"/>
    <x v="0"/>
    <x v="0"/>
    <x v="0"/>
    <x v="0"/>
  </r>
  <r>
    <x v="2"/>
    <x v="239"/>
    <x v="239"/>
    <x v="239"/>
    <x v="0"/>
    <x v="0"/>
    <x v="0"/>
    <x v="0"/>
    <x v="0"/>
    <x v="0"/>
    <x v="0"/>
    <x v="0"/>
    <x v="0"/>
    <x v="0"/>
    <x v="0"/>
    <x v="0"/>
    <x v="0"/>
  </r>
  <r>
    <x v="0"/>
    <x v="240"/>
    <x v="240"/>
    <x v="240"/>
    <x v="0"/>
    <x v="0"/>
    <x v="0"/>
    <x v="0"/>
    <x v="0"/>
    <x v="0"/>
    <x v="0"/>
    <x v="0"/>
    <x v="0"/>
    <x v="0"/>
    <x v="0"/>
    <x v="0"/>
    <x v="0"/>
  </r>
  <r>
    <x v="1"/>
    <x v="241"/>
    <x v="241"/>
    <x v="241"/>
    <x v="0"/>
    <x v="0"/>
    <x v="0"/>
    <x v="0"/>
    <x v="0"/>
    <x v="0"/>
    <x v="0"/>
    <x v="0"/>
    <x v="0"/>
    <x v="0"/>
    <x v="0"/>
    <x v="0"/>
    <x v="0"/>
  </r>
  <r>
    <x v="2"/>
    <x v="242"/>
    <x v="242"/>
    <x v="242"/>
    <x v="0"/>
    <x v="0"/>
    <x v="0"/>
    <x v="0"/>
    <x v="0"/>
    <x v="0"/>
    <x v="0"/>
    <x v="0"/>
    <x v="0"/>
    <x v="0"/>
    <x v="0"/>
    <x v="0"/>
    <x v="0"/>
  </r>
  <r>
    <x v="0"/>
    <x v="243"/>
    <x v="243"/>
    <x v="243"/>
    <x v="0"/>
    <x v="0"/>
    <x v="0"/>
    <x v="0"/>
    <x v="0"/>
    <x v="0"/>
    <x v="0"/>
    <x v="0"/>
    <x v="0"/>
    <x v="0"/>
    <x v="0"/>
    <x v="0"/>
    <x v="0"/>
  </r>
  <r>
    <x v="0"/>
    <x v="244"/>
    <x v="244"/>
    <x v="244"/>
    <x v="1"/>
    <x v="49"/>
    <x v="51"/>
    <x v="6"/>
    <x v="51"/>
    <x v="6"/>
    <x v="51"/>
    <x v="48"/>
    <x v="51"/>
    <x v="39"/>
    <x v="39"/>
    <x v="25"/>
    <x v="25"/>
  </r>
  <r>
    <x v="0"/>
    <x v="245"/>
    <x v="245"/>
    <x v="245"/>
    <x v="0"/>
    <x v="0"/>
    <x v="0"/>
    <x v="0"/>
    <x v="0"/>
    <x v="0"/>
    <x v="0"/>
    <x v="0"/>
    <x v="0"/>
    <x v="0"/>
    <x v="0"/>
    <x v="0"/>
    <x v="0"/>
  </r>
  <r>
    <x v="2"/>
    <x v="246"/>
    <x v="246"/>
    <x v="246"/>
    <x v="1"/>
    <x v="50"/>
    <x v="52"/>
    <x v="0"/>
    <x v="52"/>
    <x v="0"/>
    <x v="52"/>
    <x v="49"/>
    <x v="52"/>
    <x v="36"/>
    <x v="36"/>
    <x v="19"/>
    <x v="19"/>
  </r>
  <r>
    <x v="1"/>
    <x v="247"/>
    <x v="247"/>
    <x v="247"/>
    <x v="0"/>
    <x v="0"/>
    <x v="0"/>
    <x v="0"/>
    <x v="0"/>
    <x v="0"/>
    <x v="0"/>
    <x v="0"/>
    <x v="0"/>
    <x v="0"/>
    <x v="0"/>
    <x v="0"/>
    <x v="0"/>
  </r>
  <r>
    <x v="0"/>
    <x v="248"/>
    <x v="248"/>
    <x v="248"/>
    <x v="0"/>
    <x v="0"/>
    <x v="0"/>
    <x v="0"/>
    <x v="0"/>
    <x v="0"/>
    <x v="0"/>
    <x v="0"/>
    <x v="0"/>
    <x v="0"/>
    <x v="0"/>
    <x v="0"/>
    <x v="0"/>
  </r>
  <r>
    <x v="2"/>
    <x v="249"/>
    <x v="249"/>
    <x v="249"/>
    <x v="0"/>
    <x v="0"/>
    <x v="0"/>
    <x v="0"/>
    <x v="0"/>
    <x v="0"/>
    <x v="0"/>
    <x v="0"/>
    <x v="0"/>
    <x v="0"/>
    <x v="0"/>
    <x v="0"/>
    <x v="0"/>
  </r>
  <r>
    <x v="2"/>
    <x v="250"/>
    <x v="250"/>
    <x v="250"/>
    <x v="0"/>
    <x v="0"/>
    <x v="0"/>
    <x v="0"/>
    <x v="0"/>
    <x v="0"/>
    <x v="0"/>
    <x v="0"/>
    <x v="0"/>
    <x v="0"/>
    <x v="0"/>
    <x v="0"/>
    <x v="0"/>
  </r>
  <r>
    <x v="2"/>
    <x v="251"/>
    <x v="251"/>
    <x v="251"/>
    <x v="1"/>
    <x v="51"/>
    <x v="53"/>
    <x v="7"/>
    <x v="53"/>
    <x v="7"/>
    <x v="53"/>
    <x v="50"/>
    <x v="53"/>
    <x v="40"/>
    <x v="40"/>
    <x v="0"/>
    <x v="0"/>
  </r>
  <r>
    <x v="0"/>
    <x v="252"/>
    <x v="252"/>
    <x v="252"/>
    <x v="1"/>
    <x v="52"/>
    <x v="54"/>
    <x v="0"/>
    <x v="54"/>
    <x v="0"/>
    <x v="54"/>
    <x v="51"/>
    <x v="54"/>
    <x v="41"/>
    <x v="41"/>
    <x v="0"/>
    <x v="0"/>
  </r>
  <r>
    <x v="0"/>
    <x v="253"/>
    <x v="253"/>
    <x v="253"/>
    <x v="0"/>
    <x v="0"/>
    <x v="0"/>
    <x v="0"/>
    <x v="0"/>
    <x v="0"/>
    <x v="0"/>
    <x v="0"/>
    <x v="0"/>
    <x v="0"/>
    <x v="0"/>
    <x v="0"/>
    <x v="0"/>
  </r>
  <r>
    <x v="2"/>
    <x v="254"/>
    <x v="254"/>
    <x v="254"/>
    <x v="1"/>
    <x v="53"/>
    <x v="55"/>
    <x v="0"/>
    <x v="55"/>
    <x v="0"/>
    <x v="55"/>
    <x v="52"/>
    <x v="55"/>
    <x v="42"/>
    <x v="42"/>
    <x v="26"/>
    <x v="26"/>
  </r>
  <r>
    <x v="1"/>
    <x v="255"/>
    <x v="255"/>
    <x v="255"/>
    <x v="0"/>
    <x v="0"/>
    <x v="0"/>
    <x v="0"/>
    <x v="0"/>
    <x v="0"/>
    <x v="0"/>
    <x v="0"/>
    <x v="0"/>
    <x v="0"/>
    <x v="0"/>
    <x v="0"/>
    <x v="0"/>
  </r>
  <r>
    <x v="2"/>
    <x v="256"/>
    <x v="256"/>
    <x v="256"/>
    <x v="0"/>
    <x v="0"/>
    <x v="0"/>
    <x v="0"/>
    <x v="0"/>
    <x v="0"/>
    <x v="0"/>
    <x v="0"/>
    <x v="0"/>
    <x v="0"/>
    <x v="0"/>
    <x v="0"/>
    <x v="0"/>
  </r>
  <r>
    <x v="2"/>
    <x v="257"/>
    <x v="257"/>
    <x v="257"/>
    <x v="0"/>
    <x v="0"/>
    <x v="0"/>
    <x v="0"/>
    <x v="0"/>
    <x v="0"/>
    <x v="0"/>
    <x v="0"/>
    <x v="0"/>
    <x v="0"/>
    <x v="0"/>
    <x v="0"/>
    <x v="0"/>
  </r>
  <r>
    <x v="2"/>
    <x v="258"/>
    <x v="258"/>
    <x v="258"/>
    <x v="0"/>
    <x v="0"/>
    <x v="0"/>
    <x v="0"/>
    <x v="0"/>
    <x v="0"/>
    <x v="0"/>
    <x v="0"/>
    <x v="0"/>
    <x v="0"/>
    <x v="0"/>
    <x v="0"/>
    <x v="0"/>
  </r>
  <r>
    <x v="2"/>
    <x v="259"/>
    <x v="259"/>
    <x v="259"/>
    <x v="0"/>
    <x v="0"/>
    <x v="0"/>
    <x v="0"/>
    <x v="0"/>
    <x v="0"/>
    <x v="0"/>
    <x v="0"/>
    <x v="0"/>
    <x v="0"/>
    <x v="0"/>
    <x v="0"/>
    <x v="0"/>
  </r>
  <r>
    <x v="1"/>
    <x v="260"/>
    <x v="260"/>
    <x v="260"/>
    <x v="0"/>
    <x v="0"/>
    <x v="0"/>
    <x v="0"/>
    <x v="0"/>
    <x v="0"/>
    <x v="0"/>
    <x v="0"/>
    <x v="0"/>
    <x v="0"/>
    <x v="0"/>
    <x v="0"/>
    <x v="0"/>
  </r>
  <r>
    <x v="2"/>
    <x v="261"/>
    <x v="261"/>
    <x v="261"/>
    <x v="0"/>
    <x v="0"/>
    <x v="0"/>
    <x v="0"/>
    <x v="0"/>
    <x v="0"/>
    <x v="0"/>
    <x v="0"/>
    <x v="0"/>
    <x v="0"/>
    <x v="0"/>
    <x v="0"/>
    <x v="0"/>
  </r>
  <r>
    <x v="1"/>
    <x v="262"/>
    <x v="262"/>
    <x v="262"/>
    <x v="0"/>
    <x v="0"/>
    <x v="0"/>
    <x v="0"/>
    <x v="0"/>
    <x v="0"/>
    <x v="0"/>
    <x v="0"/>
    <x v="0"/>
    <x v="0"/>
    <x v="0"/>
    <x v="0"/>
    <x v="0"/>
  </r>
  <r>
    <x v="2"/>
    <x v="263"/>
    <x v="263"/>
    <x v="263"/>
    <x v="0"/>
    <x v="0"/>
    <x v="0"/>
    <x v="0"/>
    <x v="0"/>
    <x v="0"/>
    <x v="0"/>
    <x v="0"/>
    <x v="0"/>
    <x v="0"/>
    <x v="0"/>
    <x v="0"/>
    <x v="0"/>
  </r>
  <r>
    <x v="2"/>
    <x v="264"/>
    <x v="264"/>
    <x v="264"/>
    <x v="1"/>
    <x v="54"/>
    <x v="56"/>
    <x v="0"/>
    <x v="56"/>
    <x v="0"/>
    <x v="56"/>
    <x v="53"/>
    <x v="56"/>
    <x v="43"/>
    <x v="43"/>
    <x v="27"/>
    <x v="27"/>
  </r>
  <r>
    <x v="2"/>
    <x v="265"/>
    <x v="265"/>
    <x v="265"/>
    <x v="0"/>
    <x v="0"/>
    <x v="0"/>
    <x v="0"/>
    <x v="0"/>
    <x v="0"/>
    <x v="0"/>
    <x v="0"/>
    <x v="0"/>
    <x v="0"/>
    <x v="0"/>
    <x v="0"/>
    <x v="0"/>
  </r>
  <r>
    <x v="0"/>
    <x v="266"/>
    <x v="266"/>
    <x v="266"/>
    <x v="0"/>
    <x v="0"/>
    <x v="0"/>
    <x v="0"/>
    <x v="0"/>
    <x v="0"/>
    <x v="0"/>
    <x v="0"/>
    <x v="0"/>
    <x v="0"/>
    <x v="0"/>
    <x v="0"/>
    <x v="0"/>
  </r>
  <r>
    <x v="2"/>
    <x v="267"/>
    <x v="267"/>
    <x v="267"/>
    <x v="0"/>
    <x v="0"/>
    <x v="0"/>
    <x v="0"/>
    <x v="0"/>
    <x v="0"/>
    <x v="0"/>
    <x v="0"/>
    <x v="0"/>
    <x v="0"/>
    <x v="0"/>
    <x v="0"/>
    <x v="0"/>
  </r>
  <r>
    <x v="0"/>
    <x v="268"/>
    <x v="268"/>
    <x v="268"/>
    <x v="0"/>
    <x v="0"/>
    <x v="0"/>
    <x v="0"/>
    <x v="0"/>
    <x v="0"/>
    <x v="0"/>
    <x v="0"/>
    <x v="0"/>
    <x v="0"/>
    <x v="0"/>
    <x v="0"/>
    <x v="0"/>
  </r>
  <r>
    <x v="2"/>
    <x v="269"/>
    <x v="269"/>
    <x v="269"/>
    <x v="0"/>
    <x v="0"/>
    <x v="0"/>
    <x v="0"/>
    <x v="0"/>
    <x v="0"/>
    <x v="0"/>
    <x v="0"/>
    <x v="0"/>
    <x v="0"/>
    <x v="0"/>
    <x v="0"/>
    <x v="0"/>
  </r>
  <r>
    <x v="1"/>
    <x v="270"/>
    <x v="270"/>
    <x v="270"/>
    <x v="0"/>
    <x v="0"/>
    <x v="0"/>
    <x v="0"/>
    <x v="0"/>
    <x v="0"/>
    <x v="0"/>
    <x v="0"/>
    <x v="0"/>
    <x v="0"/>
    <x v="0"/>
    <x v="0"/>
    <x v="0"/>
  </r>
  <r>
    <x v="2"/>
    <x v="271"/>
    <x v="271"/>
    <x v="271"/>
    <x v="0"/>
    <x v="0"/>
    <x v="0"/>
    <x v="0"/>
    <x v="0"/>
    <x v="0"/>
    <x v="0"/>
    <x v="0"/>
    <x v="0"/>
    <x v="0"/>
    <x v="0"/>
    <x v="0"/>
    <x v="0"/>
  </r>
  <r>
    <x v="0"/>
    <x v="272"/>
    <x v="272"/>
    <x v="272"/>
    <x v="0"/>
    <x v="0"/>
    <x v="0"/>
    <x v="0"/>
    <x v="0"/>
    <x v="0"/>
    <x v="0"/>
    <x v="0"/>
    <x v="0"/>
    <x v="0"/>
    <x v="0"/>
    <x v="0"/>
    <x v="0"/>
  </r>
  <r>
    <x v="2"/>
    <x v="273"/>
    <x v="273"/>
    <x v="273"/>
    <x v="1"/>
    <x v="55"/>
    <x v="57"/>
    <x v="0"/>
    <x v="57"/>
    <x v="0"/>
    <x v="57"/>
    <x v="54"/>
    <x v="57"/>
    <x v="38"/>
    <x v="38"/>
    <x v="0"/>
    <x v="0"/>
  </r>
  <r>
    <x v="1"/>
    <x v="274"/>
    <x v="274"/>
    <x v="274"/>
    <x v="0"/>
    <x v="0"/>
    <x v="0"/>
    <x v="0"/>
    <x v="0"/>
    <x v="0"/>
    <x v="0"/>
    <x v="0"/>
    <x v="0"/>
    <x v="0"/>
    <x v="0"/>
    <x v="0"/>
    <x v="0"/>
  </r>
  <r>
    <x v="1"/>
    <x v="275"/>
    <x v="275"/>
    <x v="275"/>
    <x v="1"/>
    <x v="56"/>
    <x v="58"/>
    <x v="0"/>
    <x v="58"/>
    <x v="0"/>
    <x v="58"/>
    <x v="55"/>
    <x v="58"/>
    <x v="44"/>
    <x v="44"/>
    <x v="19"/>
    <x v="19"/>
  </r>
  <r>
    <x v="2"/>
    <x v="276"/>
    <x v="276"/>
    <x v="276"/>
    <x v="0"/>
    <x v="0"/>
    <x v="0"/>
    <x v="0"/>
    <x v="0"/>
    <x v="0"/>
    <x v="0"/>
    <x v="0"/>
    <x v="0"/>
    <x v="0"/>
    <x v="0"/>
    <x v="0"/>
    <x v="0"/>
  </r>
  <r>
    <x v="0"/>
    <x v="277"/>
    <x v="277"/>
    <x v="277"/>
    <x v="1"/>
    <x v="57"/>
    <x v="59"/>
    <x v="0"/>
    <x v="59"/>
    <x v="0"/>
    <x v="59"/>
    <x v="56"/>
    <x v="59"/>
    <x v="45"/>
    <x v="45"/>
    <x v="0"/>
    <x v="0"/>
  </r>
  <r>
    <x v="2"/>
    <x v="278"/>
    <x v="278"/>
    <x v="278"/>
    <x v="0"/>
    <x v="0"/>
    <x v="0"/>
    <x v="0"/>
    <x v="0"/>
    <x v="0"/>
    <x v="0"/>
    <x v="0"/>
    <x v="0"/>
    <x v="0"/>
    <x v="0"/>
    <x v="0"/>
    <x v="0"/>
  </r>
  <r>
    <x v="2"/>
    <x v="279"/>
    <x v="279"/>
    <x v="279"/>
    <x v="0"/>
    <x v="0"/>
    <x v="0"/>
    <x v="0"/>
    <x v="0"/>
    <x v="0"/>
    <x v="0"/>
    <x v="0"/>
    <x v="0"/>
    <x v="0"/>
    <x v="0"/>
    <x v="0"/>
    <x v="0"/>
  </r>
  <r>
    <x v="2"/>
    <x v="280"/>
    <x v="280"/>
    <x v="280"/>
    <x v="0"/>
    <x v="0"/>
    <x v="0"/>
    <x v="0"/>
    <x v="0"/>
    <x v="0"/>
    <x v="0"/>
    <x v="0"/>
    <x v="0"/>
    <x v="0"/>
    <x v="0"/>
    <x v="0"/>
    <x v="0"/>
  </r>
  <r>
    <x v="0"/>
    <x v="281"/>
    <x v="281"/>
    <x v="281"/>
    <x v="0"/>
    <x v="0"/>
    <x v="0"/>
    <x v="0"/>
    <x v="0"/>
    <x v="0"/>
    <x v="0"/>
    <x v="0"/>
    <x v="0"/>
    <x v="0"/>
    <x v="0"/>
    <x v="0"/>
    <x v="0"/>
  </r>
  <r>
    <x v="1"/>
    <x v="282"/>
    <x v="282"/>
    <x v="282"/>
    <x v="0"/>
    <x v="0"/>
    <x v="0"/>
    <x v="0"/>
    <x v="0"/>
    <x v="0"/>
    <x v="0"/>
    <x v="0"/>
    <x v="0"/>
    <x v="0"/>
    <x v="0"/>
    <x v="0"/>
    <x v="0"/>
  </r>
  <r>
    <x v="1"/>
    <x v="283"/>
    <x v="283"/>
    <x v="283"/>
    <x v="0"/>
    <x v="0"/>
    <x v="0"/>
    <x v="0"/>
    <x v="0"/>
    <x v="0"/>
    <x v="0"/>
    <x v="0"/>
    <x v="0"/>
    <x v="0"/>
    <x v="0"/>
    <x v="0"/>
    <x v="0"/>
  </r>
  <r>
    <x v="2"/>
    <x v="284"/>
    <x v="284"/>
    <x v="284"/>
    <x v="0"/>
    <x v="0"/>
    <x v="0"/>
    <x v="0"/>
    <x v="0"/>
    <x v="0"/>
    <x v="0"/>
    <x v="0"/>
    <x v="0"/>
    <x v="0"/>
    <x v="0"/>
    <x v="0"/>
    <x v="0"/>
  </r>
  <r>
    <x v="2"/>
    <x v="285"/>
    <x v="285"/>
    <x v="285"/>
    <x v="1"/>
    <x v="58"/>
    <x v="60"/>
    <x v="0"/>
    <x v="60"/>
    <x v="0"/>
    <x v="60"/>
    <x v="57"/>
    <x v="60"/>
    <x v="46"/>
    <x v="46"/>
    <x v="0"/>
    <x v="0"/>
  </r>
  <r>
    <x v="0"/>
    <x v="286"/>
    <x v="286"/>
    <x v="286"/>
    <x v="1"/>
    <x v="59"/>
    <x v="61"/>
    <x v="0"/>
    <x v="61"/>
    <x v="0"/>
    <x v="61"/>
    <x v="58"/>
    <x v="61"/>
    <x v="47"/>
    <x v="47"/>
    <x v="28"/>
    <x v="28"/>
  </r>
  <r>
    <x v="1"/>
    <x v="287"/>
    <x v="287"/>
    <x v="287"/>
    <x v="0"/>
    <x v="0"/>
    <x v="0"/>
    <x v="0"/>
    <x v="0"/>
    <x v="0"/>
    <x v="0"/>
    <x v="0"/>
    <x v="0"/>
    <x v="0"/>
    <x v="0"/>
    <x v="0"/>
    <x v="0"/>
  </r>
  <r>
    <x v="2"/>
    <x v="288"/>
    <x v="288"/>
    <x v="288"/>
    <x v="0"/>
    <x v="0"/>
    <x v="0"/>
    <x v="0"/>
    <x v="0"/>
    <x v="0"/>
    <x v="0"/>
    <x v="0"/>
    <x v="0"/>
    <x v="0"/>
    <x v="0"/>
    <x v="0"/>
    <x v="0"/>
  </r>
  <r>
    <x v="1"/>
    <x v="289"/>
    <x v="289"/>
    <x v="289"/>
    <x v="0"/>
    <x v="0"/>
    <x v="0"/>
    <x v="0"/>
    <x v="0"/>
    <x v="0"/>
    <x v="0"/>
    <x v="0"/>
    <x v="0"/>
    <x v="0"/>
    <x v="0"/>
    <x v="0"/>
    <x v="0"/>
  </r>
  <r>
    <x v="1"/>
    <x v="290"/>
    <x v="290"/>
    <x v="290"/>
    <x v="1"/>
    <x v="60"/>
    <x v="62"/>
    <x v="8"/>
    <x v="62"/>
    <x v="8"/>
    <x v="62"/>
    <x v="59"/>
    <x v="62"/>
    <x v="48"/>
    <x v="48"/>
    <x v="29"/>
    <x v="29"/>
  </r>
  <r>
    <x v="0"/>
    <x v="291"/>
    <x v="291"/>
    <x v="291"/>
    <x v="0"/>
    <x v="0"/>
    <x v="0"/>
    <x v="0"/>
    <x v="0"/>
    <x v="0"/>
    <x v="0"/>
    <x v="0"/>
    <x v="0"/>
    <x v="0"/>
    <x v="0"/>
    <x v="0"/>
    <x v="0"/>
  </r>
  <r>
    <x v="2"/>
    <x v="292"/>
    <x v="292"/>
    <x v="292"/>
    <x v="0"/>
    <x v="0"/>
    <x v="0"/>
    <x v="0"/>
    <x v="0"/>
    <x v="0"/>
    <x v="0"/>
    <x v="0"/>
    <x v="0"/>
    <x v="0"/>
    <x v="0"/>
    <x v="0"/>
    <x v="0"/>
  </r>
  <r>
    <x v="2"/>
    <x v="293"/>
    <x v="293"/>
    <x v="293"/>
    <x v="0"/>
    <x v="0"/>
    <x v="0"/>
    <x v="0"/>
    <x v="0"/>
    <x v="0"/>
    <x v="0"/>
    <x v="0"/>
    <x v="0"/>
    <x v="0"/>
    <x v="0"/>
    <x v="0"/>
    <x v="0"/>
  </r>
  <r>
    <x v="2"/>
    <x v="294"/>
    <x v="294"/>
    <x v="294"/>
    <x v="0"/>
    <x v="0"/>
    <x v="0"/>
    <x v="0"/>
    <x v="0"/>
    <x v="0"/>
    <x v="0"/>
    <x v="0"/>
    <x v="0"/>
    <x v="0"/>
    <x v="0"/>
    <x v="0"/>
    <x v="0"/>
  </r>
  <r>
    <x v="0"/>
    <x v="295"/>
    <x v="295"/>
    <x v="295"/>
    <x v="0"/>
    <x v="0"/>
    <x v="0"/>
    <x v="0"/>
    <x v="0"/>
    <x v="0"/>
    <x v="0"/>
    <x v="0"/>
    <x v="0"/>
    <x v="0"/>
    <x v="0"/>
    <x v="0"/>
    <x v="0"/>
  </r>
  <r>
    <x v="2"/>
    <x v="296"/>
    <x v="296"/>
    <x v="296"/>
    <x v="1"/>
    <x v="61"/>
    <x v="63"/>
    <x v="0"/>
    <x v="63"/>
    <x v="0"/>
    <x v="63"/>
    <x v="60"/>
    <x v="63"/>
    <x v="0"/>
    <x v="0"/>
    <x v="0"/>
    <x v="0"/>
  </r>
  <r>
    <x v="2"/>
    <x v="297"/>
    <x v="297"/>
    <x v="297"/>
    <x v="1"/>
    <x v="62"/>
    <x v="64"/>
    <x v="0"/>
    <x v="64"/>
    <x v="0"/>
    <x v="64"/>
    <x v="61"/>
    <x v="64"/>
    <x v="10"/>
    <x v="10"/>
    <x v="0"/>
    <x v="0"/>
  </r>
  <r>
    <x v="0"/>
    <x v="298"/>
    <x v="298"/>
    <x v="298"/>
    <x v="0"/>
    <x v="0"/>
    <x v="0"/>
    <x v="0"/>
    <x v="0"/>
    <x v="0"/>
    <x v="0"/>
    <x v="0"/>
    <x v="0"/>
    <x v="0"/>
    <x v="0"/>
    <x v="0"/>
    <x v="0"/>
  </r>
  <r>
    <x v="2"/>
    <x v="299"/>
    <x v="299"/>
    <x v="299"/>
    <x v="0"/>
    <x v="0"/>
    <x v="0"/>
    <x v="0"/>
    <x v="0"/>
    <x v="0"/>
    <x v="0"/>
    <x v="0"/>
    <x v="0"/>
    <x v="0"/>
    <x v="0"/>
    <x v="0"/>
    <x v="0"/>
  </r>
  <r>
    <x v="2"/>
    <x v="300"/>
    <x v="300"/>
    <x v="300"/>
    <x v="0"/>
    <x v="0"/>
    <x v="0"/>
    <x v="0"/>
    <x v="0"/>
    <x v="0"/>
    <x v="0"/>
    <x v="0"/>
    <x v="0"/>
    <x v="0"/>
    <x v="0"/>
    <x v="0"/>
    <x v="0"/>
  </r>
  <r>
    <x v="1"/>
    <x v="301"/>
    <x v="301"/>
    <x v="301"/>
    <x v="0"/>
    <x v="0"/>
    <x v="0"/>
    <x v="0"/>
    <x v="0"/>
    <x v="0"/>
    <x v="0"/>
    <x v="0"/>
    <x v="0"/>
    <x v="0"/>
    <x v="0"/>
    <x v="0"/>
    <x v="0"/>
  </r>
  <r>
    <x v="1"/>
    <x v="302"/>
    <x v="302"/>
    <x v="302"/>
    <x v="1"/>
    <x v="63"/>
    <x v="65"/>
    <x v="0"/>
    <x v="65"/>
    <x v="0"/>
    <x v="65"/>
    <x v="62"/>
    <x v="65"/>
    <x v="49"/>
    <x v="49"/>
    <x v="30"/>
    <x v="30"/>
  </r>
  <r>
    <x v="1"/>
    <x v="303"/>
    <x v="303"/>
    <x v="303"/>
    <x v="0"/>
    <x v="0"/>
    <x v="0"/>
    <x v="0"/>
    <x v="0"/>
    <x v="0"/>
    <x v="0"/>
    <x v="0"/>
    <x v="0"/>
    <x v="0"/>
    <x v="0"/>
    <x v="0"/>
    <x v="0"/>
  </r>
  <r>
    <x v="1"/>
    <x v="304"/>
    <x v="304"/>
    <x v="304"/>
    <x v="0"/>
    <x v="0"/>
    <x v="0"/>
    <x v="0"/>
    <x v="0"/>
    <x v="0"/>
    <x v="0"/>
    <x v="0"/>
    <x v="0"/>
    <x v="0"/>
    <x v="0"/>
    <x v="0"/>
    <x v="0"/>
  </r>
  <r>
    <x v="1"/>
    <x v="305"/>
    <x v="305"/>
    <x v="305"/>
    <x v="0"/>
    <x v="0"/>
    <x v="0"/>
    <x v="0"/>
    <x v="0"/>
    <x v="0"/>
    <x v="0"/>
    <x v="0"/>
    <x v="0"/>
    <x v="0"/>
    <x v="0"/>
    <x v="0"/>
    <x v="0"/>
  </r>
  <r>
    <x v="2"/>
    <x v="306"/>
    <x v="306"/>
    <x v="306"/>
    <x v="0"/>
    <x v="0"/>
    <x v="0"/>
    <x v="0"/>
    <x v="0"/>
    <x v="0"/>
    <x v="0"/>
    <x v="0"/>
    <x v="0"/>
    <x v="0"/>
    <x v="0"/>
    <x v="0"/>
    <x v="0"/>
  </r>
  <r>
    <x v="1"/>
    <x v="307"/>
    <x v="307"/>
    <x v="307"/>
    <x v="0"/>
    <x v="0"/>
    <x v="0"/>
    <x v="0"/>
    <x v="0"/>
    <x v="0"/>
    <x v="0"/>
    <x v="0"/>
    <x v="0"/>
    <x v="0"/>
    <x v="0"/>
    <x v="0"/>
    <x v="0"/>
  </r>
  <r>
    <x v="2"/>
    <x v="308"/>
    <x v="308"/>
    <x v="308"/>
    <x v="1"/>
    <x v="64"/>
    <x v="66"/>
    <x v="0"/>
    <x v="66"/>
    <x v="0"/>
    <x v="66"/>
    <x v="63"/>
    <x v="66"/>
    <x v="50"/>
    <x v="50"/>
    <x v="13"/>
    <x v="13"/>
  </r>
  <r>
    <x v="1"/>
    <x v="309"/>
    <x v="309"/>
    <x v="309"/>
    <x v="0"/>
    <x v="0"/>
    <x v="0"/>
    <x v="0"/>
    <x v="0"/>
    <x v="0"/>
    <x v="0"/>
    <x v="0"/>
    <x v="0"/>
    <x v="0"/>
    <x v="0"/>
    <x v="0"/>
    <x v="0"/>
  </r>
  <r>
    <x v="0"/>
    <x v="310"/>
    <x v="310"/>
    <x v="310"/>
    <x v="1"/>
    <x v="65"/>
    <x v="67"/>
    <x v="0"/>
    <x v="67"/>
    <x v="0"/>
    <x v="67"/>
    <x v="64"/>
    <x v="67"/>
    <x v="13"/>
    <x v="13"/>
    <x v="0"/>
    <x v="0"/>
  </r>
  <r>
    <x v="2"/>
    <x v="311"/>
    <x v="311"/>
    <x v="311"/>
    <x v="0"/>
    <x v="0"/>
    <x v="0"/>
    <x v="0"/>
    <x v="0"/>
    <x v="0"/>
    <x v="0"/>
    <x v="0"/>
    <x v="0"/>
    <x v="0"/>
    <x v="0"/>
    <x v="0"/>
    <x v="0"/>
  </r>
  <r>
    <x v="2"/>
    <x v="312"/>
    <x v="312"/>
    <x v="312"/>
    <x v="0"/>
    <x v="0"/>
    <x v="0"/>
    <x v="0"/>
    <x v="0"/>
    <x v="0"/>
    <x v="0"/>
    <x v="0"/>
    <x v="0"/>
    <x v="0"/>
    <x v="0"/>
    <x v="0"/>
    <x v="0"/>
  </r>
  <r>
    <x v="0"/>
    <x v="313"/>
    <x v="313"/>
    <x v="313"/>
    <x v="0"/>
    <x v="0"/>
    <x v="0"/>
    <x v="0"/>
    <x v="0"/>
    <x v="0"/>
    <x v="0"/>
    <x v="0"/>
    <x v="0"/>
    <x v="0"/>
    <x v="0"/>
    <x v="0"/>
    <x v="0"/>
  </r>
  <r>
    <x v="1"/>
    <x v="314"/>
    <x v="314"/>
    <x v="314"/>
    <x v="0"/>
    <x v="0"/>
    <x v="0"/>
    <x v="0"/>
    <x v="0"/>
    <x v="0"/>
    <x v="0"/>
    <x v="0"/>
    <x v="0"/>
    <x v="0"/>
    <x v="0"/>
    <x v="0"/>
    <x v="0"/>
  </r>
  <r>
    <x v="1"/>
    <x v="315"/>
    <x v="315"/>
    <x v="315"/>
    <x v="0"/>
    <x v="0"/>
    <x v="0"/>
    <x v="0"/>
    <x v="0"/>
    <x v="0"/>
    <x v="0"/>
    <x v="0"/>
    <x v="0"/>
    <x v="0"/>
    <x v="0"/>
    <x v="0"/>
    <x v="0"/>
  </r>
  <r>
    <x v="1"/>
    <x v="316"/>
    <x v="316"/>
    <x v="316"/>
    <x v="0"/>
    <x v="0"/>
    <x v="0"/>
    <x v="0"/>
    <x v="0"/>
    <x v="0"/>
    <x v="0"/>
    <x v="0"/>
    <x v="0"/>
    <x v="0"/>
    <x v="0"/>
    <x v="0"/>
    <x v="0"/>
  </r>
  <r>
    <x v="0"/>
    <x v="317"/>
    <x v="317"/>
    <x v="317"/>
    <x v="1"/>
    <x v="66"/>
    <x v="68"/>
    <x v="0"/>
    <x v="68"/>
    <x v="0"/>
    <x v="68"/>
    <x v="65"/>
    <x v="68"/>
    <x v="51"/>
    <x v="51"/>
    <x v="13"/>
    <x v="13"/>
  </r>
  <r>
    <x v="0"/>
    <x v="318"/>
    <x v="318"/>
    <x v="318"/>
    <x v="1"/>
    <x v="67"/>
    <x v="69"/>
    <x v="0"/>
    <x v="69"/>
    <x v="0"/>
    <x v="69"/>
    <x v="66"/>
    <x v="69"/>
    <x v="51"/>
    <x v="51"/>
    <x v="0"/>
    <x v="0"/>
  </r>
  <r>
    <x v="1"/>
    <x v="319"/>
    <x v="319"/>
    <x v="319"/>
    <x v="1"/>
    <x v="68"/>
    <x v="70"/>
    <x v="0"/>
    <x v="70"/>
    <x v="0"/>
    <x v="70"/>
    <x v="67"/>
    <x v="70"/>
    <x v="34"/>
    <x v="34"/>
    <x v="0"/>
    <x v="0"/>
  </r>
  <r>
    <x v="2"/>
    <x v="320"/>
    <x v="320"/>
    <x v="320"/>
    <x v="0"/>
    <x v="0"/>
    <x v="0"/>
    <x v="0"/>
    <x v="0"/>
    <x v="0"/>
    <x v="0"/>
    <x v="0"/>
    <x v="0"/>
    <x v="0"/>
    <x v="0"/>
    <x v="0"/>
    <x v="0"/>
  </r>
  <r>
    <x v="2"/>
    <x v="321"/>
    <x v="321"/>
    <x v="321"/>
    <x v="0"/>
    <x v="0"/>
    <x v="0"/>
    <x v="0"/>
    <x v="0"/>
    <x v="0"/>
    <x v="0"/>
    <x v="0"/>
    <x v="0"/>
    <x v="0"/>
    <x v="0"/>
    <x v="0"/>
    <x v="0"/>
  </r>
  <r>
    <x v="2"/>
    <x v="322"/>
    <x v="322"/>
    <x v="322"/>
    <x v="1"/>
    <x v="69"/>
    <x v="71"/>
    <x v="0"/>
    <x v="71"/>
    <x v="0"/>
    <x v="71"/>
    <x v="68"/>
    <x v="71"/>
    <x v="52"/>
    <x v="52"/>
    <x v="0"/>
    <x v="0"/>
  </r>
  <r>
    <x v="1"/>
    <x v="323"/>
    <x v="323"/>
    <x v="323"/>
    <x v="1"/>
    <x v="70"/>
    <x v="72"/>
    <x v="0"/>
    <x v="72"/>
    <x v="0"/>
    <x v="72"/>
    <x v="69"/>
    <x v="72"/>
    <x v="53"/>
    <x v="53"/>
    <x v="19"/>
    <x v="19"/>
  </r>
  <r>
    <x v="0"/>
    <x v="324"/>
    <x v="324"/>
    <x v="324"/>
    <x v="0"/>
    <x v="0"/>
    <x v="0"/>
    <x v="0"/>
    <x v="0"/>
    <x v="0"/>
    <x v="0"/>
    <x v="0"/>
    <x v="0"/>
    <x v="0"/>
    <x v="0"/>
    <x v="0"/>
    <x v="0"/>
  </r>
  <r>
    <x v="0"/>
    <x v="325"/>
    <x v="325"/>
    <x v="325"/>
    <x v="0"/>
    <x v="0"/>
    <x v="0"/>
    <x v="0"/>
    <x v="0"/>
    <x v="0"/>
    <x v="0"/>
    <x v="0"/>
    <x v="0"/>
    <x v="0"/>
    <x v="0"/>
    <x v="0"/>
    <x v="0"/>
  </r>
  <r>
    <x v="0"/>
    <x v="326"/>
    <x v="326"/>
    <x v="326"/>
    <x v="0"/>
    <x v="0"/>
    <x v="0"/>
    <x v="0"/>
    <x v="0"/>
    <x v="0"/>
    <x v="0"/>
    <x v="0"/>
    <x v="0"/>
    <x v="0"/>
    <x v="0"/>
    <x v="0"/>
    <x v="0"/>
  </r>
  <r>
    <x v="0"/>
    <x v="327"/>
    <x v="327"/>
    <x v="327"/>
    <x v="0"/>
    <x v="0"/>
    <x v="0"/>
    <x v="0"/>
    <x v="0"/>
    <x v="0"/>
    <x v="0"/>
    <x v="0"/>
    <x v="0"/>
    <x v="0"/>
    <x v="0"/>
    <x v="0"/>
    <x v="0"/>
  </r>
  <r>
    <x v="1"/>
    <x v="328"/>
    <x v="328"/>
    <x v="328"/>
    <x v="1"/>
    <x v="71"/>
    <x v="73"/>
    <x v="0"/>
    <x v="73"/>
    <x v="0"/>
    <x v="73"/>
    <x v="70"/>
    <x v="73"/>
    <x v="54"/>
    <x v="54"/>
    <x v="31"/>
    <x v="31"/>
  </r>
  <r>
    <x v="2"/>
    <x v="329"/>
    <x v="329"/>
    <x v="329"/>
    <x v="0"/>
    <x v="0"/>
    <x v="0"/>
    <x v="0"/>
    <x v="0"/>
    <x v="0"/>
    <x v="0"/>
    <x v="0"/>
    <x v="0"/>
    <x v="0"/>
    <x v="0"/>
    <x v="0"/>
    <x v="0"/>
  </r>
  <r>
    <x v="1"/>
    <x v="330"/>
    <x v="330"/>
    <x v="330"/>
    <x v="0"/>
    <x v="0"/>
    <x v="0"/>
    <x v="0"/>
    <x v="0"/>
    <x v="0"/>
    <x v="0"/>
    <x v="0"/>
    <x v="0"/>
    <x v="0"/>
    <x v="0"/>
    <x v="0"/>
    <x v="0"/>
  </r>
  <r>
    <x v="2"/>
    <x v="331"/>
    <x v="331"/>
    <x v="331"/>
    <x v="0"/>
    <x v="0"/>
    <x v="0"/>
    <x v="0"/>
    <x v="0"/>
    <x v="0"/>
    <x v="0"/>
    <x v="0"/>
    <x v="0"/>
    <x v="0"/>
    <x v="0"/>
    <x v="0"/>
    <x v="0"/>
  </r>
  <r>
    <x v="2"/>
    <x v="332"/>
    <x v="332"/>
    <x v="332"/>
    <x v="0"/>
    <x v="0"/>
    <x v="0"/>
    <x v="0"/>
    <x v="0"/>
    <x v="0"/>
    <x v="0"/>
    <x v="0"/>
    <x v="0"/>
    <x v="0"/>
    <x v="0"/>
    <x v="0"/>
    <x v="0"/>
  </r>
  <r>
    <x v="1"/>
    <x v="333"/>
    <x v="333"/>
    <x v="333"/>
    <x v="1"/>
    <x v="72"/>
    <x v="74"/>
    <x v="0"/>
    <x v="74"/>
    <x v="0"/>
    <x v="74"/>
    <x v="71"/>
    <x v="74"/>
    <x v="36"/>
    <x v="36"/>
    <x v="0"/>
    <x v="0"/>
  </r>
  <r>
    <x v="2"/>
    <x v="334"/>
    <x v="334"/>
    <x v="334"/>
    <x v="1"/>
    <x v="73"/>
    <x v="75"/>
    <x v="0"/>
    <x v="75"/>
    <x v="0"/>
    <x v="75"/>
    <x v="72"/>
    <x v="75"/>
    <x v="55"/>
    <x v="55"/>
    <x v="32"/>
    <x v="32"/>
  </r>
  <r>
    <x v="2"/>
    <x v="335"/>
    <x v="335"/>
    <x v="335"/>
    <x v="0"/>
    <x v="0"/>
    <x v="0"/>
    <x v="0"/>
    <x v="0"/>
    <x v="0"/>
    <x v="0"/>
    <x v="0"/>
    <x v="0"/>
    <x v="0"/>
    <x v="0"/>
    <x v="0"/>
    <x v="0"/>
  </r>
  <r>
    <x v="1"/>
    <x v="336"/>
    <x v="336"/>
    <x v="336"/>
    <x v="1"/>
    <x v="74"/>
    <x v="76"/>
    <x v="0"/>
    <x v="76"/>
    <x v="0"/>
    <x v="76"/>
    <x v="73"/>
    <x v="76"/>
    <x v="0"/>
    <x v="0"/>
    <x v="0"/>
    <x v="0"/>
  </r>
  <r>
    <x v="0"/>
    <x v="337"/>
    <x v="337"/>
    <x v="337"/>
    <x v="0"/>
    <x v="0"/>
    <x v="0"/>
    <x v="0"/>
    <x v="0"/>
    <x v="0"/>
    <x v="0"/>
    <x v="0"/>
    <x v="0"/>
    <x v="0"/>
    <x v="0"/>
    <x v="0"/>
    <x v="0"/>
  </r>
  <r>
    <x v="0"/>
    <x v="338"/>
    <x v="338"/>
    <x v="338"/>
    <x v="0"/>
    <x v="0"/>
    <x v="0"/>
    <x v="0"/>
    <x v="0"/>
    <x v="0"/>
    <x v="0"/>
    <x v="0"/>
    <x v="0"/>
    <x v="0"/>
    <x v="0"/>
    <x v="0"/>
    <x v="0"/>
  </r>
  <r>
    <x v="2"/>
    <x v="339"/>
    <x v="339"/>
    <x v="339"/>
    <x v="1"/>
    <x v="75"/>
    <x v="77"/>
    <x v="0"/>
    <x v="77"/>
    <x v="0"/>
    <x v="77"/>
    <x v="74"/>
    <x v="77"/>
    <x v="28"/>
    <x v="28"/>
    <x v="33"/>
    <x v="33"/>
  </r>
  <r>
    <x v="2"/>
    <x v="340"/>
    <x v="340"/>
    <x v="340"/>
    <x v="0"/>
    <x v="0"/>
    <x v="0"/>
    <x v="0"/>
    <x v="0"/>
    <x v="0"/>
    <x v="0"/>
    <x v="0"/>
    <x v="0"/>
    <x v="0"/>
    <x v="0"/>
    <x v="0"/>
    <x v="0"/>
  </r>
  <r>
    <x v="2"/>
    <x v="341"/>
    <x v="341"/>
    <x v="341"/>
    <x v="0"/>
    <x v="0"/>
    <x v="0"/>
    <x v="0"/>
    <x v="0"/>
    <x v="0"/>
    <x v="0"/>
    <x v="0"/>
    <x v="0"/>
    <x v="0"/>
    <x v="0"/>
    <x v="0"/>
    <x v="0"/>
  </r>
  <r>
    <x v="2"/>
    <x v="342"/>
    <x v="342"/>
    <x v="342"/>
    <x v="0"/>
    <x v="0"/>
    <x v="0"/>
    <x v="0"/>
    <x v="0"/>
    <x v="0"/>
    <x v="0"/>
    <x v="0"/>
    <x v="0"/>
    <x v="0"/>
    <x v="0"/>
    <x v="0"/>
    <x v="0"/>
  </r>
  <r>
    <x v="2"/>
    <x v="343"/>
    <x v="343"/>
    <x v="343"/>
    <x v="1"/>
    <x v="37"/>
    <x v="38"/>
    <x v="3"/>
    <x v="78"/>
    <x v="3"/>
    <x v="78"/>
    <x v="75"/>
    <x v="78"/>
    <x v="56"/>
    <x v="56"/>
    <x v="0"/>
    <x v="0"/>
  </r>
  <r>
    <x v="2"/>
    <x v="344"/>
    <x v="344"/>
    <x v="344"/>
    <x v="0"/>
    <x v="0"/>
    <x v="0"/>
    <x v="0"/>
    <x v="0"/>
    <x v="0"/>
    <x v="0"/>
    <x v="0"/>
    <x v="0"/>
    <x v="0"/>
    <x v="0"/>
    <x v="0"/>
    <x v="0"/>
  </r>
  <r>
    <x v="1"/>
    <x v="345"/>
    <x v="345"/>
    <x v="345"/>
    <x v="0"/>
    <x v="0"/>
    <x v="0"/>
    <x v="0"/>
    <x v="0"/>
    <x v="0"/>
    <x v="0"/>
    <x v="0"/>
    <x v="0"/>
    <x v="0"/>
    <x v="0"/>
    <x v="0"/>
    <x v="0"/>
  </r>
  <r>
    <x v="0"/>
    <x v="346"/>
    <x v="346"/>
    <x v="346"/>
    <x v="0"/>
    <x v="0"/>
    <x v="0"/>
    <x v="0"/>
    <x v="0"/>
    <x v="0"/>
    <x v="0"/>
    <x v="0"/>
    <x v="0"/>
    <x v="0"/>
    <x v="0"/>
    <x v="0"/>
    <x v="0"/>
  </r>
  <r>
    <x v="0"/>
    <x v="347"/>
    <x v="347"/>
    <x v="347"/>
    <x v="0"/>
    <x v="0"/>
    <x v="0"/>
    <x v="0"/>
    <x v="0"/>
    <x v="0"/>
    <x v="0"/>
    <x v="0"/>
    <x v="0"/>
    <x v="0"/>
    <x v="0"/>
    <x v="0"/>
    <x v="0"/>
  </r>
  <r>
    <x v="0"/>
    <x v="348"/>
    <x v="348"/>
    <x v="348"/>
    <x v="1"/>
    <x v="76"/>
    <x v="78"/>
    <x v="9"/>
    <x v="0"/>
    <x v="9"/>
    <x v="0"/>
    <x v="76"/>
    <x v="79"/>
    <x v="57"/>
    <x v="57"/>
    <x v="0"/>
    <x v="0"/>
  </r>
  <r>
    <x v="0"/>
    <x v="349"/>
    <x v="349"/>
    <x v="349"/>
    <x v="0"/>
    <x v="0"/>
    <x v="0"/>
    <x v="0"/>
    <x v="0"/>
    <x v="0"/>
    <x v="0"/>
    <x v="0"/>
    <x v="0"/>
    <x v="0"/>
    <x v="0"/>
    <x v="0"/>
    <x v="0"/>
  </r>
  <r>
    <x v="0"/>
    <x v="350"/>
    <x v="350"/>
    <x v="350"/>
    <x v="1"/>
    <x v="77"/>
    <x v="79"/>
    <x v="0"/>
    <x v="79"/>
    <x v="0"/>
    <x v="79"/>
    <x v="77"/>
    <x v="80"/>
    <x v="0"/>
    <x v="0"/>
    <x v="0"/>
    <x v="0"/>
  </r>
  <r>
    <x v="0"/>
    <x v="351"/>
    <x v="351"/>
    <x v="351"/>
    <x v="0"/>
    <x v="0"/>
    <x v="0"/>
    <x v="0"/>
    <x v="0"/>
    <x v="0"/>
    <x v="0"/>
    <x v="0"/>
    <x v="0"/>
    <x v="0"/>
    <x v="0"/>
    <x v="0"/>
    <x v="0"/>
  </r>
  <r>
    <x v="2"/>
    <x v="352"/>
    <x v="352"/>
    <x v="352"/>
    <x v="0"/>
    <x v="0"/>
    <x v="0"/>
    <x v="0"/>
    <x v="0"/>
    <x v="0"/>
    <x v="0"/>
    <x v="0"/>
    <x v="0"/>
    <x v="0"/>
    <x v="0"/>
    <x v="0"/>
    <x v="0"/>
  </r>
  <r>
    <x v="0"/>
    <x v="353"/>
    <x v="353"/>
    <x v="353"/>
    <x v="0"/>
    <x v="0"/>
    <x v="0"/>
    <x v="0"/>
    <x v="0"/>
    <x v="0"/>
    <x v="0"/>
    <x v="0"/>
    <x v="0"/>
    <x v="0"/>
    <x v="0"/>
    <x v="0"/>
    <x v="0"/>
  </r>
  <r>
    <x v="2"/>
    <x v="354"/>
    <x v="354"/>
    <x v="354"/>
    <x v="0"/>
    <x v="0"/>
    <x v="0"/>
    <x v="0"/>
    <x v="0"/>
    <x v="0"/>
    <x v="0"/>
    <x v="0"/>
    <x v="0"/>
    <x v="0"/>
    <x v="0"/>
    <x v="0"/>
    <x v="0"/>
  </r>
  <r>
    <x v="0"/>
    <x v="355"/>
    <x v="355"/>
    <x v="355"/>
    <x v="0"/>
    <x v="0"/>
    <x v="0"/>
    <x v="0"/>
    <x v="0"/>
    <x v="0"/>
    <x v="0"/>
    <x v="0"/>
    <x v="0"/>
    <x v="0"/>
    <x v="0"/>
    <x v="0"/>
    <x v="0"/>
  </r>
  <r>
    <x v="0"/>
    <x v="356"/>
    <x v="356"/>
    <x v="356"/>
    <x v="1"/>
    <x v="78"/>
    <x v="80"/>
    <x v="0"/>
    <x v="80"/>
    <x v="0"/>
    <x v="80"/>
    <x v="78"/>
    <x v="81"/>
    <x v="58"/>
    <x v="58"/>
    <x v="34"/>
    <x v="34"/>
  </r>
  <r>
    <x v="2"/>
    <x v="357"/>
    <x v="357"/>
    <x v="357"/>
    <x v="1"/>
    <x v="9"/>
    <x v="81"/>
    <x v="0"/>
    <x v="81"/>
    <x v="0"/>
    <x v="81"/>
    <x v="9"/>
    <x v="82"/>
    <x v="0"/>
    <x v="0"/>
    <x v="0"/>
    <x v="0"/>
  </r>
  <r>
    <x v="2"/>
    <x v="358"/>
    <x v="358"/>
    <x v="358"/>
    <x v="0"/>
    <x v="0"/>
    <x v="0"/>
    <x v="0"/>
    <x v="0"/>
    <x v="0"/>
    <x v="0"/>
    <x v="0"/>
    <x v="0"/>
    <x v="0"/>
    <x v="0"/>
    <x v="0"/>
    <x v="0"/>
  </r>
  <r>
    <x v="0"/>
    <x v="359"/>
    <x v="359"/>
    <x v="359"/>
    <x v="0"/>
    <x v="0"/>
    <x v="0"/>
    <x v="0"/>
    <x v="0"/>
    <x v="0"/>
    <x v="0"/>
    <x v="0"/>
    <x v="0"/>
    <x v="0"/>
    <x v="0"/>
    <x v="0"/>
    <x v="0"/>
  </r>
  <r>
    <x v="0"/>
    <x v="360"/>
    <x v="360"/>
    <x v="360"/>
    <x v="0"/>
    <x v="0"/>
    <x v="0"/>
    <x v="0"/>
    <x v="0"/>
    <x v="0"/>
    <x v="0"/>
    <x v="0"/>
    <x v="0"/>
    <x v="0"/>
    <x v="0"/>
    <x v="0"/>
    <x v="0"/>
  </r>
  <r>
    <x v="1"/>
    <x v="361"/>
    <x v="361"/>
    <x v="361"/>
    <x v="0"/>
    <x v="0"/>
    <x v="0"/>
    <x v="0"/>
    <x v="0"/>
    <x v="0"/>
    <x v="0"/>
    <x v="0"/>
    <x v="0"/>
    <x v="0"/>
    <x v="0"/>
    <x v="0"/>
    <x v="0"/>
  </r>
  <r>
    <x v="1"/>
    <x v="362"/>
    <x v="362"/>
    <x v="362"/>
    <x v="0"/>
    <x v="0"/>
    <x v="0"/>
    <x v="0"/>
    <x v="0"/>
    <x v="0"/>
    <x v="0"/>
    <x v="0"/>
    <x v="0"/>
    <x v="0"/>
    <x v="0"/>
    <x v="0"/>
    <x v="0"/>
  </r>
  <r>
    <x v="1"/>
    <x v="363"/>
    <x v="363"/>
    <x v="363"/>
    <x v="0"/>
    <x v="0"/>
    <x v="0"/>
    <x v="0"/>
    <x v="0"/>
    <x v="0"/>
    <x v="0"/>
    <x v="0"/>
    <x v="0"/>
    <x v="0"/>
    <x v="0"/>
    <x v="0"/>
    <x v="0"/>
  </r>
  <r>
    <x v="0"/>
    <x v="364"/>
    <x v="364"/>
    <x v="364"/>
    <x v="0"/>
    <x v="0"/>
    <x v="0"/>
    <x v="0"/>
    <x v="0"/>
    <x v="0"/>
    <x v="0"/>
    <x v="0"/>
    <x v="0"/>
    <x v="0"/>
    <x v="0"/>
    <x v="0"/>
    <x v="0"/>
  </r>
  <r>
    <x v="1"/>
    <x v="365"/>
    <x v="365"/>
    <x v="365"/>
    <x v="0"/>
    <x v="0"/>
    <x v="0"/>
    <x v="0"/>
    <x v="0"/>
    <x v="0"/>
    <x v="0"/>
    <x v="0"/>
    <x v="0"/>
    <x v="0"/>
    <x v="0"/>
    <x v="0"/>
    <x v="0"/>
  </r>
  <r>
    <x v="2"/>
    <x v="366"/>
    <x v="366"/>
    <x v="366"/>
    <x v="1"/>
    <x v="79"/>
    <x v="82"/>
    <x v="0"/>
    <x v="82"/>
    <x v="0"/>
    <x v="82"/>
    <x v="79"/>
    <x v="83"/>
    <x v="59"/>
    <x v="59"/>
    <x v="35"/>
    <x v="35"/>
  </r>
  <r>
    <x v="1"/>
    <x v="367"/>
    <x v="367"/>
    <x v="367"/>
    <x v="0"/>
    <x v="0"/>
    <x v="0"/>
    <x v="0"/>
    <x v="0"/>
    <x v="0"/>
    <x v="0"/>
    <x v="0"/>
    <x v="0"/>
    <x v="0"/>
    <x v="0"/>
    <x v="0"/>
    <x v="0"/>
  </r>
  <r>
    <x v="1"/>
    <x v="368"/>
    <x v="368"/>
    <x v="368"/>
    <x v="0"/>
    <x v="0"/>
    <x v="0"/>
    <x v="0"/>
    <x v="0"/>
    <x v="0"/>
    <x v="0"/>
    <x v="0"/>
    <x v="0"/>
    <x v="0"/>
    <x v="0"/>
    <x v="0"/>
    <x v="0"/>
  </r>
  <r>
    <x v="2"/>
    <x v="369"/>
    <x v="369"/>
    <x v="369"/>
    <x v="0"/>
    <x v="0"/>
    <x v="0"/>
    <x v="0"/>
    <x v="0"/>
    <x v="0"/>
    <x v="0"/>
    <x v="0"/>
    <x v="0"/>
    <x v="0"/>
    <x v="0"/>
    <x v="0"/>
    <x v="0"/>
  </r>
  <r>
    <x v="2"/>
    <x v="370"/>
    <x v="370"/>
    <x v="370"/>
    <x v="1"/>
    <x v="80"/>
    <x v="83"/>
    <x v="0"/>
    <x v="83"/>
    <x v="0"/>
    <x v="83"/>
    <x v="80"/>
    <x v="84"/>
    <x v="41"/>
    <x v="41"/>
    <x v="0"/>
    <x v="0"/>
  </r>
  <r>
    <x v="2"/>
    <x v="371"/>
    <x v="371"/>
    <x v="371"/>
    <x v="0"/>
    <x v="0"/>
    <x v="0"/>
    <x v="0"/>
    <x v="0"/>
    <x v="0"/>
    <x v="0"/>
    <x v="0"/>
    <x v="0"/>
    <x v="0"/>
    <x v="0"/>
    <x v="0"/>
    <x v="0"/>
  </r>
  <r>
    <x v="2"/>
    <x v="372"/>
    <x v="372"/>
    <x v="372"/>
    <x v="1"/>
    <x v="81"/>
    <x v="84"/>
    <x v="0"/>
    <x v="84"/>
    <x v="0"/>
    <x v="84"/>
    <x v="81"/>
    <x v="85"/>
    <x v="38"/>
    <x v="38"/>
    <x v="0"/>
    <x v="0"/>
  </r>
  <r>
    <x v="0"/>
    <x v="373"/>
    <x v="373"/>
    <x v="373"/>
    <x v="1"/>
    <x v="82"/>
    <x v="85"/>
    <x v="0"/>
    <x v="85"/>
    <x v="0"/>
    <x v="85"/>
    <x v="82"/>
    <x v="86"/>
    <x v="13"/>
    <x v="13"/>
    <x v="22"/>
    <x v="22"/>
  </r>
  <r>
    <x v="2"/>
    <x v="374"/>
    <x v="374"/>
    <x v="374"/>
    <x v="0"/>
    <x v="0"/>
    <x v="0"/>
    <x v="0"/>
    <x v="0"/>
    <x v="0"/>
    <x v="0"/>
    <x v="0"/>
    <x v="0"/>
    <x v="0"/>
    <x v="0"/>
    <x v="0"/>
    <x v="0"/>
  </r>
  <r>
    <x v="0"/>
    <x v="375"/>
    <x v="375"/>
    <x v="375"/>
    <x v="0"/>
    <x v="0"/>
    <x v="0"/>
    <x v="0"/>
    <x v="0"/>
    <x v="0"/>
    <x v="0"/>
    <x v="0"/>
    <x v="0"/>
    <x v="0"/>
    <x v="0"/>
    <x v="0"/>
    <x v="0"/>
  </r>
  <r>
    <x v="0"/>
    <x v="376"/>
    <x v="376"/>
    <x v="376"/>
    <x v="1"/>
    <x v="83"/>
    <x v="86"/>
    <x v="0"/>
    <x v="86"/>
    <x v="0"/>
    <x v="86"/>
    <x v="83"/>
    <x v="87"/>
    <x v="5"/>
    <x v="5"/>
    <x v="0"/>
    <x v="0"/>
  </r>
  <r>
    <x v="2"/>
    <x v="377"/>
    <x v="377"/>
    <x v="377"/>
    <x v="1"/>
    <x v="84"/>
    <x v="87"/>
    <x v="0"/>
    <x v="87"/>
    <x v="0"/>
    <x v="87"/>
    <x v="84"/>
    <x v="88"/>
    <x v="60"/>
    <x v="60"/>
    <x v="0"/>
    <x v="0"/>
  </r>
  <r>
    <x v="1"/>
    <x v="378"/>
    <x v="378"/>
    <x v="378"/>
    <x v="0"/>
    <x v="0"/>
    <x v="0"/>
    <x v="0"/>
    <x v="0"/>
    <x v="0"/>
    <x v="0"/>
    <x v="0"/>
    <x v="0"/>
    <x v="0"/>
    <x v="0"/>
    <x v="0"/>
    <x v="0"/>
  </r>
  <r>
    <x v="1"/>
    <x v="379"/>
    <x v="379"/>
    <x v="379"/>
    <x v="0"/>
    <x v="0"/>
    <x v="0"/>
    <x v="0"/>
    <x v="0"/>
    <x v="0"/>
    <x v="0"/>
    <x v="0"/>
    <x v="0"/>
    <x v="0"/>
    <x v="0"/>
    <x v="0"/>
    <x v="0"/>
  </r>
  <r>
    <x v="2"/>
    <x v="380"/>
    <x v="380"/>
    <x v="380"/>
    <x v="0"/>
    <x v="0"/>
    <x v="0"/>
    <x v="0"/>
    <x v="0"/>
    <x v="0"/>
    <x v="0"/>
    <x v="0"/>
    <x v="0"/>
    <x v="0"/>
    <x v="0"/>
    <x v="0"/>
    <x v="0"/>
  </r>
  <r>
    <x v="1"/>
    <x v="381"/>
    <x v="381"/>
    <x v="381"/>
    <x v="0"/>
    <x v="0"/>
    <x v="0"/>
    <x v="0"/>
    <x v="0"/>
    <x v="0"/>
    <x v="0"/>
    <x v="0"/>
    <x v="0"/>
    <x v="0"/>
    <x v="0"/>
    <x v="0"/>
    <x v="0"/>
  </r>
  <r>
    <x v="2"/>
    <x v="382"/>
    <x v="382"/>
    <x v="382"/>
    <x v="0"/>
    <x v="0"/>
    <x v="0"/>
    <x v="0"/>
    <x v="0"/>
    <x v="0"/>
    <x v="0"/>
    <x v="0"/>
    <x v="0"/>
    <x v="0"/>
    <x v="0"/>
    <x v="0"/>
    <x v="0"/>
  </r>
  <r>
    <x v="1"/>
    <x v="383"/>
    <x v="383"/>
    <x v="383"/>
    <x v="0"/>
    <x v="0"/>
    <x v="0"/>
    <x v="0"/>
    <x v="0"/>
    <x v="0"/>
    <x v="0"/>
    <x v="0"/>
    <x v="0"/>
    <x v="0"/>
    <x v="0"/>
    <x v="0"/>
    <x v="0"/>
  </r>
  <r>
    <x v="0"/>
    <x v="384"/>
    <x v="384"/>
    <x v="384"/>
    <x v="0"/>
    <x v="0"/>
    <x v="0"/>
    <x v="0"/>
    <x v="0"/>
    <x v="0"/>
    <x v="0"/>
    <x v="0"/>
    <x v="0"/>
    <x v="0"/>
    <x v="0"/>
    <x v="0"/>
    <x v="0"/>
  </r>
  <r>
    <x v="2"/>
    <x v="385"/>
    <x v="385"/>
    <x v="385"/>
    <x v="0"/>
    <x v="0"/>
    <x v="0"/>
    <x v="0"/>
    <x v="0"/>
    <x v="0"/>
    <x v="0"/>
    <x v="0"/>
    <x v="0"/>
    <x v="0"/>
    <x v="0"/>
    <x v="0"/>
    <x v="0"/>
  </r>
  <r>
    <x v="1"/>
    <x v="386"/>
    <x v="386"/>
    <x v="386"/>
    <x v="0"/>
    <x v="0"/>
    <x v="0"/>
    <x v="0"/>
    <x v="0"/>
    <x v="0"/>
    <x v="0"/>
    <x v="0"/>
    <x v="0"/>
    <x v="0"/>
    <x v="0"/>
    <x v="0"/>
    <x v="0"/>
  </r>
  <r>
    <x v="2"/>
    <x v="387"/>
    <x v="387"/>
    <x v="387"/>
    <x v="0"/>
    <x v="0"/>
    <x v="0"/>
    <x v="0"/>
    <x v="0"/>
    <x v="0"/>
    <x v="0"/>
    <x v="0"/>
    <x v="0"/>
    <x v="0"/>
    <x v="0"/>
    <x v="0"/>
    <x v="0"/>
  </r>
  <r>
    <x v="1"/>
    <x v="388"/>
    <x v="388"/>
    <x v="388"/>
    <x v="0"/>
    <x v="0"/>
    <x v="0"/>
    <x v="0"/>
    <x v="0"/>
    <x v="0"/>
    <x v="0"/>
    <x v="0"/>
    <x v="0"/>
    <x v="0"/>
    <x v="0"/>
    <x v="0"/>
    <x v="0"/>
  </r>
  <r>
    <x v="0"/>
    <x v="389"/>
    <x v="389"/>
    <x v="389"/>
    <x v="0"/>
    <x v="0"/>
    <x v="0"/>
    <x v="0"/>
    <x v="0"/>
    <x v="0"/>
    <x v="0"/>
    <x v="0"/>
    <x v="0"/>
    <x v="0"/>
    <x v="0"/>
    <x v="0"/>
    <x v="0"/>
  </r>
  <r>
    <x v="2"/>
    <x v="390"/>
    <x v="390"/>
    <x v="390"/>
    <x v="0"/>
    <x v="0"/>
    <x v="0"/>
    <x v="0"/>
    <x v="0"/>
    <x v="0"/>
    <x v="0"/>
    <x v="0"/>
    <x v="0"/>
    <x v="0"/>
    <x v="0"/>
    <x v="0"/>
    <x v="0"/>
  </r>
  <r>
    <x v="0"/>
    <x v="391"/>
    <x v="391"/>
    <x v="391"/>
    <x v="0"/>
    <x v="0"/>
    <x v="0"/>
    <x v="0"/>
    <x v="0"/>
    <x v="0"/>
    <x v="0"/>
    <x v="0"/>
    <x v="0"/>
    <x v="0"/>
    <x v="0"/>
    <x v="0"/>
    <x v="0"/>
  </r>
  <r>
    <x v="0"/>
    <x v="392"/>
    <x v="392"/>
    <x v="392"/>
    <x v="0"/>
    <x v="0"/>
    <x v="0"/>
    <x v="0"/>
    <x v="0"/>
    <x v="0"/>
    <x v="0"/>
    <x v="0"/>
    <x v="0"/>
    <x v="0"/>
    <x v="0"/>
    <x v="0"/>
    <x v="0"/>
  </r>
  <r>
    <x v="1"/>
    <x v="393"/>
    <x v="393"/>
    <x v="393"/>
    <x v="0"/>
    <x v="0"/>
    <x v="0"/>
    <x v="0"/>
    <x v="0"/>
    <x v="0"/>
    <x v="0"/>
    <x v="0"/>
    <x v="0"/>
    <x v="0"/>
    <x v="0"/>
    <x v="0"/>
    <x v="0"/>
  </r>
  <r>
    <x v="1"/>
    <x v="394"/>
    <x v="394"/>
    <x v="394"/>
    <x v="0"/>
    <x v="0"/>
    <x v="0"/>
    <x v="0"/>
    <x v="0"/>
    <x v="0"/>
    <x v="0"/>
    <x v="0"/>
    <x v="0"/>
    <x v="0"/>
    <x v="0"/>
    <x v="0"/>
    <x v="0"/>
  </r>
  <r>
    <x v="0"/>
    <x v="395"/>
    <x v="395"/>
    <x v="395"/>
    <x v="0"/>
    <x v="0"/>
    <x v="0"/>
    <x v="0"/>
    <x v="0"/>
    <x v="0"/>
    <x v="0"/>
    <x v="0"/>
    <x v="0"/>
    <x v="0"/>
    <x v="0"/>
    <x v="0"/>
    <x v="0"/>
  </r>
  <r>
    <x v="2"/>
    <x v="396"/>
    <x v="396"/>
    <x v="396"/>
    <x v="0"/>
    <x v="0"/>
    <x v="0"/>
    <x v="0"/>
    <x v="0"/>
    <x v="0"/>
    <x v="0"/>
    <x v="0"/>
    <x v="0"/>
    <x v="0"/>
    <x v="0"/>
    <x v="0"/>
    <x v="0"/>
  </r>
  <r>
    <x v="1"/>
    <x v="397"/>
    <x v="397"/>
    <x v="397"/>
    <x v="1"/>
    <x v="85"/>
    <x v="88"/>
    <x v="0"/>
    <x v="88"/>
    <x v="0"/>
    <x v="88"/>
    <x v="85"/>
    <x v="89"/>
    <x v="27"/>
    <x v="27"/>
    <x v="36"/>
    <x v="36"/>
  </r>
  <r>
    <x v="0"/>
    <x v="398"/>
    <x v="398"/>
    <x v="398"/>
    <x v="0"/>
    <x v="0"/>
    <x v="0"/>
    <x v="0"/>
    <x v="0"/>
    <x v="0"/>
    <x v="0"/>
    <x v="0"/>
    <x v="0"/>
    <x v="0"/>
    <x v="0"/>
    <x v="0"/>
    <x v="0"/>
  </r>
  <r>
    <x v="2"/>
    <x v="399"/>
    <x v="399"/>
    <x v="399"/>
    <x v="0"/>
    <x v="0"/>
    <x v="0"/>
    <x v="0"/>
    <x v="0"/>
    <x v="0"/>
    <x v="0"/>
    <x v="0"/>
    <x v="0"/>
    <x v="0"/>
    <x v="0"/>
    <x v="0"/>
    <x v="0"/>
  </r>
  <r>
    <x v="0"/>
    <x v="400"/>
    <x v="400"/>
    <x v="400"/>
    <x v="0"/>
    <x v="0"/>
    <x v="0"/>
    <x v="0"/>
    <x v="0"/>
    <x v="0"/>
    <x v="0"/>
    <x v="0"/>
    <x v="0"/>
    <x v="0"/>
    <x v="0"/>
    <x v="0"/>
    <x v="0"/>
  </r>
  <r>
    <x v="0"/>
    <x v="401"/>
    <x v="401"/>
    <x v="401"/>
    <x v="0"/>
    <x v="0"/>
    <x v="0"/>
    <x v="0"/>
    <x v="0"/>
    <x v="0"/>
    <x v="0"/>
    <x v="0"/>
    <x v="0"/>
    <x v="0"/>
    <x v="0"/>
    <x v="0"/>
    <x v="0"/>
  </r>
  <r>
    <x v="2"/>
    <x v="402"/>
    <x v="402"/>
    <x v="402"/>
    <x v="0"/>
    <x v="0"/>
    <x v="0"/>
    <x v="0"/>
    <x v="0"/>
    <x v="0"/>
    <x v="0"/>
    <x v="0"/>
    <x v="0"/>
    <x v="0"/>
    <x v="0"/>
    <x v="0"/>
    <x v="0"/>
  </r>
  <r>
    <x v="2"/>
    <x v="403"/>
    <x v="403"/>
    <x v="403"/>
    <x v="0"/>
    <x v="0"/>
    <x v="0"/>
    <x v="0"/>
    <x v="0"/>
    <x v="0"/>
    <x v="0"/>
    <x v="0"/>
    <x v="0"/>
    <x v="0"/>
    <x v="0"/>
    <x v="0"/>
    <x v="0"/>
  </r>
  <r>
    <x v="2"/>
    <x v="404"/>
    <x v="404"/>
    <x v="404"/>
    <x v="0"/>
    <x v="0"/>
    <x v="0"/>
    <x v="0"/>
    <x v="0"/>
    <x v="0"/>
    <x v="0"/>
    <x v="0"/>
    <x v="0"/>
    <x v="0"/>
    <x v="0"/>
    <x v="0"/>
    <x v="0"/>
  </r>
  <r>
    <x v="0"/>
    <x v="405"/>
    <x v="405"/>
    <x v="405"/>
    <x v="0"/>
    <x v="0"/>
    <x v="0"/>
    <x v="0"/>
    <x v="0"/>
    <x v="0"/>
    <x v="0"/>
    <x v="0"/>
    <x v="0"/>
    <x v="0"/>
    <x v="0"/>
    <x v="0"/>
    <x v="0"/>
  </r>
  <r>
    <x v="2"/>
    <x v="406"/>
    <x v="406"/>
    <x v="406"/>
    <x v="0"/>
    <x v="0"/>
    <x v="0"/>
    <x v="0"/>
    <x v="0"/>
    <x v="0"/>
    <x v="0"/>
    <x v="0"/>
    <x v="0"/>
    <x v="0"/>
    <x v="0"/>
    <x v="0"/>
    <x v="0"/>
  </r>
  <r>
    <x v="2"/>
    <x v="407"/>
    <x v="407"/>
    <x v="407"/>
    <x v="1"/>
    <x v="86"/>
    <x v="89"/>
    <x v="0"/>
    <x v="89"/>
    <x v="0"/>
    <x v="89"/>
    <x v="86"/>
    <x v="90"/>
    <x v="61"/>
    <x v="61"/>
    <x v="0"/>
    <x v="0"/>
  </r>
  <r>
    <x v="2"/>
    <x v="408"/>
    <x v="408"/>
    <x v="408"/>
    <x v="0"/>
    <x v="0"/>
    <x v="0"/>
    <x v="0"/>
    <x v="0"/>
    <x v="0"/>
    <x v="0"/>
    <x v="0"/>
    <x v="0"/>
    <x v="0"/>
    <x v="0"/>
    <x v="0"/>
    <x v="0"/>
  </r>
  <r>
    <x v="0"/>
    <x v="409"/>
    <x v="409"/>
    <x v="409"/>
    <x v="0"/>
    <x v="0"/>
    <x v="0"/>
    <x v="0"/>
    <x v="0"/>
    <x v="0"/>
    <x v="0"/>
    <x v="0"/>
    <x v="0"/>
    <x v="0"/>
    <x v="0"/>
    <x v="0"/>
    <x v="0"/>
  </r>
  <r>
    <x v="1"/>
    <x v="410"/>
    <x v="410"/>
    <x v="410"/>
    <x v="1"/>
    <x v="87"/>
    <x v="90"/>
    <x v="10"/>
    <x v="90"/>
    <x v="10"/>
    <x v="90"/>
    <x v="87"/>
    <x v="91"/>
    <x v="62"/>
    <x v="62"/>
    <x v="0"/>
    <x v="0"/>
  </r>
  <r>
    <x v="2"/>
    <x v="411"/>
    <x v="411"/>
    <x v="411"/>
    <x v="1"/>
    <x v="88"/>
    <x v="91"/>
    <x v="0"/>
    <x v="91"/>
    <x v="0"/>
    <x v="91"/>
    <x v="88"/>
    <x v="92"/>
    <x v="63"/>
    <x v="63"/>
    <x v="37"/>
    <x v="37"/>
  </r>
  <r>
    <x v="0"/>
    <x v="412"/>
    <x v="412"/>
    <x v="412"/>
    <x v="0"/>
    <x v="0"/>
    <x v="0"/>
    <x v="0"/>
    <x v="0"/>
    <x v="0"/>
    <x v="0"/>
    <x v="0"/>
    <x v="0"/>
    <x v="0"/>
    <x v="0"/>
    <x v="0"/>
    <x v="0"/>
  </r>
  <r>
    <x v="0"/>
    <x v="413"/>
    <x v="413"/>
    <x v="413"/>
    <x v="0"/>
    <x v="0"/>
    <x v="0"/>
    <x v="0"/>
    <x v="0"/>
    <x v="0"/>
    <x v="0"/>
    <x v="0"/>
    <x v="0"/>
    <x v="0"/>
    <x v="0"/>
    <x v="0"/>
    <x v="0"/>
  </r>
  <r>
    <x v="0"/>
    <x v="414"/>
    <x v="414"/>
    <x v="414"/>
    <x v="1"/>
    <x v="83"/>
    <x v="86"/>
    <x v="0"/>
    <x v="86"/>
    <x v="0"/>
    <x v="86"/>
    <x v="83"/>
    <x v="87"/>
    <x v="5"/>
    <x v="5"/>
    <x v="0"/>
    <x v="0"/>
  </r>
  <r>
    <x v="1"/>
    <x v="415"/>
    <x v="415"/>
    <x v="415"/>
    <x v="1"/>
    <x v="89"/>
    <x v="92"/>
    <x v="11"/>
    <x v="92"/>
    <x v="11"/>
    <x v="92"/>
    <x v="89"/>
    <x v="93"/>
    <x v="6"/>
    <x v="6"/>
    <x v="38"/>
    <x v="38"/>
  </r>
  <r>
    <x v="0"/>
    <x v="416"/>
    <x v="416"/>
    <x v="416"/>
    <x v="0"/>
    <x v="0"/>
    <x v="0"/>
    <x v="0"/>
    <x v="0"/>
    <x v="0"/>
    <x v="0"/>
    <x v="0"/>
    <x v="0"/>
    <x v="0"/>
    <x v="0"/>
    <x v="0"/>
    <x v="0"/>
  </r>
  <r>
    <x v="1"/>
    <x v="417"/>
    <x v="417"/>
    <x v="417"/>
    <x v="0"/>
    <x v="0"/>
    <x v="0"/>
    <x v="0"/>
    <x v="0"/>
    <x v="0"/>
    <x v="0"/>
    <x v="0"/>
    <x v="0"/>
    <x v="0"/>
    <x v="0"/>
    <x v="0"/>
    <x v="0"/>
  </r>
  <r>
    <x v="2"/>
    <x v="418"/>
    <x v="418"/>
    <x v="418"/>
    <x v="0"/>
    <x v="0"/>
    <x v="0"/>
    <x v="0"/>
    <x v="0"/>
    <x v="0"/>
    <x v="0"/>
    <x v="0"/>
    <x v="0"/>
    <x v="0"/>
    <x v="0"/>
    <x v="0"/>
    <x v="0"/>
  </r>
  <r>
    <x v="2"/>
    <x v="419"/>
    <x v="419"/>
    <x v="419"/>
    <x v="0"/>
    <x v="0"/>
    <x v="0"/>
    <x v="0"/>
    <x v="0"/>
    <x v="0"/>
    <x v="0"/>
    <x v="0"/>
    <x v="0"/>
    <x v="0"/>
    <x v="0"/>
    <x v="0"/>
    <x v="0"/>
  </r>
  <r>
    <x v="1"/>
    <x v="420"/>
    <x v="420"/>
    <x v="420"/>
    <x v="0"/>
    <x v="0"/>
    <x v="0"/>
    <x v="0"/>
    <x v="0"/>
    <x v="0"/>
    <x v="0"/>
    <x v="0"/>
    <x v="0"/>
    <x v="0"/>
    <x v="0"/>
    <x v="0"/>
    <x v="0"/>
  </r>
  <r>
    <x v="0"/>
    <x v="421"/>
    <x v="421"/>
    <x v="421"/>
    <x v="0"/>
    <x v="0"/>
    <x v="0"/>
    <x v="0"/>
    <x v="0"/>
    <x v="0"/>
    <x v="0"/>
    <x v="0"/>
    <x v="0"/>
    <x v="0"/>
    <x v="0"/>
    <x v="0"/>
    <x v="0"/>
  </r>
  <r>
    <x v="2"/>
    <x v="422"/>
    <x v="422"/>
    <x v="422"/>
    <x v="0"/>
    <x v="0"/>
    <x v="0"/>
    <x v="0"/>
    <x v="0"/>
    <x v="0"/>
    <x v="0"/>
    <x v="0"/>
    <x v="0"/>
    <x v="0"/>
    <x v="0"/>
    <x v="0"/>
    <x v="0"/>
  </r>
  <r>
    <x v="1"/>
    <x v="423"/>
    <x v="423"/>
    <x v="423"/>
    <x v="0"/>
    <x v="0"/>
    <x v="0"/>
    <x v="0"/>
    <x v="0"/>
    <x v="0"/>
    <x v="0"/>
    <x v="0"/>
    <x v="0"/>
    <x v="0"/>
    <x v="0"/>
    <x v="0"/>
    <x v="0"/>
  </r>
  <r>
    <x v="2"/>
    <x v="424"/>
    <x v="424"/>
    <x v="424"/>
    <x v="0"/>
    <x v="0"/>
    <x v="0"/>
    <x v="0"/>
    <x v="0"/>
    <x v="0"/>
    <x v="0"/>
    <x v="0"/>
    <x v="0"/>
    <x v="0"/>
    <x v="0"/>
    <x v="0"/>
    <x v="0"/>
  </r>
  <r>
    <x v="2"/>
    <x v="425"/>
    <x v="425"/>
    <x v="425"/>
    <x v="1"/>
    <x v="90"/>
    <x v="93"/>
    <x v="0"/>
    <x v="93"/>
    <x v="0"/>
    <x v="93"/>
    <x v="90"/>
    <x v="94"/>
    <x v="64"/>
    <x v="64"/>
    <x v="39"/>
    <x v="39"/>
  </r>
  <r>
    <x v="0"/>
    <x v="426"/>
    <x v="426"/>
    <x v="426"/>
    <x v="1"/>
    <x v="91"/>
    <x v="94"/>
    <x v="0"/>
    <x v="94"/>
    <x v="0"/>
    <x v="94"/>
    <x v="91"/>
    <x v="95"/>
    <x v="65"/>
    <x v="65"/>
    <x v="40"/>
    <x v="40"/>
  </r>
  <r>
    <x v="2"/>
    <x v="427"/>
    <x v="427"/>
    <x v="427"/>
    <x v="0"/>
    <x v="0"/>
    <x v="0"/>
    <x v="0"/>
    <x v="0"/>
    <x v="0"/>
    <x v="0"/>
    <x v="0"/>
    <x v="0"/>
    <x v="0"/>
    <x v="0"/>
    <x v="0"/>
    <x v="0"/>
  </r>
  <r>
    <x v="1"/>
    <x v="428"/>
    <x v="428"/>
    <x v="428"/>
    <x v="0"/>
    <x v="0"/>
    <x v="0"/>
    <x v="0"/>
    <x v="0"/>
    <x v="0"/>
    <x v="0"/>
    <x v="0"/>
    <x v="0"/>
    <x v="0"/>
    <x v="0"/>
    <x v="0"/>
    <x v="0"/>
  </r>
  <r>
    <x v="2"/>
    <x v="429"/>
    <x v="429"/>
    <x v="429"/>
    <x v="0"/>
    <x v="0"/>
    <x v="0"/>
    <x v="0"/>
    <x v="0"/>
    <x v="0"/>
    <x v="0"/>
    <x v="0"/>
    <x v="0"/>
    <x v="0"/>
    <x v="0"/>
    <x v="0"/>
    <x v="0"/>
  </r>
  <r>
    <x v="2"/>
    <x v="430"/>
    <x v="430"/>
    <x v="430"/>
    <x v="0"/>
    <x v="0"/>
    <x v="0"/>
    <x v="0"/>
    <x v="0"/>
    <x v="0"/>
    <x v="0"/>
    <x v="0"/>
    <x v="0"/>
    <x v="0"/>
    <x v="0"/>
    <x v="0"/>
    <x v="0"/>
  </r>
  <r>
    <x v="1"/>
    <x v="431"/>
    <x v="431"/>
    <x v="431"/>
    <x v="0"/>
    <x v="0"/>
    <x v="0"/>
    <x v="0"/>
    <x v="0"/>
    <x v="0"/>
    <x v="0"/>
    <x v="0"/>
    <x v="0"/>
    <x v="0"/>
    <x v="0"/>
    <x v="0"/>
    <x v="0"/>
  </r>
  <r>
    <x v="1"/>
    <x v="432"/>
    <x v="432"/>
    <x v="432"/>
    <x v="0"/>
    <x v="0"/>
    <x v="0"/>
    <x v="0"/>
    <x v="0"/>
    <x v="0"/>
    <x v="0"/>
    <x v="0"/>
    <x v="0"/>
    <x v="0"/>
    <x v="0"/>
    <x v="0"/>
    <x v="0"/>
  </r>
  <r>
    <x v="1"/>
    <x v="433"/>
    <x v="433"/>
    <x v="433"/>
    <x v="0"/>
    <x v="0"/>
    <x v="0"/>
    <x v="0"/>
    <x v="0"/>
    <x v="0"/>
    <x v="0"/>
    <x v="0"/>
    <x v="0"/>
    <x v="0"/>
    <x v="0"/>
    <x v="0"/>
    <x v="0"/>
  </r>
  <r>
    <x v="1"/>
    <x v="434"/>
    <x v="434"/>
    <x v="434"/>
    <x v="0"/>
    <x v="0"/>
    <x v="0"/>
    <x v="0"/>
    <x v="0"/>
    <x v="0"/>
    <x v="0"/>
    <x v="0"/>
    <x v="0"/>
    <x v="0"/>
    <x v="0"/>
    <x v="0"/>
    <x v="0"/>
  </r>
  <r>
    <x v="0"/>
    <x v="435"/>
    <x v="435"/>
    <x v="435"/>
    <x v="0"/>
    <x v="0"/>
    <x v="0"/>
    <x v="0"/>
    <x v="0"/>
    <x v="0"/>
    <x v="0"/>
    <x v="0"/>
    <x v="0"/>
    <x v="0"/>
    <x v="0"/>
    <x v="0"/>
    <x v="0"/>
  </r>
  <r>
    <x v="0"/>
    <x v="436"/>
    <x v="436"/>
    <x v="436"/>
    <x v="1"/>
    <x v="92"/>
    <x v="95"/>
    <x v="12"/>
    <x v="95"/>
    <x v="12"/>
    <x v="95"/>
    <x v="92"/>
    <x v="96"/>
    <x v="66"/>
    <x v="66"/>
    <x v="41"/>
    <x v="41"/>
  </r>
  <r>
    <x v="0"/>
    <x v="437"/>
    <x v="437"/>
    <x v="437"/>
    <x v="0"/>
    <x v="0"/>
    <x v="0"/>
    <x v="0"/>
    <x v="0"/>
    <x v="0"/>
    <x v="0"/>
    <x v="0"/>
    <x v="0"/>
    <x v="0"/>
    <x v="0"/>
    <x v="0"/>
    <x v="0"/>
  </r>
  <r>
    <x v="2"/>
    <x v="438"/>
    <x v="438"/>
    <x v="438"/>
    <x v="0"/>
    <x v="0"/>
    <x v="0"/>
    <x v="0"/>
    <x v="0"/>
    <x v="0"/>
    <x v="0"/>
    <x v="0"/>
    <x v="0"/>
    <x v="0"/>
    <x v="0"/>
    <x v="0"/>
    <x v="0"/>
  </r>
  <r>
    <x v="0"/>
    <x v="439"/>
    <x v="439"/>
    <x v="439"/>
    <x v="0"/>
    <x v="0"/>
    <x v="0"/>
    <x v="0"/>
    <x v="0"/>
    <x v="0"/>
    <x v="0"/>
    <x v="0"/>
    <x v="0"/>
    <x v="0"/>
    <x v="0"/>
    <x v="0"/>
    <x v="0"/>
  </r>
  <r>
    <x v="2"/>
    <x v="440"/>
    <x v="440"/>
    <x v="440"/>
    <x v="0"/>
    <x v="0"/>
    <x v="0"/>
    <x v="0"/>
    <x v="0"/>
    <x v="0"/>
    <x v="0"/>
    <x v="0"/>
    <x v="0"/>
    <x v="0"/>
    <x v="0"/>
    <x v="0"/>
    <x v="0"/>
  </r>
  <r>
    <x v="1"/>
    <x v="441"/>
    <x v="441"/>
    <x v="441"/>
    <x v="0"/>
    <x v="0"/>
    <x v="0"/>
    <x v="0"/>
    <x v="0"/>
    <x v="0"/>
    <x v="0"/>
    <x v="0"/>
    <x v="0"/>
    <x v="0"/>
    <x v="0"/>
    <x v="0"/>
    <x v="0"/>
  </r>
  <r>
    <x v="1"/>
    <x v="442"/>
    <x v="442"/>
    <x v="442"/>
    <x v="0"/>
    <x v="0"/>
    <x v="0"/>
    <x v="0"/>
    <x v="0"/>
    <x v="0"/>
    <x v="0"/>
    <x v="0"/>
    <x v="0"/>
    <x v="0"/>
    <x v="0"/>
    <x v="0"/>
    <x v="0"/>
  </r>
  <r>
    <x v="2"/>
    <x v="443"/>
    <x v="443"/>
    <x v="443"/>
    <x v="0"/>
    <x v="0"/>
    <x v="0"/>
    <x v="0"/>
    <x v="0"/>
    <x v="0"/>
    <x v="0"/>
    <x v="0"/>
    <x v="0"/>
    <x v="0"/>
    <x v="0"/>
    <x v="0"/>
    <x v="0"/>
  </r>
  <r>
    <x v="1"/>
    <x v="444"/>
    <x v="444"/>
    <x v="444"/>
    <x v="1"/>
    <x v="93"/>
    <x v="96"/>
    <x v="0"/>
    <x v="96"/>
    <x v="0"/>
    <x v="96"/>
    <x v="93"/>
    <x v="97"/>
    <x v="67"/>
    <x v="67"/>
    <x v="42"/>
    <x v="42"/>
  </r>
  <r>
    <x v="1"/>
    <x v="445"/>
    <x v="445"/>
    <x v="445"/>
    <x v="0"/>
    <x v="0"/>
    <x v="0"/>
    <x v="0"/>
    <x v="0"/>
    <x v="0"/>
    <x v="0"/>
    <x v="0"/>
    <x v="0"/>
    <x v="0"/>
    <x v="0"/>
    <x v="0"/>
    <x v="0"/>
  </r>
  <r>
    <x v="2"/>
    <x v="446"/>
    <x v="446"/>
    <x v="446"/>
    <x v="1"/>
    <x v="94"/>
    <x v="97"/>
    <x v="3"/>
    <x v="97"/>
    <x v="3"/>
    <x v="97"/>
    <x v="94"/>
    <x v="98"/>
    <x v="68"/>
    <x v="68"/>
    <x v="43"/>
    <x v="43"/>
  </r>
  <r>
    <x v="2"/>
    <x v="447"/>
    <x v="447"/>
    <x v="447"/>
    <x v="1"/>
    <x v="0"/>
    <x v="0"/>
    <x v="0"/>
    <x v="0"/>
    <x v="0"/>
    <x v="0"/>
    <x v="0"/>
    <x v="0"/>
    <x v="69"/>
    <x v="69"/>
    <x v="44"/>
    <x v="44"/>
  </r>
  <r>
    <x v="0"/>
    <x v="448"/>
    <x v="448"/>
    <x v="448"/>
    <x v="0"/>
    <x v="0"/>
    <x v="0"/>
    <x v="0"/>
    <x v="0"/>
    <x v="0"/>
    <x v="0"/>
    <x v="0"/>
    <x v="0"/>
    <x v="0"/>
    <x v="0"/>
    <x v="0"/>
    <x v="0"/>
  </r>
  <r>
    <x v="2"/>
    <x v="449"/>
    <x v="449"/>
    <x v="449"/>
    <x v="0"/>
    <x v="0"/>
    <x v="0"/>
    <x v="0"/>
    <x v="0"/>
    <x v="0"/>
    <x v="0"/>
    <x v="0"/>
    <x v="0"/>
    <x v="0"/>
    <x v="0"/>
    <x v="0"/>
    <x v="0"/>
  </r>
  <r>
    <x v="2"/>
    <x v="450"/>
    <x v="450"/>
    <x v="450"/>
    <x v="0"/>
    <x v="0"/>
    <x v="0"/>
    <x v="0"/>
    <x v="0"/>
    <x v="0"/>
    <x v="0"/>
    <x v="0"/>
    <x v="0"/>
    <x v="0"/>
    <x v="0"/>
    <x v="0"/>
    <x v="0"/>
  </r>
  <r>
    <x v="1"/>
    <x v="451"/>
    <x v="451"/>
    <x v="451"/>
    <x v="1"/>
    <x v="95"/>
    <x v="98"/>
    <x v="0"/>
    <x v="98"/>
    <x v="0"/>
    <x v="98"/>
    <x v="95"/>
    <x v="99"/>
    <x v="70"/>
    <x v="70"/>
    <x v="45"/>
    <x v="45"/>
  </r>
  <r>
    <x v="0"/>
    <x v="452"/>
    <x v="452"/>
    <x v="452"/>
    <x v="1"/>
    <x v="96"/>
    <x v="99"/>
    <x v="0"/>
    <x v="99"/>
    <x v="0"/>
    <x v="99"/>
    <x v="44"/>
    <x v="100"/>
    <x v="35"/>
    <x v="35"/>
    <x v="0"/>
    <x v="0"/>
  </r>
  <r>
    <x v="1"/>
    <x v="453"/>
    <x v="453"/>
    <x v="453"/>
    <x v="0"/>
    <x v="0"/>
    <x v="0"/>
    <x v="0"/>
    <x v="0"/>
    <x v="0"/>
    <x v="0"/>
    <x v="0"/>
    <x v="0"/>
    <x v="0"/>
    <x v="0"/>
    <x v="0"/>
    <x v="0"/>
  </r>
  <r>
    <x v="1"/>
    <x v="454"/>
    <x v="454"/>
    <x v="454"/>
    <x v="0"/>
    <x v="0"/>
    <x v="0"/>
    <x v="0"/>
    <x v="0"/>
    <x v="0"/>
    <x v="0"/>
    <x v="0"/>
    <x v="0"/>
    <x v="0"/>
    <x v="0"/>
    <x v="0"/>
    <x v="0"/>
  </r>
  <r>
    <x v="2"/>
    <x v="455"/>
    <x v="455"/>
    <x v="455"/>
    <x v="0"/>
    <x v="0"/>
    <x v="0"/>
    <x v="0"/>
    <x v="0"/>
    <x v="0"/>
    <x v="0"/>
    <x v="0"/>
    <x v="0"/>
    <x v="0"/>
    <x v="0"/>
    <x v="0"/>
    <x v="0"/>
  </r>
  <r>
    <x v="2"/>
    <x v="456"/>
    <x v="456"/>
    <x v="456"/>
    <x v="0"/>
    <x v="0"/>
    <x v="0"/>
    <x v="0"/>
    <x v="0"/>
    <x v="0"/>
    <x v="0"/>
    <x v="0"/>
    <x v="0"/>
    <x v="0"/>
    <x v="0"/>
    <x v="0"/>
    <x v="0"/>
  </r>
  <r>
    <x v="1"/>
    <x v="457"/>
    <x v="457"/>
    <x v="457"/>
    <x v="1"/>
    <x v="97"/>
    <x v="100"/>
    <x v="0"/>
    <x v="100"/>
    <x v="0"/>
    <x v="100"/>
    <x v="96"/>
    <x v="101"/>
    <x v="71"/>
    <x v="71"/>
    <x v="46"/>
    <x v="46"/>
  </r>
  <r>
    <x v="1"/>
    <x v="458"/>
    <x v="458"/>
    <x v="458"/>
    <x v="0"/>
    <x v="0"/>
    <x v="0"/>
    <x v="0"/>
    <x v="0"/>
    <x v="0"/>
    <x v="0"/>
    <x v="0"/>
    <x v="0"/>
    <x v="0"/>
    <x v="0"/>
    <x v="0"/>
    <x v="0"/>
  </r>
  <r>
    <x v="0"/>
    <x v="459"/>
    <x v="459"/>
    <x v="459"/>
    <x v="0"/>
    <x v="0"/>
    <x v="0"/>
    <x v="0"/>
    <x v="0"/>
    <x v="0"/>
    <x v="0"/>
    <x v="0"/>
    <x v="0"/>
    <x v="0"/>
    <x v="0"/>
    <x v="0"/>
    <x v="0"/>
  </r>
  <r>
    <x v="1"/>
    <x v="460"/>
    <x v="460"/>
    <x v="460"/>
    <x v="1"/>
    <x v="98"/>
    <x v="101"/>
    <x v="0"/>
    <x v="101"/>
    <x v="0"/>
    <x v="101"/>
    <x v="97"/>
    <x v="102"/>
    <x v="72"/>
    <x v="72"/>
    <x v="0"/>
    <x v="0"/>
  </r>
  <r>
    <x v="1"/>
    <x v="461"/>
    <x v="461"/>
    <x v="461"/>
    <x v="0"/>
    <x v="0"/>
    <x v="0"/>
    <x v="0"/>
    <x v="0"/>
    <x v="0"/>
    <x v="0"/>
    <x v="0"/>
    <x v="0"/>
    <x v="0"/>
    <x v="0"/>
    <x v="0"/>
    <x v="0"/>
  </r>
  <r>
    <x v="0"/>
    <x v="462"/>
    <x v="462"/>
    <x v="462"/>
    <x v="0"/>
    <x v="0"/>
    <x v="0"/>
    <x v="0"/>
    <x v="0"/>
    <x v="0"/>
    <x v="0"/>
    <x v="0"/>
    <x v="0"/>
    <x v="0"/>
    <x v="0"/>
    <x v="0"/>
    <x v="0"/>
  </r>
  <r>
    <x v="1"/>
    <x v="463"/>
    <x v="463"/>
    <x v="463"/>
    <x v="0"/>
    <x v="0"/>
    <x v="0"/>
    <x v="0"/>
    <x v="0"/>
    <x v="0"/>
    <x v="0"/>
    <x v="0"/>
    <x v="0"/>
    <x v="0"/>
    <x v="0"/>
    <x v="0"/>
    <x v="0"/>
  </r>
  <r>
    <x v="0"/>
    <x v="464"/>
    <x v="464"/>
    <x v="464"/>
    <x v="0"/>
    <x v="0"/>
    <x v="0"/>
    <x v="0"/>
    <x v="0"/>
    <x v="0"/>
    <x v="0"/>
    <x v="0"/>
    <x v="0"/>
    <x v="0"/>
    <x v="0"/>
    <x v="0"/>
    <x v="0"/>
  </r>
  <r>
    <x v="2"/>
    <x v="465"/>
    <x v="465"/>
    <x v="465"/>
    <x v="0"/>
    <x v="0"/>
    <x v="0"/>
    <x v="0"/>
    <x v="0"/>
    <x v="0"/>
    <x v="0"/>
    <x v="0"/>
    <x v="0"/>
    <x v="0"/>
    <x v="0"/>
    <x v="0"/>
    <x v="0"/>
  </r>
  <r>
    <x v="1"/>
    <x v="466"/>
    <x v="466"/>
    <x v="466"/>
    <x v="0"/>
    <x v="0"/>
    <x v="0"/>
    <x v="0"/>
    <x v="0"/>
    <x v="0"/>
    <x v="0"/>
    <x v="0"/>
    <x v="0"/>
    <x v="0"/>
    <x v="0"/>
    <x v="0"/>
    <x v="0"/>
  </r>
  <r>
    <x v="0"/>
    <x v="467"/>
    <x v="467"/>
    <x v="467"/>
    <x v="0"/>
    <x v="0"/>
    <x v="0"/>
    <x v="0"/>
    <x v="0"/>
    <x v="0"/>
    <x v="0"/>
    <x v="0"/>
    <x v="0"/>
    <x v="0"/>
    <x v="0"/>
    <x v="0"/>
    <x v="0"/>
  </r>
  <r>
    <x v="2"/>
    <x v="468"/>
    <x v="468"/>
    <x v="468"/>
    <x v="0"/>
    <x v="0"/>
    <x v="0"/>
    <x v="0"/>
    <x v="0"/>
    <x v="0"/>
    <x v="0"/>
    <x v="0"/>
    <x v="0"/>
    <x v="0"/>
    <x v="0"/>
    <x v="0"/>
    <x v="0"/>
  </r>
  <r>
    <x v="1"/>
    <x v="469"/>
    <x v="469"/>
    <x v="469"/>
    <x v="0"/>
    <x v="0"/>
    <x v="0"/>
    <x v="0"/>
    <x v="0"/>
    <x v="0"/>
    <x v="0"/>
    <x v="0"/>
    <x v="0"/>
    <x v="0"/>
    <x v="0"/>
    <x v="0"/>
    <x v="0"/>
  </r>
  <r>
    <x v="0"/>
    <x v="470"/>
    <x v="470"/>
    <x v="470"/>
    <x v="1"/>
    <x v="99"/>
    <x v="102"/>
    <x v="0"/>
    <x v="102"/>
    <x v="0"/>
    <x v="102"/>
    <x v="98"/>
    <x v="103"/>
    <x v="10"/>
    <x v="10"/>
    <x v="0"/>
    <x v="0"/>
  </r>
  <r>
    <x v="0"/>
    <x v="471"/>
    <x v="471"/>
    <x v="471"/>
    <x v="0"/>
    <x v="0"/>
    <x v="0"/>
    <x v="0"/>
    <x v="0"/>
    <x v="0"/>
    <x v="0"/>
    <x v="0"/>
    <x v="0"/>
    <x v="0"/>
    <x v="0"/>
    <x v="0"/>
    <x v="0"/>
  </r>
  <r>
    <x v="2"/>
    <x v="472"/>
    <x v="472"/>
    <x v="472"/>
    <x v="0"/>
    <x v="0"/>
    <x v="0"/>
    <x v="0"/>
    <x v="0"/>
    <x v="0"/>
    <x v="0"/>
    <x v="0"/>
    <x v="0"/>
    <x v="0"/>
    <x v="0"/>
    <x v="0"/>
    <x v="0"/>
  </r>
  <r>
    <x v="0"/>
    <x v="473"/>
    <x v="473"/>
    <x v="473"/>
    <x v="0"/>
    <x v="0"/>
    <x v="0"/>
    <x v="0"/>
    <x v="0"/>
    <x v="0"/>
    <x v="0"/>
    <x v="0"/>
    <x v="0"/>
    <x v="0"/>
    <x v="0"/>
    <x v="0"/>
    <x v="0"/>
  </r>
  <r>
    <x v="2"/>
    <x v="474"/>
    <x v="474"/>
    <x v="474"/>
    <x v="0"/>
    <x v="0"/>
    <x v="0"/>
    <x v="0"/>
    <x v="0"/>
    <x v="0"/>
    <x v="0"/>
    <x v="0"/>
    <x v="0"/>
    <x v="0"/>
    <x v="0"/>
    <x v="0"/>
    <x v="0"/>
  </r>
  <r>
    <x v="0"/>
    <x v="475"/>
    <x v="475"/>
    <x v="475"/>
    <x v="0"/>
    <x v="0"/>
    <x v="0"/>
    <x v="0"/>
    <x v="0"/>
    <x v="0"/>
    <x v="0"/>
    <x v="0"/>
    <x v="0"/>
    <x v="0"/>
    <x v="0"/>
    <x v="0"/>
    <x v="0"/>
  </r>
  <r>
    <x v="0"/>
    <x v="476"/>
    <x v="476"/>
    <x v="476"/>
    <x v="0"/>
    <x v="0"/>
    <x v="0"/>
    <x v="0"/>
    <x v="0"/>
    <x v="0"/>
    <x v="0"/>
    <x v="0"/>
    <x v="0"/>
    <x v="0"/>
    <x v="0"/>
    <x v="0"/>
    <x v="0"/>
  </r>
  <r>
    <x v="0"/>
    <x v="477"/>
    <x v="477"/>
    <x v="477"/>
    <x v="0"/>
    <x v="0"/>
    <x v="0"/>
    <x v="0"/>
    <x v="0"/>
    <x v="0"/>
    <x v="0"/>
    <x v="0"/>
    <x v="0"/>
    <x v="0"/>
    <x v="0"/>
    <x v="0"/>
    <x v="0"/>
  </r>
  <r>
    <x v="0"/>
    <x v="478"/>
    <x v="478"/>
    <x v="478"/>
    <x v="0"/>
    <x v="0"/>
    <x v="0"/>
    <x v="0"/>
    <x v="0"/>
    <x v="0"/>
    <x v="0"/>
    <x v="0"/>
    <x v="0"/>
    <x v="0"/>
    <x v="0"/>
    <x v="0"/>
    <x v="0"/>
  </r>
  <r>
    <x v="0"/>
    <x v="479"/>
    <x v="479"/>
    <x v="479"/>
    <x v="1"/>
    <x v="100"/>
    <x v="103"/>
    <x v="0"/>
    <x v="103"/>
    <x v="0"/>
    <x v="103"/>
    <x v="99"/>
    <x v="104"/>
    <x v="24"/>
    <x v="24"/>
    <x v="0"/>
    <x v="0"/>
  </r>
  <r>
    <x v="0"/>
    <x v="480"/>
    <x v="480"/>
    <x v="480"/>
    <x v="1"/>
    <x v="101"/>
    <x v="104"/>
    <x v="8"/>
    <x v="104"/>
    <x v="8"/>
    <x v="104"/>
    <x v="100"/>
    <x v="105"/>
    <x v="73"/>
    <x v="73"/>
    <x v="47"/>
    <x v="47"/>
  </r>
  <r>
    <x v="2"/>
    <x v="481"/>
    <x v="481"/>
    <x v="481"/>
    <x v="0"/>
    <x v="0"/>
    <x v="0"/>
    <x v="0"/>
    <x v="0"/>
    <x v="0"/>
    <x v="0"/>
    <x v="0"/>
    <x v="0"/>
    <x v="0"/>
    <x v="0"/>
    <x v="0"/>
    <x v="0"/>
  </r>
  <r>
    <x v="1"/>
    <x v="482"/>
    <x v="482"/>
    <x v="482"/>
    <x v="0"/>
    <x v="0"/>
    <x v="0"/>
    <x v="0"/>
    <x v="0"/>
    <x v="0"/>
    <x v="0"/>
    <x v="0"/>
    <x v="0"/>
    <x v="0"/>
    <x v="0"/>
    <x v="0"/>
    <x v="0"/>
  </r>
  <r>
    <x v="2"/>
    <x v="483"/>
    <x v="483"/>
    <x v="483"/>
    <x v="0"/>
    <x v="0"/>
    <x v="0"/>
    <x v="0"/>
    <x v="0"/>
    <x v="0"/>
    <x v="0"/>
    <x v="0"/>
    <x v="0"/>
    <x v="0"/>
    <x v="0"/>
    <x v="0"/>
    <x v="0"/>
  </r>
  <r>
    <x v="1"/>
    <x v="484"/>
    <x v="484"/>
    <x v="484"/>
    <x v="0"/>
    <x v="0"/>
    <x v="0"/>
    <x v="0"/>
    <x v="0"/>
    <x v="0"/>
    <x v="0"/>
    <x v="0"/>
    <x v="0"/>
    <x v="0"/>
    <x v="0"/>
    <x v="0"/>
    <x v="0"/>
  </r>
  <r>
    <x v="1"/>
    <x v="485"/>
    <x v="485"/>
    <x v="485"/>
    <x v="0"/>
    <x v="0"/>
    <x v="0"/>
    <x v="0"/>
    <x v="0"/>
    <x v="0"/>
    <x v="0"/>
    <x v="0"/>
    <x v="0"/>
    <x v="0"/>
    <x v="0"/>
    <x v="0"/>
    <x v="0"/>
  </r>
  <r>
    <x v="2"/>
    <x v="486"/>
    <x v="486"/>
    <x v="486"/>
    <x v="0"/>
    <x v="0"/>
    <x v="0"/>
    <x v="0"/>
    <x v="0"/>
    <x v="0"/>
    <x v="0"/>
    <x v="0"/>
    <x v="0"/>
    <x v="0"/>
    <x v="0"/>
    <x v="0"/>
    <x v="0"/>
  </r>
  <r>
    <x v="2"/>
    <x v="487"/>
    <x v="487"/>
    <x v="487"/>
    <x v="0"/>
    <x v="0"/>
    <x v="0"/>
    <x v="0"/>
    <x v="0"/>
    <x v="0"/>
    <x v="0"/>
    <x v="0"/>
    <x v="0"/>
    <x v="0"/>
    <x v="0"/>
    <x v="0"/>
    <x v="0"/>
  </r>
  <r>
    <x v="1"/>
    <x v="488"/>
    <x v="488"/>
    <x v="488"/>
    <x v="0"/>
    <x v="0"/>
    <x v="0"/>
    <x v="0"/>
    <x v="0"/>
    <x v="0"/>
    <x v="0"/>
    <x v="0"/>
    <x v="0"/>
    <x v="0"/>
    <x v="0"/>
    <x v="0"/>
    <x v="0"/>
  </r>
  <r>
    <x v="2"/>
    <x v="489"/>
    <x v="489"/>
    <x v="489"/>
    <x v="1"/>
    <x v="102"/>
    <x v="105"/>
    <x v="0"/>
    <x v="105"/>
    <x v="0"/>
    <x v="105"/>
    <x v="16"/>
    <x v="106"/>
    <x v="0"/>
    <x v="0"/>
    <x v="0"/>
    <x v="0"/>
  </r>
  <r>
    <x v="1"/>
    <x v="490"/>
    <x v="490"/>
    <x v="490"/>
    <x v="0"/>
    <x v="0"/>
    <x v="0"/>
    <x v="0"/>
    <x v="0"/>
    <x v="0"/>
    <x v="0"/>
    <x v="0"/>
    <x v="0"/>
    <x v="0"/>
    <x v="0"/>
    <x v="0"/>
    <x v="0"/>
  </r>
  <r>
    <x v="2"/>
    <x v="491"/>
    <x v="491"/>
    <x v="491"/>
    <x v="0"/>
    <x v="0"/>
    <x v="0"/>
    <x v="0"/>
    <x v="0"/>
    <x v="0"/>
    <x v="0"/>
    <x v="0"/>
    <x v="0"/>
    <x v="0"/>
    <x v="0"/>
    <x v="0"/>
    <x v="0"/>
  </r>
  <r>
    <x v="1"/>
    <x v="492"/>
    <x v="492"/>
    <x v="492"/>
    <x v="1"/>
    <x v="103"/>
    <x v="106"/>
    <x v="0"/>
    <x v="106"/>
    <x v="0"/>
    <x v="106"/>
    <x v="101"/>
    <x v="107"/>
    <x v="70"/>
    <x v="70"/>
    <x v="22"/>
    <x v="22"/>
  </r>
  <r>
    <x v="0"/>
    <x v="493"/>
    <x v="493"/>
    <x v="493"/>
    <x v="0"/>
    <x v="0"/>
    <x v="0"/>
    <x v="0"/>
    <x v="0"/>
    <x v="0"/>
    <x v="0"/>
    <x v="0"/>
    <x v="0"/>
    <x v="0"/>
    <x v="0"/>
    <x v="0"/>
    <x v="0"/>
  </r>
  <r>
    <x v="0"/>
    <x v="494"/>
    <x v="494"/>
    <x v="494"/>
    <x v="0"/>
    <x v="0"/>
    <x v="0"/>
    <x v="0"/>
    <x v="0"/>
    <x v="0"/>
    <x v="0"/>
    <x v="0"/>
    <x v="0"/>
    <x v="0"/>
    <x v="0"/>
    <x v="0"/>
    <x v="0"/>
  </r>
  <r>
    <x v="1"/>
    <x v="495"/>
    <x v="495"/>
    <x v="495"/>
    <x v="0"/>
    <x v="0"/>
    <x v="0"/>
    <x v="0"/>
    <x v="0"/>
    <x v="0"/>
    <x v="0"/>
    <x v="0"/>
    <x v="0"/>
    <x v="0"/>
    <x v="0"/>
    <x v="0"/>
    <x v="0"/>
  </r>
  <r>
    <x v="2"/>
    <x v="496"/>
    <x v="496"/>
    <x v="496"/>
    <x v="0"/>
    <x v="0"/>
    <x v="0"/>
    <x v="0"/>
    <x v="0"/>
    <x v="0"/>
    <x v="0"/>
    <x v="0"/>
    <x v="0"/>
    <x v="0"/>
    <x v="0"/>
    <x v="0"/>
    <x v="0"/>
  </r>
  <r>
    <x v="0"/>
    <x v="497"/>
    <x v="497"/>
    <x v="497"/>
    <x v="0"/>
    <x v="0"/>
    <x v="0"/>
    <x v="0"/>
    <x v="0"/>
    <x v="0"/>
    <x v="0"/>
    <x v="0"/>
    <x v="0"/>
    <x v="0"/>
    <x v="0"/>
    <x v="0"/>
    <x v="0"/>
  </r>
  <r>
    <x v="2"/>
    <x v="498"/>
    <x v="498"/>
    <x v="498"/>
    <x v="0"/>
    <x v="0"/>
    <x v="0"/>
    <x v="0"/>
    <x v="0"/>
    <x v="0"/>
    <x v="0"/>
    <x v="0"/>
    <x v="0"/>
    <x v="0"/>
    <x v="0"/>
    <x v="0"/>
    <x v="0"/>
  </r>
  <r>
    <x v="0"/>
    <x v="499"/>
    <x v="499"/>
    <x v="499"/>
    <x v="0"/>
    <x v="0"/>
    <x v="0"/>
    <x v="0"/>
    <x v="0"/>
    <x v="0"/>
    <x v="0"/>
    <x v="0"/>
    <x v="0"/>
    <x v="0"/>
    <x v="0"/>
    <x v="0"/>
    <x v="0"/>
  </r>
  <r>
    <x v="0"/>
    <x v="500"/>
    <x v="500"/>
    <x v="500"/>
    <x v="0"/>
    <x v="0"/>
    <x v="0"/>
    <x v="0"/>
    <x v="0"/>
    <x v="0"/>
    <x v="0"/>
    <x v="0"/>
    <x v="0"/>
    <x v="0"/>
    <x v="0"/>
    <x v="0"/>
    <x v="0"/>
  </r>
  <r>
    <x v="0"/>
    <x v="501"/>
    <x v="501"/>
    <x v="501"/>
    <x v="0"/>
    <x v="0"/>
    <x v="0"/>
    <x v="0"/>
    <x v="0"/>
    <x v="0"/>
    <x v="0"/>
    <x v="0"/>
    <x v="0"/>
    <x v="0"/>
    <x v="0"/>
    <x v="0"/>
    <x v="0"/>
  </r>
  <r>
    <x v="2"/>
    <x v="502"/>
    <x v="502"/>
    <x v="502"/>
    <x v="0"/>
    <x v="0"/>
    <x v="0"/>
    <x v="0"/>
    <x v="0"/>
    <x v="0"/>
    <x v="0"/>
    <x v="0"/>
    <x v="0"/>
    <x v="0"/>
    <x v="0"/>
    <x v="0"/>
    <x v="0"/>
  </r>
  <r>
    <x v="1"/>
    <x v="503"/>
    <x v="503"/>
    <x v="503"/>
    <x v="0"/>
    <x v="0"/>
    <x v="0"/>
    <x v="0"/>
    <x v="0"/>
    <x v="0"/>
    <x v="0"/>
    <x v="0"/>
    <x v="0"/>
    <x v="0"/>
    <x v="0"/>
    <x v="0"/>
    <x v="0"/>
  </r>
  <r>
    <x v="1"/>
    <x v="504"/>
    <x v="504"/>
    <x v="504"/>
    <x v="1"/>
    <x v="104"/>
    <x v="107"/>
    <x v="0"/>
    <x v="107"/>
    <x v="0"/>
    <x v="107"/>
    <x v="102"/>
    <x v="108"/>
    <x v="74"/>
    <x v="74"/>
    <x v="0"/>
    <x v="0"/>
  </r>
  <r>
    <x v="2"/>
    <x v="505"/>
    <x v="505"/>
    <x v="505"/>
    <x v="0"/>
    <x v="0"/>
    <x v="0"/>
    <x v="0"/>
    <x v="0"/>
    <x v="0"/>
    <x v="0"/>
    <x v="0"/>
    <x v="0"/>
    <x v="0"/>
    <x v="0"/>
    <x v="0"/>
    <x v="0"/>
  </r>
  <r>
    <x v="2"/>
    <x v="506"/>
    <x v="506"/>
    <x v="506"/>
    <x v="1"/>
    <x v="83"/>
    <x v="86"/>
    <x v="0"/>
    <x v="86"/>
    <x v="0"/>
    <x v="86"/>
    <x v="83"/>
    <x v="87"/>
    <x v="5"/>
    <x v="5"/>
    <x v="0"/>
    <x v="0"/>
  </r>
  <r>
    <x v="0"/>
    <x v="507"/>
    <x v="507"/>
    <x v="507"/>
    <x v="0"/>
    <x v="0"/>
    <x v="0"/>
    <x v="0"/>
    <x v="0"/>
    <x v="0"/>
    <x v="0"/>
    <x v="0"/>
    <x v="0"/>
    <x v="0"/>
    <x v="0"/>
    <x v="0"/>
    <x v="0"/>
  </r>
  <r>
    <x v="2"/>
    <x v="508"/>
    <x v="508"/>
    <x v="508"/>
    <x v="0"/>
    <x v="0"/>
    <x v="0"/>
    <x v="0"/>
    <x v="0"/>
    <x v="0"/>
    <x v="0"/>
    <x v="0"/>
    <x v="0"/>
    <x v="0"/>
    <x v="0"/>
    <x v="0"/>
    <x v="0"/>
  </r>
  <r>
    <x v="2"/>
    <x v="509"/>
    <x v="509"/>
    <x v="509"/>
    <x v="1"/>
    <x v="105"/>
    <x v="108"/>
    <x v="0"/>
    <x v="108"/>
    <x v="0"/>
    <x v="108"/>
    <x v="103"/>
    <x v="109"/>
    <x v="75"/>
    <x v="75"/>
    <x v="48"/>
    <x v="48"/>
  </r>
  <r>
    <x v="1"/>
    <x v="510"/>
    <x v="510"/>
    <x v="510"/>
    <x v="0"/>
    <x v="0"/>
    <x v="0"/>
    <x v="0"/>
    <x v="0"/>
    <x v="0"/>
    <x v="0"/>
    <x v="0"/>
    <x v="0"/>
    <x v="0"/>
    <x v="0"/>
    <x v="0"/>
    <x v="0"/>
  </r>
  <r>
    <x v="2"/>
    <x v="511"/>
    <x v="511"/>
    <x v="511"/>
    <x v="0"/>
    <x v="0"/>
    <x v="0"/>
    <x v="0"/>
    <x v="0"/>
    <x v="0"/>
    <x v="0"/>
    <x v="0"/>
    <x v="0"/>
    <x v="0"/>
    <x v="0"/>
    <x v="0"/>
    <x v="0"/>
  </r>
  <r>
    <x v="1"/>
    <x v="512"/>
    <x v="512"/>
    <x v="512"/>
    <x v="0"/>
    <x v="0"/>
    <x v="0"/>
    <x v="0"/>
    <x v="0"/>
    <x v="0"/>
    <x v="0"/>
    <x v="0"/>
    <x v="0"/>
    <x v="0"/>
    <x v="0"/>
    <x v="0"/>
    <x v="0"/>
  </r>
  <r>
    <x v="0"/>
    <x v="513"/>
    <x v="513"/>
    <x v="513"/>
    <x v="1"/>
    <x v="106"/>
    <x v="109"/>
    <x v="0"/>
    <x v="109"/>
    <x v="0"/>
    <x v="109"/>
    <x v="25"/>
    <x v="110"/>
    <x v="13"/>
    <x v="13"/>
    <x v="0"/>
    <x v="0"/>
  </r>
  <r>
    <x v="2"/>
    <x v="514"/>
    <x v="514"/>
    <x v="514"/>
    <x v="0"/>
    <x v="0"/>
    <x v="0"/>
    <x v="0"/>
    <x v="0"/>
    <x v="0"/>
    <x v="0"/>
    <x v="0"/>
    <x v="0"/>
    <x v="0"/>
    <x v="0"/>
    <x v="0"/>
    <x v="0"/>
  </r>
  <r>
    <x v="0"/>
    <x v="515"/>
    <x v="515"/>
    <x v="515"/>
    <x v="0"/>
    <x v="0"/>
    <x v="0"/>
    <x v="0"/>
    <x v="0"/>
    <x v="0"/>
    <x v="0"/>
    <x v="0"/>
    <x v="0"/>
    <x v="0"/>
    <x v="0"/>
    <x v="0"/>
    <x v="0"/>
  </r>
  <r>
    <x v="2"/>
    <x v="516"/>
    <x v="516"/>
    <x v="516"/>
    <x v="0"/>
    <x v="0"/>
    <x v="0"/>
    <x v="0"/>
    <x v="0"/>
    <x v="0"/>
    <x v="0"/>
    <x v="0"/>
    <x v="0"/>
    <x v="0"/>
    <x v="0"/>
    <x v="0"/>
    <x v="0"/>
  </r>
  <r>
    <x v="2"/>
    <x v="517"/>
    <x v="517"/>
    <x v="517"/>
    <x v="0"/>
    <x v="0"/>
    <x v="0"/>
    <x v="0"/>
    <x v="0"/>
    <x v="0"/>
    <x v="0"/>
    <x v="0"/>
    <x v="0"/>
    <x v="0"/>
    <x v="0"/>
    <x v="0"/>
    <x v="0"/>
  </r>
  <r>
    <x v="1"/>
    <x v="518"/>
    <x v="518"/>
    <x v="518"/>
    <x v="0"/>
    <x v="0"/>
    <x v="0"/>
    <x v="0"/>
    <x v="0"/>
    <x v="0"/>
    <x v="0"/>
    <x v="0"/>
    <x v="0"/>
    <x v="0"/>
    <x v="0"/>
    <x v="0"/>
    <x v="0"/>
  </r>
  <r>
    <x v="1"/>
    <x v="519"/>
    <x v="519"/>
    <x v="519"/>
    <x v="0"/>
    <x v="0"/>
    <x v="0"/>
    <x v="0"/>
    <x v="0"/>
    <x v="0"/>
    <x v="0"/>
    <x v="0"/>
    <x v="0"/>
    <x v="0"/>
    <x v="0"/>
    <x v="0"/>
    <x v="0"/>
  </r>
  <r>
    <x v="2"/>
    <x v="520"/>
    <x v="520"/>
    <x v="520"/>
    <x v="0"/>
    <x v="0"/>
    <x v="0"/>
    <x v="0"/>
    <x v="0"/>
    <x v="0"/>
    <x v="0"/>
    <x v="0"/>
    <x v="0"/>
    <x v="0"/>
    <x v="0"/>
    <x v="0"/>
    <x v="0"/>
  </r>
  <r>
    <x v="1"/>
    <x v="521"/>
    <x v="521"/>
    <x v="521"/>
    <x v="0"/>
    <x v="0"/>
    <x v="0"/>
    <x v="0"/>
    <x v="0"/>
    <x v="0"/>
    <x v="0"/>
    <x v="0"/>
    <x v="0"/>
    <x v="0"/>
    <x v="0"/>
    <x v="0"/>
    <x v="0"/>
  </r>
  <r>
    <x v="2"/>
    <x v="522"/>
    <x v="522"/>
    <x v="522"/>
    <x v="0"/>
    <x v="0"/>
    <x v="0"/>
    <x v="0"/>
    <x v="0"/>
    <x v="0"/>
    <x v="0"/>
    <x v="0"/>
    <x v="0"/>
    <x v="0"/>
    <x v="0"/>
    <x v="0"/>
    <x v="0"/>
  </r>
  <r>
    <x v="0"/>
    <x v="523"/>
    <x v="523"/>
    <x v="523"/>
    <x v="1"/>
    <x v="107"/>
    <x v="110"/>
    <x v="0"/>
    <x v="110"/>
    <x v="0"/>
    <x v="110"/>
    <x v="104"/>
    <x v="111"/>
    <x v="76"/>
    <x v="76"/>
    <x v="0"/>
    <x v="0"/>
  </r>
  <r>
    <x v="0"/>
    <x v="524"/>
    <x v="524"/>
    <x v="524"/>
    <x v="0"/>
    <x v="0"/>
    <x v="0"/>
    <x v="0"/>
    <x v="0"/>
    <x v="0"/>
    <x v="0"/>
    <x v="0"/>
    <x v="0"/>
    <x v="0"/>
    <x v="0"/>
    <x v="0"/>
    <x v="0"/>
  </r>
  <r>
    <x v="2"/>
    <x v="525"/>
    <x v="525"/>
    <x v="525"/>
    <x v="0"/>
    <x v="0"/>
    <x v="0"/>
    <x v="0"/>
    <x v="0"/>
    <x v="0"/>
    <x v="0"/>
    <x v="0"/>
    <x v="0"/>
    <x v="0"/>
    <x v="0"/>
    <x v="0"/>
    <x v="0"/>
  </r>
  <r>
    <x v="2"/>
    <x v="526"/>
    <x v="526"/>
    <x v="526"/>
    <x v="0"/>
    <x v="0"/>
    <x v="0"/>
    <x v="0"/>
    <x v="0"/>
    <x v="0"/>
    <x v="0"/>
    <x v="0"/>
    <x v="0"/>
    <x v="0"/>
    <x v="0"/>
    <x v="0"/>
    <x v="0"/>
  </r>
  <r>
    <x v="1"/>
    <x v="527"/>
    <x v="527"/>
    <x v="527"/>
    <x v="0"/>
    <x v="0"/>
    <x v="0"/>
    <x v="0"/>
    <x v="0"/>
    <x v="0"/>
    <x v="0"/>
    <x v="0"/>
    <x v="0"/>
    <x v="0"/>
    <x v="0"/>
    <x v="0"/>
    <x v="0"/>
  </r>
  <r>
    <x v="0"/>
    <x v="528"/>
    <x v="528"/>
    <x v="528"/>
    <x v="0"/>
    <x v="0"/>
    <x v="0"/>
    <x v="0"/>
    <x v="0"/>
    <x v="0"/>
    <x v="0"/>
    <x v="0"/>
    <x v="0"/>
    <x v="0"/>
    <x v="0"/>
    <x v="0"/>
    <x v="0"/>
  </r>
  <r>
    <x v="2"/>
    <x v="529"/>
    <x v="529"/>
    <x v="529"/>
    <x v="0"/>
    <x v="0"/>
    <x v="0"/>
    <x v="0"/>
    <x v="0"/>
    <x v="0"/>
    <x v="0"/>
    <x v="0"/>
    <x v="0"/>
    <x v="0"/>
    <x v="0"/>
    <x v="0"/>
    <x v="0"/>
  </r>
  <r>
    <x v="1"/>
    <x v="530"/>
    <x v="530"/>
    <x v="530"/>
    <x v="0"/>
    <x v="0"/>
    <x v="0"/>
    <x v="0"/>
    <x v="0"/>
    <x v="0"/>
    <x v="0"/>
    <x v="0"/>
    <x v="0"/>
    <x v="0"/>
    <x v="0"/>
    <x v="0"/>
    <x v="0"/>
  </r>
  <r>
    <x v="0"/>
    <x v="531"/>
    <x v="531"/>
    <x v="531"/>
    <x v="0"/>
    <x v="0"/>
    <x v="0"/>
    <x v="0"/>
    <x v="0"/>
    <x v="0"/>
    <x v="0"/>
    <x v="0"/>
    <x v="0"/>
    <x v="0"/>
    <x v="0"/>
    <x v="0"/>
    <x v="0"/>
  </r>
  <r>
    <x v="2"/>
    <x v="532"/>
    <x v="532"/>
    <x v="532"/>
    <x v="0"/>
    <x v="0"/>
    <x v="0"/>
    <x v="0"/>
    <x v="0"/>
    <x v="0"/>
    <x v="0"/>
    <x v="0"/>
    <x v="0"/>
    <x v="0"/>
    <x v="0"/>
    <x v="0"/>
    <x v="0"/>
  </r>
  <r>
    <x v="2"/>
    <x v="533"/>
    <x v="533"/>
    <x v="533"/>
    <x v="0"/>
    <x v="0"/>
    <x v="0"/>
    <x v="0"/>
    <x v="0"/>
    <x v="0"/>
    <x v="0"/>
    <x v="0"/>
    <x v="0"/>
    <x v="0"/>
    <x v="0"/>
    <x v="0"/>
    <x v="0"/>
  </r>
  <r>
    <x v="1"/>
    <x v="534"/>
    <x v="534"/>
    <x v="534"/>
    <x v="0"/>
    <x v="0"/>
    <x v="0"/>
    <x v="0"/>
    <x v="0"/>
    <x v="0"/>
    <x v="0"/>
    <x v="0"/>
    <x v="0"/>
    <x v="0"/>
    <x v="0"/>
    <x v="0"/>
    <x v="0"/>
  </r>
  <r>
    <x v="2"/>
    <x v="535"/>
    <x v="535"/>
    <x v="535"/>
    <x v="0"/>
    <x v="0"/>
    <x v="0"/>
    <x v="0"/>
    <x v="0"/>
    <x v="0"/>
    <x v="0"/>
    <x v="0"/>
    <x v="0"/>
    <x v="0"/>
    <x v="0"/>
    <x v="0"/>
    <x v="0"/>
  </r>
  <r>
    <x v="2"/>
    <x v="536"/>
    <x v="536"/>
    <x v="536"/>
    <x v="0"/>
    <x v="0"/>
    <x v="0"/>
    <x v="0"/>
    <x v="0"/>
    <x v="0"/>
    <x v="0"/>
    <x v="0"/>
    <x v="0"/>
    <x v="0"/>
    <x v="0"/>
    <x v="0"/>
    <x v="0"/>
  </r>
  <r>
    <x v="1"/>
    <x v="537"/>
    <x v="537"/>
    <x v="537"/>
    <x v="0"/>
    <x v="0"/>
    <x v="0"/>
    <x v="0"/>
    <x v="0"/>
    <x v="0"/>
    <x v="0"/>
    <x v="0"/>
    <x v="0"/>
    <x v="0"/>
    <x v="0"/>
    <x v="0"/>
    <x v="0"/>
  </r>
  <r>
    <x v="2"/>
    <x v="538"/>
    <x v="538"/>
    <x v="538"/>
    <x v="0"/>
    <x v="0"/>
    <x v="0"/>
    <x v="0"/>
    <x v="0"/>
    <x v="0"/>
    <x v="0"/>
    <x v="0"/>
    <x v="0"/>
    <x v="0"/>
    <x v="0"/>
    <x v="0"/>
    <x v="0"/>
  </r>
  <r>
    <x v="0"/>
    <x v="539"/>
    <x v="539"/>
    <x v="539"/>
    <x v="0"/>
    <x v="0"/>
    <x v="0"/>
    <x v="0"/>
    <x v="0"/>
    <x v="0"/>
    <x v="0"/>
    <x v="0"/>
    <x v="0"/>
    <x v="0"/>
    <x v="0"/>
    <x v="0"/>
    <x v="0"/>
  </r>
  <r>
    <x v="1"/>
    <x v="540"/>
    <x v="540"/>
    <x v="540"/>
    <x v="0"/>
    <x v="0"/>
    <x v="0"/>
    <x v="0"/>
    <x v="0"/>
    <x v="0"/>
    <x v="0"/>
    <x v="0"/>
    <x v="0"/>
    <x v="0"/>
    <x v="0"/>
    <x v="0"/>
    <x v="0"/>
  </r>
  <r>
    <x v="0"/>
    <x v="541"/>
    <x v="541"/>
    <x v="541"/>
    <x v="0"/>
    <x v="0"/>
    <x v="0"/>
    <x v="0"/>
    <x v="0"/>
    <x v="0"/>
    <x v="0"/>
    <x v="0"/>
    <x v="0"/>
    <x v="0"/>
    <x v="0"/>
    <x v="0"/>
    <x v="0"/>
  </r>
  <r>
    <x v="1"/>
    <x v="542"/>
    <x v="542"/>
    <x v="542"/>
    <x v="1"/>
    <x v="108"/>
    <x v="111"/>
    <x v="0"/>
    <x v="111"/>
    <x v="0"/>
    <x v="111"/>
    <x v="105"/>
    <x v="112"/>
    <x v="77"/>
    <x v="77"/>
    <x v="49"/>
    <x v="49"/>
  </r>
  <r>
    <x v="2"/>
    <x v="543"/>
    <x v="543"/>
    <x v="543"/>
    <x v="0"/>
    <x v="0"/>
    <x v="0"/>
    <x v="0"/>
    <x v="0"/>
    <x v="0"/>
    <x v="0"/>
    <x v="0"/>
    <x v="0"/>
    <x v="0"/>
    <x v="0"/>
    <x v="0"/>
    <x v="0"/>
  </r>
  <r>
    <x v="1"/>
    <x v="544"/>
    <x v="544"/>
    <x v="544"/>
    <x v="0"/>
    <x v="0"/>
    <x v="0"/>
    <x v="0"/>
    <x v="0"/>
    <x v="0"/>
    <x v="0"/>
    <x v="0"/>
    <x v="0"/>
    <x v="0"/>
    <x v="0"/>
    <x v="0"/>
    <x v="0"/>
  </r>
  <r>
    <x v="1"/>
    <x v="545"/>
    <x v="545"/>
    <x v="545"/>
    <x v="1"/>
    <x v="109"/>
    <x v="112"/>
    <x v="0"/>
    <x v="112"/>
    <x v="0"/>
    <x v="112"/>
    <x v="106"/>
    <x v="113"/>
    <x v="78"/>
    <x v="78"/>
    <x v="0"/>
    <x v="0"/>
  </r>
  <r>
    <x v="1"/>
    <x v="546"/>
    <x v="546"/>
    <x v="546"/>
    <x v="1"/>
    <x v="110"/>
    <x v="113"/>
    <x v="0"/>
    <x v="113"/>
    <x v="0"/>
    <x v="113"/>
    <x v="0"/>
    <x v="114"/>
    <x v="0"/>
    <x v="0"/>
    <x v="0"/>
    <x v="0"/>
  </r>
  <r>
    <x v="2"/>
    <x v="547"/>
    <x v="547"/>
    <x v="547"/>
    <x v="1"/>
    <x v="48"/>
    <x v="50"/>
    <x v="0"/>
    <x v="50"/>
    <x v="0"/>
    <x v="114"/>
    <x v="45"/>
    <x v="115"/>
    <x v="38"/>
    <x v="38"/>
    <x v="0"/>
    <x v="0"/>
  </r>
  <r>
    <x v="1"/>
    <x v="548"/>
    <x v="548"/>
    <x v="548"/>
    <x v="0"/>
    <x v="0"/>
    <x v="0"/>
    <x v="0"/>
    <x v="0"/>
    <x v="0"/>
    <x v="0"/>
    <x v="0"/>
    <x v="0"/>
    <x v="0"/>
    <x v="0"/>
    <x v="0"/>
    <x v="0"/>
  </r>
  <r>
    <x v="0"/>
    <x v="549"/>
    <x v="549"/>
    <x v="549"/>
    <x v="0"/>
    <x v="0"/>
    <x v="0"/>
    <x v="0"/>
    <x v="0"/>
    <x v="0"/>
    <x v="0"/>
    <x v="0"/>
    <x v="0"/>
    <x v="0"/>
    <x v="0"/>
    <x v="0"/>
    <x v="0"/>
  </r>
  <r>
    <x v="0"/>
    <x v="550"/>
    <x v="550"/>
    <x v="550"/>
    <x v="0"/>
    <x v="0"/>
    <x v="0"/>
    <x v="0"/>
    <x v="0"/>
    <x v="0"/>
    <x v="0"/>
    <x v="0"/>
    <x v="0"/>
    <x v="0"/>
    <x v="0"/>
    <x v="0"/>
    <x v="0"/>
  </r>
  <r>
    <x v="0"/>
    <x v="551"/>
    <x v="551"/>
    <x v="551"/>
    <x v="0"/>
    <x v="0"/>
    <x v="0"/>
    <x v="0"/>
    <x v="0"/>
    <x v="0"/>
    <x v="0"/>
    <x v="0"/>
    <x v="0"/>
    <x v="0"/>
    <x v="0"/>
    <x v="0"/>
    <x v="0"/>
  </r>
  <r>
    <x v="0"/>
    <x v="552"/>
    <x v="552"/>
    <x v="552"/>
    <x v="0"/>
    <x v="0"/>
    <x v="0"/>
    <x v="0"/>
    <x v="0"/>
    <x v="0"/>
    <x v="0"/>
    <x v="0"/>
    <x v="0"/>
    <x v="0"/>
    <x v="0"/>
    <x v="0"/>
    <x v="0"/>
  </r>
  <r>
    <x v="2"/>
    <x v="553"/>
    <x v="553"/>
    <x v="553"/>
    <x v="0"/>
    <x v="0"/>
    <x v="0"/>
    <x v="0"/>
    <x v="0"/>
    <x v="0"/>
    <x v="0"/>
    <x v="0"/>
    <x v="0"/>
    <x v="0"/>
    <x v="0"/>
    <x v="0"/>
    <x v="0"/>
  </r>
  <r>
    <x v="2"/>
    <x v="554"/>
    <x v="554"/>
    <x v="554"/>
    <x v="0"/>
    <x v="0"/>
    <x v="0"/>
    <x v="0"/>
    <x v="0"/>
    <x v="0"/>
    <x v="0"/>
    <x v="0"/>
    <x v="0"/>
    <x v="0"/>
    <x v="0"/>
    <x v="0"/>
    <x v="0"/>
  </r>
  <r>
    <x v="1"/>
    <x v="555"/>
    <x v="555"/>
    <x v="555"/>
    <x v="0"/>
    <x v="0"/>
    <x v="0"/>
    <x v="0"/>
    <x v="0"/>
    <x v="0"/>
    <x v="0"/>
    <x v="0"/>
    <x v="0"/>
    <x v="0"/>
    <x v="0"/>
    <x v="0"/>
    <x v="0"/>
  </r>
  <r>
    <x v="1"/>
    <x v="556"/>
    <x v="556"/>
    <x v="556"/>
    <x v="0"/>
    <x v="0"/>
    <x v="0"/>
    <x v="0"/>
    <x v="0"/>
    <x v="0"/>
    <x v="0"/>
    <x v="0"/>
    <x v="0"/>
    <x v="0"/>
    <x v="0"/>
    <x v="0"/>
    <x v="0"/>
  </r>
  <r>
    <x v="1"/>
    <x v="557"/>
    <x v="557"/>
    <x v="557"/>
    <x v="0"/>
    <x v="0"/>
    <x v="0"/>
    <x v="0"/>
    <x v="0"/>
    <x v="0"/>
    <x v="0"/>
    <x v="0"/>
    <x v="0"/>
    <x v="0"/>
    <x v="0"/>
    <x v="0"/>
    <x v="0"/>
  </r>
  <r>
    <x v="0"/>
    <x v="558"/>
    <x v="558"/>
    <x v="558"/>
    <x v="1"/>
    <x v="111"/>
    <x v="114"/>
    <x v="0"/>
    <x v="114"/>
    <x v="0"/>
    <x v="115"/>
    <x v="107"/>
    <x v="116"/>
    <x v="79"/>
    <x v="79"/>
    <x v="50"/>
    <x v="50"/>
  </r>
  <r>
    <x v="2"/>
    <x v="559"/>
    <x v="559"/>
    <x v="559"/>
    <x v="0"/>
    <x v="0"/>
    <x v="0"/>
    <x v="0"/>
    <x v="0"/>
    <x v="0"/>
    <x v="0"/>
    <x v="0"/>
    <x v="0"/>
    <x v="0"/>
    <x v="0"/>
    <x v="0"/>
    <x v="0"/>
  </r>
  <r>
    <x v="1"/>
    <x v="560"/>
    <x v="560"/>
    <x v="560"/>
    <x v="0"/>
    <x v="0"/>
    <x v="0"/>
    <x v="0"/>
    <x v="0"/>
    <x v="0"/>
    <x v="0"/>
    <x v="0"/>
    <x v="0"/>
    <x v="0"/>
    <x v="0"/>
    <x v="0"/>
    <x v="0"/>
  </r>
  <r>
    <x v="1"/>
    <x v="561"/>
    <x v="561"/>
    <x v="561"/>
    <x v="0"/>
    <x v="0"/>
    <x v="0"/>
    <x v="0"/>
    <x v="0"/>
    <x v="0"/>
    <x v="0"/>
    <x v="0"/>
    <x v="0"/>
    <x v="0"/>
    <x v="0"/>
    <x v="0"/>
    <x v="0"/>
  </r>
  <r>
    <x v="0"/>
    <x v="562"/>
    <x v="562"/>
    <x v="562"/>
    <x v="0"/>
    <x v="0"/>
    <x v="0"/>
    <x v="0"/>
    <x v="0"/>
    <x v="0"/>
    <x v="0"/>
    <x v="0"/>
    <x v="0"/>
    <x v="0"/>
    <x v="0"/>
    <x v="0"/>
    <x v="0"/>
  </r>
  <r>
    <x v="2"/>
    <x v="563"/>
    <x v="563"/>
    <x v="563"/>
    <x v="0"/>
    <x v="0"/>
    <x v="0"/>
    <x v="0"/>
    <x v="0"/>
    <x v="0"/>
    <x v="0"/>
    <x v="0"/>
    <x v="0"/>
    <x v="0"/>
    <x v="0"/>
    <x v="0"/>
    <x v="0"/>
  </r>
  <r>
    <x v="1"/>
    <x v="564"/>
    <x v="564"/>
    <x v="564"/>
    <x v="1"/>
    <x v="112"/>
    <x v="115"/>
    <x v="0"/>
    <x v="115"/>
    <x v="0"/>
    <x v="116"/>
    <x v="108"/>
    <x v="117"/>
    <x v="80"/>
    <x v="80"/>
    <x v="51"/>
    <x v="51"/>
  </r>
  <r>
    <x v="2"/>
    <x v="565"/>
    <x v="565"/>
    <x v="565"/>
    <x v="0"/>
    <x v="0"/>
    <x v="0"/>
    <x v="0"/>
    <x v="0"/>
    <x v="0"/>
    <x v="0"/>
    <x v="0"/>
    <x v="0"/>
    <x v="0"/>
    <x v="0"/>
    <x v="0"/>
    <x v="0"/>
  </r>
  <r>
    <x v="1"/>
    <x v="566"/>
    <x v="566"/>
    <x v="566"/>
    <x v="0"/>
    <x v="0"/>
    <x v="0"/>
    <x v="0"/>
    <x v="0"/>
    <x v="0"/>
    <x v="0"/>
    <x v="0"/>
    <x v="0"/>
    <x v="0"/>
    <x v="0"/>
    <x v="0"/>
    <x v="0"/>
  </r>
  <r>
    <x v="2"/>
    <x v="567"/>
    <x v="567"/>
    <x v="567"/>
    <x v="0"/>
    <x v="0"/>
    <x v="0"/>
    <x v="0"/>
    <x v="0"/>
    <x v="0"/>
    <x v="0"/>
    <x v="0"/>
    <x v="0"/>
    <x v="0"/>
    <x v="0"/>
    <x v="0"/>
    <x v="0"/>
  </r>
  <r>
    <x v="1"/>
    <x v="568"/>
    <x v="568"/>
    <x v="568"/>
    <x v="1"/>
    <x v="113"/>
    <x v="116"/>
    <x v="0"/>
    <x v="116"/>
    <x v="0"/>
    <x v="117"/>
    <x v="109"/>
    <x v="118"/>
    <x v="81"/>
    <x v="81"/>
    <x v="0"/>
    <x v="0"/>
  </r>
  <r>
    <x v="1"/>
    <x v="569"/>
    <x v="569"/>
    <x v="569"/>
    <x v="0"/>
    <x v="0"/>
    <x v="0"/>
    <x v="0"/>
    <x v="0"/>
    <x v="0"/>
    <x v="0"/>
    <x v="0"/>
    <x v="0"/>
    <x v="0"/>
    <x v="0"/>
    <x v="0"/>
    <x v="0"/>
  </r>
  <r>
    <x v="0"/>
    <x v="570"/>
    <x v="570"/>
    <x v="570"/>
    <x v="0"/>
    <x v="0"/>
    <x v="0"/>
    <x v="0"/>
    <x v="0"/>
    <x v="0"/>
    <x v="0"/>
    <x v="0"/>
    <x v="0"/>
    <x v="0"/>
    <x v="0"/>
    <x v="0"/>
    <x v="0"/>
  </r>
  <r>
    <x v="1"/>
    <x v="571"/>
    <x v="571"/>
    <x v="571"/>
    <x v="0"/>
    <x v="0"/>
    <x v="0"/>
    <x v="0"/>
    <x v="0"/>
    <x v="0"/>
    <x v="0"/>
    <x v="0"/>
    <x v="0"/>
    <x v="0"/>
    <x v="0"/>
    <x v="0"/>
    <x v="0"/>
  </r>
  <r>
    <x v="1"/>
    <x v="572"/>
    <x v="572"/>
    <x v="572"/>
    <x v="0"/>
    <x v="0"/>
    <x v="0"/>
    <x v="0"/>
    <x v="0"/>
    <x v="0"/>
    <x v="0"/>
    <x v="0"/>
    <x v="0"/>
    <x v="0"/>
    <x v="0"/>
    <x v="0"/>
    <x v="0"/>
  </r>
  <r>
    <x v="0"/>
    <x v="573"/>
    <x v="573"/>
    <x v="573"/>
    <x v="0"/>
    <x v="0"/>
    <x v="0"/>
    <x v="0"/>
    <x v="0"/>
    <x v="0"/>
    <x v="0"/>
    <x v="0"/>
    <x v="0"/>
    <x v="0"/>
    <x v="0"/>
    <x v="0"/>
    <x v="0"/>
  </r>
  <r>
    <x v="0"/>
    <x v="574"/>
    <x v="574"/>
    <x v="574"/>
    <x v="0"/>
    <x v="0"/>
    <x v="0"/>
    <x v="0"/>
    <x v="0"/>
    <x v="0"/>
    <x v="0"/>
    <x v="0"/>
    <x v="0"/>
    <x v="0"/>
    <x v="0"/>
    <x v="0"/>
    <x v="0"/>
  </r>
  <r>
    <x v="0"/>
    <x v="575"/>
    <x v="575"/>
    <x v="575"/>
    <x v="0"/>
    <x v="0"/>
    <x v="0"/>
    <x v="0"/>
    <x v="0"/>
    <x v="0"/>
    <x v="0"/>
    <x v="0"/>
    <x v="0"/>
    <x v="0"/>
    <x v="0"/>
    <x v="0"/>
    <x v="0"/>
  </r>
  <r>
    <x v="0"/>
    <x v="576"/>
    <x v="576"/>
    <x v="576"/>
    <x v="0"/>
    <x v="0"/>
    <x v="0"/>
    <x v="0"/>
    <x v="0"/>
    <x v="0"/>
    <x v="0"/>
    <x v="0"/>
    <x v="0"/>
    <x v="0"/>
    <x v="0"/>
    <x v="0"/>
    <x v="0"/>
  </r>
  <r>
    <x v="0"/>
    <x v="577"/>
    <x v="577"/>
    <x v="577"/>
    <x v="0"/>
    <x v="0"/>
    <x v="0"/>
    <x v="0"/>
    <x v="0"/>
    <x v="0"/>
    <x v="0"/>
    <x v="0"/>
    <x v="0"/>
    <x v="0"/>
    <x v="0"/>
    <x v="0"/>
    <x v="0"/>
  </r>
  <r>
    <x v="2"/>
    <x v="578"/>
    <x v="578"/>
    <x v="578"/>
    <x v="0"/>
    <x v="0"/>
    <x v="0"/>
    <x v="0"/>
    <x v="0"/>
    <x v="0"/>
    <x v="0"/>
    <x v="0"/>
    <x v="0"/>
    <x v="0"/>
    <x v="0"/>
    <x v="0"/>
    <x v="0"/>
  </r>
  <r>
    <x v="2"/>
    <x v="579"/>
    <x v="579"/>
    <x v="579"/>
    <x v="0"/>
    <x v="0"/>
    <x v="0"/>
    <x v="0"/>
    <x v="0"/>
    <x v="0"/>
    <x v="0"/>
    <x v="0"/>
    <x v="0"/>
    <x v="0"/>
    <x v="0"/>
    <x v="0"/>
    <x v="0"/>
  </r>
  <r>
    <x v="1"/>
    <x v="580"/>
    <x v="580"/>
    <x v="580"/>
    <x v="0"/>
    <x v="0"/>
    <x v="0"/>
    <x v="0"/>
    <x v="0"/>
    <x v="0"/>
    <x v="0"/>
    <x v="0"/>
    <x v="0"/>
    <x v="0"/>
    <x v="0"/>
    <x v="0"/>
    <x v="0"/>
  </r>
  <r>
    <x v="0"/>
    <x v="581"/>
    <x v="581"/>
    <x v="581"/>
    <x v="0"/>
    <x v="0"/>
    <x v="0"/>
    <x v="0"/>
    <x v="0"/>
    <x v="0"/>
    <x v="0"/>
    <x v="0"/>
    <x v="0"/>
    <x v="0"/>
    <x v="0"/>
    <x v="0"/>
    <x v="0"/>
  </r>
  <r>
    <x v="1"/>
    <x v="582"/>
    <x v="582"/>
    <x v="582"/>
    <x v="0"/>
    <x v="0"/>
    <x v="0"/>
    <x v="0"/>
    <x v="0"/>
    <x v="0"/>
    <x v="0"/>
    <x v="0"/>
    <x v="0"/>
    <x v="0"/>
    <x v="0"/>
    <x v="0"/>
    <x v="0"/>
  </r>
  <r>
    <x v="1"/>
    <x v="583"/>
    <x v="583"/>
    <x v="583"/>
    <x v="0"/>
    <x v="0"/>
    <x v="0"/>
    <x v="0"/>
    <x v="0"/>
    <x v="0"/>
    <x v="0"/>
    <x v="0"/>
    <x v="0"/>
    <x v="0"/>
    <x v="0"/>
    <x v="0"/>
    <x v="0"/>
  </r>
  <r>
    <x v="1"/>
    <x v="584"/>
    <x v="584"/>
    <x v="584"/>
    <x v="0"/>
    <x v="0"/>
    <x v="0"/>
    <x v="0"/>
    <x v="0"/>
    <x v="0"/>
    <x v="0"/>
    <x v="0"/>
    <x v="0"/>
    <x v="0"/>
    <x v="0"/>
    <x v="0"/>
    <x v="0"/>
  </r>
  <r>
    <x v="0"/>
    <x v="585"/>
    <x v="585"/>
    <x v="585"/>
    <x v="0"/>
    <x v="0"/>
    <x v="0"/>
    <x v="0"/>
    <x v="0"/>
    <x v="0"/>
    <x v="0"/>
    <x v="0"/>
    <x v="0"/>
    <x v="0"/>
    <x v="0"/>
    <x v="0"/>
    <x v="0"/>
  </r>
  <r>
    <x v="1"/>
    <x v="586"/>
    <x v="586"/>
    <x v="586"/>
    <x v="0"/>
    <x v="0"/>
    <x v="0"/>
    <x v="0"/>
    <x v="0"/>
    <x v="0"/>
    <x v="0"/>
    <x v="0"/>
    <x v="0"/>
    <x v="0"/>
    <x v="0"/>
    <x v="0"/>
    <x v="0"/>
  </r>
  <r>
    <x v="2"/>
    <x v="587"/>
    <x v="587"/>
    <x v="587"/>
    <x v="0"/>
    <x v="0"/>
    <x v="0"/>
    <x v="0"/>
    <x v="0"/>
    <x v="0"/>
    <x v="0"/>
    <x v="0"/>
    <x v="0"/>
    <x v="0"/>
    <x v="0"/>
    <x v="0"/>
    <x v="0"/>
  </r>
  <r>
    <x v="2"/>
    <x v="588"/>
    <x v="588"/>
    <x v="588"/>
    <x v="0"/>
    <x v="0"/>
    <x v="0"/>
    <x v="0"/>
    <x v="0"/>
    <x v="0"/>
    <x v="0"/>
    <x v="0"/>
    <x v="0"/>
    <x v="0"/>
    <x v="0"/>
    <x v="0"/>
    <x v="0"/>
  </r>
  <r>
    <x v="1"/>
    <x v="589"/>
    <x v="589"/>
    <x v="589"/>
    <x v="0"/>
    <x v="0"/>
    <x v="0"/>
    <x v="0"/>
    <x v="0"/>
    <x v="0"/>
    <x v="0"/>
    <x v="0"/>
    <x v="0"/>
    <x v="0"/>
    <x v="0"/>
    <x v="0"/>
    <x v="0"/>
  </r>
  <r>
    <x v="3"/>
    <x v="590"/>
    <x v="590"/>
    <x v="590"/>
    <x v="2"/>
    <x v="114"/>
    <x v="117"/>
    <x v="13"/>
    <x v="117"/>
    <x v="13"/>
    <x v="118"/>
    <x v="110"/>
    <x v="119"/>
    <x v="82"/>
    <x v="82"/>
    <x v="52"/>
    <x v="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9:D14" firstHeaderRow="1" firstDataRow="2" firstDataCol="1"/>
  <pivotFields count="17">
    <pivotField axis="axisRow" compact="0" multipleItemSelectionAllowed="1" showAll="0">
      <items count="5">
        <item x="0"/>
        <item x="1"/>
        <item x="2"/>
        <item h="1" x="3"/>
        <item t="default"/>
      </items>
    </pivotField>
    <pivotField dataField="1" compact="0" showAll="0">
      <items count="5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t="default"/>
      </items>
    </pivotField>
    <pivotField compact="0" showAll="0">
      <items count="5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t="default"/>
      </items>
    </pivotField>
    <pivotField compact="0" showAll="0">
      <items count="5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t="default"/>
      </items>
    </pivotField>
    <pivotField axis="axisCol" compact="0" showAll="0">
      <items count="4">
        <item x="0"/>
        <item x="1"/>
        <item x="2"/>
        <item t="default"/>
      </items>
    </pivotField>
    <pivotField compact="0" showAll="0">
      <items count="1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compact="0" showAll="0">
      <items count="1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compact="0" showAll="0">
      <items count="1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compact="0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compact="0" showAll="0">
      <items count="84">
        <item x="0"/>
        <item x="9"/>
        <item x="69"/>
        <item x="5"/>
        <item x="57"/>
        <item x="25"/>
        <item x="20"/>
        <item x="38"/>
        <item x="34"/>
        <item x="15"/>
        <item x="35"/>
        <item x="62"/>
        <item x="10"/>
        <item x="78"/>
        <item x="36"/>
        <item x="51"/>
        <item x="41"/>
        <item x="45"/>
        <item x="56"/>
        <item x="13"/>
        <item x="2"/>
        <item x="1"/>
        <item x="81"/>
        <item x="22"/>
        <item x="32"/>
        <item x="46"/>
        <item x="54"/>
        <item x="70"/>
        <item x="59"/>
        <item x="50"/>
        <item x="76"/>
        <item x="61"/>
        <item x="64"/>
        <item x="6"/>
        <item x="79"/>
        <item x="44"/>
        <item x="75"/>
        <item x="27"/>
        <item x="42"/>
        <item x="29"/>
        <item x="49"/>
        <item x="24"/>
        <item x="67"/>
        <item x="63"/>
        <item x="21"/>
        <item x="31"/>
        <item x="60"/>
        <item x="71"/>
        <item x="58"/>
        <item x="30"/>
        <item x="53"/>
        <item x="4"/>
        <item x="65"/>
        <item x="7"/>
        <item x="16"/>
        <item x="52"/>
        <item x="23"/>
        <item x="43"/>
        <item x="33"/>
        <item x="28"/>
        <item x="47"/>
        <item x="3"/>
        <item x="12"/>
        <item x="80"/>
        <item x="68"/>
        <item x="19"/>
        <item x="39"/>
        <item x="26"/>
        <item x="14"/>
        <item x="40"/>
        <item x="55"/>
        <item x="66"/>
        <item x="74"/>
        <item x="48"/>
        <item x="77"/>
        <item x="18"/>
        <item x="72"/>
        <item x="73"/>
        <item x="17"/>
        <item x="37"/>
        <item x="8"/>
        <item x="11"/>
        <item x="82"/>
        <item t="default"/>
      </items>
    </pivotField>
    <pivotField compact="0" showAll="0">
      <items count="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计数项:用户手机号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20:E24" firstHeaderRow="0" firstDataRow="1" firstDataCol="1" rowPageCount="1" colPageCount="1"/>
  <pivotFields count="17">
    <pivotField axis="axisRow" compact="0" multipleItemSelectionAllowed="1" showAll="0">
      <items count="5">
        <item x="0"/>
        <item x="1"/>
        <item x="2"/>
        <item h="1" x="3"/>
        <item t="default"/>
      </items>
    </pivotField>
    <pivotField compact="0" showAll="0">
      <items count="5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t="default"/>
      </items>
    </pivotField>
    <pivotField compact="0" showAll="0">
      <items count="5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t="default"/>
      </items>
    </pivotField>
    <pivotField compact="0" showAll="0">
      <items count="5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t="default"/>
      </items>
    </pivotField>
    <pivotField axis="axisPage" dataField="1" compact="0" multipleItemSelectionAllowed="1" showAll="0">
      <items count="4">
        <item h="1" x="0"/>
        <item x="1"/>
        <item h="1" x="2"/>
        <item t="default"/>
      </items>
    </pivotField>
    <pivotField compact="0" showAll="0">
      <items count="1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t="default"/>
      </items>
    </pivotField>
    <pivotField dataField="1" compact="0" showAll="0">
      <items count="1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t="default"/>
      </items>
    </pivotField>
    <pivotField compact="0" showAll="0">
      <items count="11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dataField="1" compact="0" showAll="0">
      <items count="1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t="default"/>
      </items>
    </pivotField>
    <pivotField compact="0" showAll="0">
      <items count="84">
        <item x="0"/>
        <item x="9"/>
        <item x="69"/>
        <item x="5"/>
        <item x="57"/>
        <item x="25"/>
        <item x="20"/>
        <item x="38"/>
        <item x="34"/>
        <item x="15"/>
        <item x="35"/>
        <item x="62"/>
        <item x="10"/>
        <item x="78"/>
        <item x="36"/>
        <item x="51"/>
        <item x="41"/>
        <item x="45"/>
        <item x="56"/>
        <item x="13"/>
        <item x="2"/>
        <item x="1"/>
        <item x="81"/>
        <item x="22"/>
        <item x="32"/>
        <item x="46"/>
        <item x="54"/>
        <item x="70"/>
        <item x="59"/>
        <item x="50"/>
        <item x="76"/>
        <item x="61"/>
        <item x="64"/>
        <item x="6"/>
        <item x="79"/>
        <item x="44"/>
        <item x="75"/>
        <item x="27"/>
        <item x="42"/>
        <item x="29"/>
        <item x="49"/>
        <item x="24"/>
        <item x="67"/>
        <item x="63"/>
        <item x="21"/>
        <item x="31"/>
        <item x="60"/>
        <item x="71"/>
        <item x="58"/>
        <item x="30"/>
        <item x="53"/>
        <item x="4"/>
        <item x="65"/>
        <item x="7"/>
        <item x="16"/>
        <item x="52"/>
        <item x="23"/>
        <item x="43"/>
        <item x="33"/>
        <item x="28"/>
        <item x="47"/>
        <item x="3"/>
        <item x="12"/>
        <item x="80"/>
        <item x="68"/>
        <item x="19"/>
        <item x="39"/>
        <item x="26"/>
        <item x="14"/>
        <item x="40"/>
        <item x="55"/>
        <item x="66"/>
        <item x="74"/>
        <item x="48"/>
        <item x="77"/>
        <item x="18"/>
        <item x="72"/>
        <item x="73"/>
        <item x="17"/>
        <item x="37"/>
        <item x="8"/>
        <item x="11"/>
        <item x="82"/>
        <item t="default"/>
      </items>
    </pivotField>
    <pivotField dataField="1" compact="0" showAll="0">
      <items count="8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"/>
  </pageFields>
  <dataFields count="4">
    <dataField name="计数项:是否有效回归" fld="4" subtotal="count" baseField="0" baseItem="0"/>
    <dataField name="求和项:总投注流水（本地货币）" fld="6" baseField="0" baseItem="0"/>
    <dataField name="求和项:全部ggr（本地货币）" fld="12" baseField="0" baseItem="0"/>
    <dataField name="求和项:充值金额（本地货币）" fld="1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70"/>
  <sheetViews>
    <sheetView workbookViewId="0">
      <selection activeCell="R1" sqref="R$1:R$1048576"/>
    </sheetView>
  </sheetViews>
  <sheetFormatPr defaultColWidth="9" defaultRowHeight="13.5"/>
  <cols>
    <col min="1" max="1" width="13.0176991150442" customWidth="1"/>
    <col min="4" max="4" width="21.787610619469" style="12"/>
  </cols>
  <sheetData>
    <row r="1" s="3" customFormat="1" spans="1:29">
      <c r="A1" s="3" t="s">
        <v>0</v>
      </c>
      <c r="B1" s="3" t="s">
        <v>1</v>
      </c>
      <c r="C1" s="3" t="s">
        <v>2</v>
      </c>
      <c r="D1" s="1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="3" customFormat="1" spans="1:29">
      <c r="A2" s="3" t="s">
        <v>29</v>
      </c>
      <c r="B2" s="3" t="s">
        <v>30</v>
      </c>
      <c r="C2" s="3">
        <v>20937650</v>
      </c>
      <c r="D2" s="13" t="s">
        <v>31</v>
      </c>
      <c r="E2" s="16">
        <v>46045.9156828704</v>
      </c>
      <c r="F2" s="3">
        <v>601.52</v>
      </c>
      <c r="G2" s="3">
        <v>0.08</v>
      </c>
      <c r="H2" s="3">
        <v>601.45</v>
      </c>
      <c r="I2" s="3">
        <v>31.31</v>
      </c>
      <c r="J2" s="3">
        <v>-0.03</v>
      </c>
      <c r="K2" s="3">
        <v>31.34</v>
      </c>
      <c r="L2" s="3">
        <v>139.38</v>
      </c>
      <c r="M2" s="3">
        <v>1812</v>
      </c>
      <c r="N2" s="3">
        <v>123.62</v>
      </c>
      <c r="O2" s="3">
        <v>1607</v>
      </c>
      <c r="P2" s="3" t="s">
        <v>32</v>
      </c>
      <c r="Q2" s="3" t="s">
        <v>33</v>
      </c>
      <c r="R2" s="3" t="s">
        <v>34</v>
      </c>
      <c r="S2" s="3">
        <v>0</v>
      </c>
      <c r="T2" s="3">
        <v>0</v>
      </c>
      <c r="U2" s="3">
        <v>0</v>
      </c>
      <c r="V2" s="3" t="s">
        <v>35</v>
      </c>
      <c r="W2" s="3" t="s">
        <v>35</v>
      </c>
      <c r="X2" s="3" t="s">
        <v>35</v>
      </c>
      <c r="Y2" s="3" t="s">
        <v>35</v>
      </c>
      <c r="Z2" s="3" t="s">
        <v>35</v>
      </c>
      <c r="AA2" s="3" t="s">
        <v>35</v>
      </c>
      <c r="AB2" s="3" t="s">
        <v>36</v>
      </c>
      <c r="AC2" s="3" t="s">
        <v>37</v>
      </c>
    </row>
    <row r="3" s="3" customFormat="1" spans="1:29">
      <c r="A3" s="3" t="s">
        <v>29</v>
      </c>
      <c r="B3" s="3" t="s">
        <v>30</v>
      </c>
      <c r="C3" s="3">
        <v>11241392</v>
      </c>
      <c r="D3" s="13" t="s">
        <v>38</v>
      </c>
      <c r="E3" s="16">
        <v>45238.6286342593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192.31</v>
      </c>
      <c r="M3" s="3">
        <v>2500</v>
      </c>
      <c r="N3" s="3">
        <v>0</v>
      </c>
      <c r="O3" s="3">
        <v>0</v>
      </c>
      <c r="P3" s="3" t="s">
        <v>39</v>
      </c>
      <c r="Q3" s="3" t="s">
        <v>33</v>
      </c>
      <c r="R3" s="3" t="s">
        <v>34</v>
      </c>
      <c r="S3" s="3">
        <v>120</v>
      </c>
      <c r="T3" s="3">
        <v>0</v>
      </c>
      <c r="U3" s="3">
        <v>0</v>
      </c>
      <c r="V3" s="3" t="s">
        <v>35</v>
      </c>
      <c r="W3" s="3" t="s">
        <v>35</v>
      </c>
      <c r="X3" s="3" t="s">
        <v>35</v>
      </c>
      <c r="Y3" s="3" t="s">
        <v>35</v>
      </c>
      <c r="Z3" s="3" t="s">
        <v>35</v>
      </c>
      <c r="AA3" s="3" t="s">
        <v>35</v>
      </c>
      <c r="AB3" s="3" t="s">
        <v>36</v>
      </c>
      <c r="AC3" s="3" t="s">
        <v>37</v>
      </c>
    </row>
    <row r="4" s="3" customFormat="1" spans="1:29">
      <c r="A4" s="3" t="s">
        <v>29</v>
      </c>
      <c r="B4" s="3" t="s">
        <v>30</v>
      </c>
      <c r="C4" s="3">
        <v>6855101</v>
      </c>
      <c r="D4" s="13" t="s">
        <v>40</v>
      </c>
      <c r="E4" s="16">
        <v>44611.5084375</v>
      </c>
      <c r="F4" s="3">
        <v>13871.94</v>
      </c>
      <c r="G4" s="3">
        <v>3.54</v>
      </c>
      <c r="H4" s="3">
        <v>13868.4</v>
      </c>
      <c r="I4" s="3">
        <v>-282.77</v>
      </c>
      <c r="J4" s="3">
        <v>3.54</v>
      </c>
      <c r="K4" s="3">
        <v>-286.31</v>
      </c>
      <c r="L4" s="3">
        <v>1661.46</v>
      </c>
      <c r="M4" s="3">
        <v>21599</v>
      </c>
      <c r="N4" s="3">
        <v>710.23</v>
      </c>
      <c r="O4" s="3">
        <v>9233</v>
      </c>
      <c r="P4" s="3" t="s">
        <v>41</v>
      </c>
      <c r="Q4" s="3" t="s">
        <v>42</v>
      </c>
      <c r="R4" s="3" t="s">
        <v>34</v>
      </c>
      <c r="S4" s="3">
        <v>0</v>
      </c>
      <c r="T4" s="3">
        <v>0</v>
      </c>
      <c r="U4" s="3">
        <v>0</v>
      </c>
      <c r="V4" s="3" t="s">
        <v>35</v>
      </c>
      <c r="W4" s="3" t="s">
        <v>35</v>
      </c>
      <c r="X4" s="3" t="s">
        <v>35</v>
      </c>
      <c r="Y4" s="3" t="s">
        <v>35</v>
      </c>
      <c r="Z4" s="3" t="s">
        <v>35</v>
      </c>
      <c r="AA4" s="3" t="s">
        <v>35</v>
      </c>
      <c r="AB4" s="3" t="s">
        <v>43</v>
      </c>
      <c r="AC4" s="3" t="s">
        <v>37</v>
      </c>
    </row>
    <row r="5" s="3" customFormat="1" spans="1:29">
      <c r="A5" s="3" t="s">
        <v>29</v>
      </c>
      <c r="B5" s="3" t="s">
        <v>30</v>
      </c>
      <c r="C5" s="3">
        <v>22913470</v>
      </c>
      <c r="D5" s="13" t="s">
        <v>44</v>
      </c>
      <c r="E5" s="16">
        <v>46159.6569097222</v>
      </c>
      <c r="F5" s="3">
        <v>0.08</v>
      </c>
      <c r="G5" s="3">
        <v>0</v>
      </c>
      <c r="H5" s="3">
        <v>0.08</v>
      </c>
      <c r="I5" s="3">
        <v>0.08</v>
      </c>
      <c r="J5" s="3">
        <v>0</v>
      </c>
      <c r="K5" s="3">
        <v>0.08</v>
      </c>
      <c r="L5" s="3">
        <v>60</v>
      </c>
      <c r="M5" s="3">
        <v>780</v>
      </c>
      <c r="N5" s="3">
        <v>60</v>
      </c>
      <c r="O5" s="3">
        <v>780</v>
      </c>
      <c r="P5" s="3" t="s">
        <v>32</v>
      </c>
      <c r="Q5" s="3" t="s">
        <v>33</v>
      </c>
      <c r="R5" s="3" t="s">
        <v>34</v>
      </c>
      <c r="S5" s="3">
        <v>0</v>
      </c>
      <c r="T5" s="3">
        <v>0</v>
      </c>
      <c r="U5" s="3">
        <v>0</v>
      </c>
      <c r="V5" s="3" t="s">
        <v>35</v>
      </c>
      <c r="W5" s="3" t="s">
        <v>35</v>
      </c>
      <c r="X5" s="3" t="s">
        <v>35</v>
      </c>
      <c r="Y5" s="3" t="s">
        <v>35</v>
      </c>
      <c r="Z5" s="3" t="s">
        <v>35</v>
      </c>
      <c r="AA5" s="3" t="s">
        <v>35</v>
      </c>
      <c r="AB5" s="3" t="s">
        <v>43</v>
      </c>
      <c r="AC5" s="3" t="s">
        <v>37</v>
      </c>
    </row>
    <row r="6" s="3" customFormat="1" spans="1:29">
      <c r="A6" s="3" t="s">
        <v>29</v>
      </c>
      <c r="B6" s="3" t="s">
        <v>30</v>
      </c>
      <c r="C6" s="3">
        <v>22843761</v>
      </c>
      <c r="D6" s="13" t="s">
        <v>45</v>
      </c>
      <c r="E6" s="16">
        <v>46155.2955555556</v>
      </c>
      <c r="F6" s="3">
        <v>813.54</v>
      </c>
      <c r="G6" s="3">
        <v>0</v>
      </c>
      <c r="H6" s="3">
        <v>813.54</v>
      </c>
      <c r="I6" s="3">
        <v>93.07</v>
      </c>
      <c r="J6" s="3">
        <v>0</v>
      </c>
      <c r="K6" s="3">
        <v>93.07</v>
      </c>
      <c r="L6" s="3">
        <v>137</v>
      </c>
      <c r="M6" s="3">
        <v>1781</v>
      </c>
      <c r="N6" s="3">
        <v>137</v>
      </c>
      <c r="O6" s="3">
        <v>1781</v>
      </c>
      <c r="P6" s="3" t="s">
        <v>32</v>
      </c>
      <c r="Q6" s="3" t="s">
        <v>33</v>
      </c>
      <c r="R6" s="3" t="s">
        <v>34</v>
      </c>
      <c r="S6" s="3">
        <v>0</v>
      </c>
      <c r="T6" s="3">
        <v>0</v>
      </c>
      <c r="U6" s="3">
        <v>0</v>
      </c>
      <c r="V6" s="3" t="s">
        <v>35</v>
      </c>
      <c r="W6" s="3" t="s">
        <v>35</v>
      </c>
      <c r="X6" s="3" t="s">
        <v>35</v>
      </c>
      <c r="Y6" s="3" t="s">
        <v>35</v>
      </c>
      <c r="Z6" s="3" t="s">
        <v>35</v>
      </c>
      <c r="AA6" s="3" t="s">
        <v>35</v>
      </c>
      <c r="AB6" s="3" t="s">
        <v>43</v>
      </c>
      <c r="AC6" s="3" t="s">
        <v>37</v>
      </c>
    </row>
    <row r="7" s="3" customFormat="1" spans="1:29">
      <c r="A7" s="3" t="s">
        <v>29</v>
      </c>
      <c r="B7" s="3" t="s">
        <v>30</v>
      </c>
      <c r="C7" s="3">
        <v>11240940</v>
      </c>
      <c r="D7" s="13" t="s">
        <v>46</v>
      </c>
      <c r="E7" s="16">
        <v>45238.6066550926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192.31</v>
      </c>
      <c r="M7" s="3">
        <v>2500</v>
      </c>
      <c r="N7" s="3">
        <v>0</v>
      </c>
      <c r="O7" s="3">
        <v>0</v>
      </c>
      <c r="P7" s="3" t="s">
        <v>39</v>
      </c>
      <c r="Q7" s="3" t="s">
        <v>33</v>
      </c>
      <c r="R7" s="3" t="s">
        <v>34</v>
      </c>
      <c r="S7" s="3">
        <v>120</v>
      </c>
      <c r="T7" s="3">
        <v>0</v>
      </c>
      <c r="U7" s="3">
        <v>0</v>
      </c>
      <c r="V7" s="3" t="s">
        <v>35</v>
      </c>
      <c r="W7" s="3" t="s">
        <v>35</v>
      </c>
      <c r="X7" s="3" t="s">
        <v>35</v>
      </c>
      <c r="Y7" s="3" t="s">
        <v>35</v>
      </c>
      <c r="Z7" s="3" t="s">
        <v>35</v>
      </c>
      <c r="AA7" s="3" t="s">
        <v>35</v>
      </c>
      <c r="AB7" s="3" t="s">
        <v>43</v>
      </c>
      <c r="AC7" s="3" t="s">
        <v>37</v>
      </c>
    </row>
    <row r="8" s="3" customFormat="1" spans="1:29">
      <c r="A8" s="3" t="s">
        <v>29</v>
      </c>
      <c r="B8" s="3" t="s">
        <v>30</v>
      </c>
      <c r="C8" s="3">
        <v>21802200</v>
      </c>
      <c r="D8" s="13" t="s">
        <v>47</v>
      </c>
      <c r="E8" s="16">
        <v>46090.9915162037</v>
      </c>
      <c r="F8" s="3">
        <v>546.31</v>
      </c>
      <c r="G8" s="3">
        <v>0.23</v>
      </c>
      <c r="H8" s="3">
        <v>546.08</v>
      </c>
      <c r="I8" s="3">
        <v>38.36</v>
      </c>
      <c r="J8" s="3">
        <v>-0.39</v>
      </c>
      <c r="K8" s="3">
        <v>38.75</v>
      </c>
      <c r="L8" s="3">
        <v>77.38</v>
      </c>
      <c r="M8" s="3">
        <v>1006</v>
      </c>
      <c r="N8" s="3">
        <v>77.38</v>
      </c>
      <c r="O8" s="3">
        <v>1006</v>
      </c>
      <c r="P8" s="3" t="s">
        <v>32</v>
      </c>
      <c r="Q8" s="3" t="s">
        <v>33</v>
      </c>
      <c r="R8" s="3" t="s">
        <v>34</v>
      </c>
      <c r="S8" s="3">
        <v>0</v>
      </c>
      <c r="T8" s="3">
        <v>0</v>
      </c>
      <c r="U8" s="3">
        <v>0</v>
      </c>
      <c r="V8" s="3" t="s">
        <v>35</v>
      </c>
      <c r="W8" s="3" t="s">
        <v>35</v>
      </c>
      <c r="X8" s="3" t="s">
        <v>35</v>
      </c>
      <c r="Y8" s="3" t="s">
        <v>35</v>
      </c>
      <c r="Z8" s="3" t="s">
        <v>35</v>
      </c>
      <c r="AA8" s="3" t="s">
        <v>35</v>
      </c>
      <c r="AB8" s="3" t="s">
        <v>48</v>
      </c>
      <c r="AC8" s="3" t="s">
        <v>49</v>
      </c>
    </row>
    <row r="9" s="3" customFormat="1" spans="1:29">
      <c r="A9" s="3" t="s">
        <v>29</v>
      </c>
      <c r="B9" s="3" t="s">
        <v>30</v>
      </c>
      <c r="C9" s="3">
        <v>22978641</v>
      </c>
      <c r="D9" s="13" t="s">
        <v>50</v>
      </c>
      <c r="E9" s="16">
        <v>46164.3354166667</v>
      </c>
      <c r="F9" s="3">
        <v>5306.65</v>
      </c>
      <c r="G9" s="3">
        <v>0.08</v>
      </c>
      <c r="H9" s="3">
        <v>5306.58</v>
      </c>
      <c r="I9" s="3">
        <v>1900.81</v>
      </c>
      <c r="J9" s="3">
        <v>0.08</v>
      </c>
      <c r="K9" s="3">
        <v>1900.74</v>
      </c>
      <c r="L9" s="3">
        <v>1900.85</v>
      </c>
      <c r="M9" s="3">
        <v>24711</v>
      </c>
      <c r="N9" s="3">
        <v>1900.85</v>
      </c>
      <c r="O9" s="3">
        <v>24711</v>
      </c>
      <c r="P9" s="3" t="s">
        <v>41</v>
      </c>
      <c r="Q9" s="3" t="s">
        <v>42</v>
      </c>
      <c r="R9" s="3" t="s">
        <v>34</v>
      </c>
      <c r="S9" s="3">
        <v>0</v>
      </c>
      <c r="T9" s="3">
        <v>0</v>
      </c>
      <c r="U9" s="3">
        <v>0</v>
      </c>
      <c r="V9" s="3" t="s">
        <v>35</v>
      </c>
      <c r="W9" s="3" t="s">
        <v>35</v>
      </c>
      <c r="X9" s="3" t="s">
        <v>35</v>
      </c>
      <c r="Y9" s="3" t="s">
        <v>35</v>
      </c>
      <c r="Z9" s="3" t="s">
        <v>35</v>
      </c>
      <c r="AA9" s="3" t="s">
        <v>35</v>
      </c>
      <c r="AB9" s="3" t="s">
        <v>48</v>
      </c>
      <c r="AC9" s="3" t="s">
        <v>49</v>
      </c>
    </row>
    <row r="10" s="3" customFormat="1" spans="1:29">
      <c r="A10" s="3" t="s">
        <v>29</v>
      </c>
      <c r="B10" s="3" t="s">
        <v>30</v>
      </c>
      <c r="C10" s="3">
        <v>22818780</v>
      </c>
      <c r="D10" s="13" t="s">
        <v>51</v>
      </c>
      <c r="E10" s="16">
        <v>46153.0397800926</v>
      </c>
      <c r="F10" s="3">
        <v>384.62</v>
      </c>
      <c r="G10" s="3">
        <v>0</v>
      </c>
      <c r="H10" s="3">
        <v>384.62</v>
      </c>
      <c r="I10" s="3">
        <v>384.62</v>
      </c>
      <c r="J10" s="3">
        <v>0</v>
      </c>
      <c r="K10" s="3">
        <v>384.62</v>
      </c>
      <c r="L10" s="3">
        <v>384.62</v>
      </c>
      <c r="M10" s="3">
        <v>5000</v>
      </c>
      <c r="N10" s="3">
        <v>384.62</v>
      </c>
      <c r="O10" s="3">
        <v>5000</v>
      </c>
      <c r="P10" s="3" t="s">
        <v>41</v>
      </c>
      <c r="Q10" s="3" t="s">
        <v>33</v>
      </c>
      <c r="R10" s="3" t="s">
        <v>34</v>
      </c>
      <c r="S10" s="3">
        <v>0</v>
      </c>
      <c r="T10" s="3">
        <v>0</v>
      </c>
      <c r="U10" s="3">
        <v>0</v>
      </c>
      <c r="V10" s="3" t="s">
        <v>35</v>
      </c>
      <c r="W10" s="3" t="s">
        <v>35</v>
      </c>
      <c r="X10" s="3" t="s">
        <v>35</v>
      </c>
      <c r="Y10" s="3" t="s">
        <v>35</v>
      </c>
      <c r="Z10" s="3" t="s">
        <v>35</v>
      </c>
      <c r="AA10" s="3" t="s">
        <v>35</v>
      </c>
      <c r="AB10" s="3" t="s">
        <v>48</v>
      </c>
      <c r="AC10" s="3" t="s">
        <v>49</v>
      </c>
    </row>
    <row r="11" s="3" customFormat="1" spans="1:29">
      <c r="A11" s="3" t="s">
        <v>29</v>
      </c>
      <c r="B11" s="3" t="s">
        <v>30</v>
      </c>
      <c r="C11" s="3">
        <v>22742322</v>
      </c>
      <c r="D11" s="13" t="s">
        <v>52</v>
      </c>
      <c r="E11" s="16">
        <v>46148.1319328704</v>
      </c>
      <c r="F11" s="3">
        <v>589.57</v>
      </c>
      <c r="G11" s="3">
        <v>0</v>
      </c>
      <c r="H11" s="3">
        <v>589.57</v>
      </c>
      <c r="I11" s="3">
        <v>20.67</v>
      </c>
      <c r="J11" s="3">
        <v>0</v>
      </c>
      <c r="K11" s="3">
        <v>20.67</v>
      </c>
      <c r="L11" s="3">
        <v>170.77</v>
      </c>
      <c r="M11" s="3">
        <v>2220</v>
      </c>
      <c r="N11" s="3">
        <v>170.77</v>
      </c>
      <c r="O11" s="3">
        <v>2220</v>
      </c>
      <c r="P11" s="3" t="s">
        <v>32</v>
      </c>
      <c r="Q11" s="3" t="s">
        <v>33</v>
      </c>
      <c r="R11" s="3" t="s">
        <v>34</v>
      </c>
      <c r="S11" s="3">
        <v>0</v>
      </c>
      <c r="T11" s="3">
        <v>0</v>
      </c>
      <c r="U11" s="3">
        <v>0</v>
      </c>
      <c r="V11" s="3" t="s">
        <v>35</v>
      </c>
      <c r="W11" s="3" t="s">
        <v>35</v>
      </c>
      <c r="X11" s="3" t="s">
        <v>35</v>
      </c>
      <c r="Y11" s="3" t="s">
        <v>35</v>
      </c>
      <c r="Z11" s="3" t="s">
        <v>35</v>
      </c>
      <c r="AA11" s="3" t="s">
        <v>35</v>
      </c>
      <c r="AB11" s="3" t="s">
        <v>53</v>
      </c>
      <c r="AC11" s="3" t="s">
        <v>49</v>
      </c>
    </row>
    <row r="12" s="3" customFormat="1" spans="1:29">
      <c r="A12" s="3" t="s">
        <v>29</v>
      </c>
      <c r="B12" s="3" t="s">
        <v>30</v>
      </c>
      <c r="C12" s="3">
        <v>20291542</v>
      </c>
      <c r="D12" s="13" t="s">
        <v>54</v>
      </c>
      <c r="E12" s="16">
        <v>46015.3436689815</v>
      </c>
      <c r="F12" s="3">
        <v>394.58</v>
      </c>
      <c r="G12" s="3">
        <v>5.85</v>
      </c>
      <c r="H12" s="3">
        <v>388.74</v>
      </c>
      <c r="I12" s="3">
        <v>31.53</v>
      </c>
      <c r="J12" s="3">
        <v>2.96</v>
      </c>
      <c r="K12" s="3">
        <v>28.57</v>
      </c>
      <c r="L12" s="3">
        <v>55.92</v>
      </c>
      <c r="M12" s="3">
        <v>727</v>
      </c>
      <c r="N12" s="3">
        <v>0.38</v>
      </c>
      <c r="O12" s="3">
        <v>5</v>
      </c>
      <c r="P12" s="3" t="s">
        <v>32</v>
      </c>
      <c r="Q12" s="3" t="s">
        <v>33</v>
      </c>
      <c r="R12" s="3" t="s">
        <v>34</v>
      </c>
      <c r="S12" s="3">
        <v>0</v>
      </c>
      <c r="T12" s="3">
        <v>0</v>
      </c>
      <c r="U12" s="3">
        <v>0</v>
      </c>
      <c r="V12" s="3" t="s">
        <v>35</v>
      </c>
      <c r="W12" s="3" t="s">
        <v>35</v>
      </c>
      <c r="X12" s="3" t="s">
        <v>35</v>
      </c>
      <c r="Y12" s="3" t="s">
        <v>35</v>
      </c>
      <c r="Z12" s="3" t="s">
        <v>35</v>
      </c>
      <c r="AA12" s="3" t="s">
        <v>35</v>
      </c>
      <c r="AB12" s="3" t="s">
        <v>53</v>
      </c>
      <c r="AC12" s="3" t="s">
        <v>49</v>
      </c>
    </row>
    <row r="13" s="3" customFormat="1" spans="1:29">
      <c r="A13" s="3" t="s">
        <v>29</v>
      </c>
      <c r="B13" s="3" t="s">
        <v>30</v>
      </c>
      <c r="C13" s="3">
        <v>16346011</v>
      </c>
      <c r="D13" s="13" t="s">
        <v>55</v>
      </c>
      <c r="E13" s="16">
        <v>45769.0703472222</v>
      </c>
      <c r="F13" s="3">
        <v>26964.28</v>
      </c>
      <c r="G13" s="3">
        <v>53.31</v>
      </c>
      <c r="H13" s="3">
        <v>26910.98</v>
      </c>
      <c r="I13" s="3">
        <v>1148.53</v>
      </c>
      <c r="J13" s="3">
        <v>53.31</v>
      </c>
      <c r="K13" s="3">
        <v>1095.22</v>
      </c>
      <c r="L13" s="3">
        <v>4923.69</v>
      </c>
      <c r="M13" s="3">
        <v>64008</v>
      </c>
      <c r="N13" s="3">
        <v>1960.31</v>
      </c>
      <c r="O13" s="3">
        <v>25484</v>
      </c>
      <c r="P13" s="3" t="s">
        <v>41</v>
      </c>
      <c r="Q13" s="3" t="s">
        <v>42</v>
      </c>
      <c r="R13" s="3" t="s">
        <v>34</v>
      </c>
      <c r="S13" s="3">
        <v>0</v>
      </c>
      <c r="T13" s="3">
        <v>0</v>
      </c>
      <c r="U13" s="3">
        <v>1</v>
      </c>
      <c r="V13" s="3">
        <v>1</v>
      </c>
      <c r="W13" s="3" t="s">
        <v>35</v>
      </c>
      <c r="X13" s="3" t="s">
        <v>35</v>
      </c>
      <c r="Y13" s="3" t="s">
        <v>35</v>
      </c>
      <c r="Z13" s="3" t="s">
        <v>35</v>
      </c>
      <c r="AA13" s="3" t="s">
        <v>35</v>
      </c>
      <c r="AB13" s="3" t="s">
        <v>53</v>
      </c>
      <c r="AC13" s="3" t="s">
        <v>49</v>
      </c>
    </row>
    <row r="14" s="3" customFormat="1" spans="1:29">
      <c r="A14" s="3" t="s">
        <v>29</v>
      </c>
      <c r="B14" s="3" t="s">
        <v>30</v>
      </c>
      <c r="C14" s="3">
        <v>19820951</v>
      </c>
      <c r="D14" s="13" t="s">
        <v>56</v>
      </c>
      <c r="E14" s="16">
        <v>45992.2927546296</v>
      </c>
      <c r="F14" s="3">
        <v>11861.52</v>
      </c>
      <c r="G14" s="3">
        <v>0</v>
      </c>
      <c r="H14" s="3">
        <v>11861.52</v>
      </c>
      <c r="I14" s="3">
        <v>260.41</v>
      </c>
      <c r="J14" s="3">
        <v>0</v>
      </c>
      <c r="K14" s="3">
        <v>260.41</v>
      </c>
      <c r="L14" s="3">
        <v>1264.08</v>
      </c>
      <c r="M14" s="3">
        <v>16433</v>
      </c>
      <c r="N14" s="3">
        <v>61.92</v>
      </c>
      <c r="O14" s="3">
        <v>805</v>
      </c>
      <c r="P14" s="3" t="s">
        <v>41</v>
      </c>
      <c r="Q14" s="3" t="s">
        <v>42</v>
      </c>
      <c r="R14" s="3" t="s">
        <v>34</v>
      </c>
      <c r="S14" s="3">
        <v>0</v>
      </c>
      <c r="T14" s="3">
        <v>0</v>
      </c>
      <c r="U14" s="3">
        <v>0</v>
      </c>
      <c r="V14" s="3" t="s">
        <v>35</v>
      </c>
      <c r="W14" s="3" t="s">
        <v>35</v>
      </c>
      <c r="X14" s="3" t="s">
        <v>35</v>
      </c>
      <c r="Y14" s="3" t="s">
        <v>35</v>
      </c>
      <c r="Z14" s="3" t="s">
        <v>35</v>
      </c>
      <c r="AA14" s="3" t="s">
        <v>35</v>
      </c>
      <c r="AB14" s="3" t="s">
        <v>53</v>
      </c>
      <c r="AC14" s="3" t="s">
        <v>49</v>
      </c>
    </row>
    <row r="15" s="3" customFormat="1" spans="1:29">
      <c r="A15" s="3" t="s">
        <v>29</v>
      </c>
      <c r="B15" s="3" t="s">
        <v>30</v>
      </c>
      <c r="C15" s="3">
        <v>18715910</v>
      </c>
      <c r="D15" s="13" t="s">
        <v>57</v>
      </c>
      <c r="E15" s="16">
        <v>45929.4495601852</v>
      </c>
      <c r="F15" s="3">
        <v>1664.84</v>
      </c>
      <c r="G15" s="3">
        <v>7.08</v>
      </c>
      <c r="H15" s="3">
        <v>1657.77</v>
      </c>
      <c r="I15" s="3">
        <v>104.29</v>
      </c>
      <c r="J15" s="3">
        <v>1.14</v>
      </c>
      <c r="K15" s="3">
        <v>103.14</v>
      </c>
      <c r="L15" s="3">
        <v>258</v>
      </c>
      <c r="M15" s="3">
        <v>3354</v>
      </c>
      <c r="N15" s="3">
        <v>9.23</v>
      </c>
      <c r="O15" s="3">
        <v>120</v>
      </c>
      <c r="P15" s="3" t="s">
        <v>32</v>
      </c>
      <c r="Q15" s="3" t="s">
        <v>33</v>
      </c>
      <c r="R15" s="3" t="s">
        <v>34</v>
      </c>
      <c r="S15" s="3">
        <v>0</v>
      </c>
      <c r="T15" s="3">
        <v>0</v>
      </c>
      <c r="U15" s="3">
        <v>0</v>
      </c>
      <c r="V15" s="3" t="s">
        <v>35</v>
      </c>
      <c r="W15" s="3" t="s">
        <v>35</v>
      </c>
      <c r="X15" s="3" t="s">
        <v>35</v>
      </c>
      <c r="Y15" s="3" t="s">
        <v>35</v>
      </c>
      <c r="Z15" s="3" t="s">
        <v>35</v>
      </c>
      <c r="AA15" s="3" t="s">
        <v>35</v>
      </c>
      <c r="AB15" s="3" t="s">
        <v>58</v>
      </c>
      <c r="AC15" s="3" t="s">
        <v>49</v>
      </c>
    </row>
    <row r="16" s="3" customFormat="1" spans="1:29">
      <c r="A16" s="3" t="s">
        <v>29</v>
      </c>
      <c r="B16" s="3" t="s">
        <v>30</v>
      </c>
      <c r="C16" s="3">
        <v>20948881</v>
      </c>
      <c r="D16" s="13" t="s">
        <v>59</v>
      </c>
      <c r="E16" s="16">
        <v>46046.6306365741</v>
      </c>
      <c r="F16" s="3">
        <v>1200.21</v>
      </c>
      <c r="G16" s="3">
        <v>6.15</v>
      </c>
      <c r="H16" s="3">
        <v>1193.13</v>
      </c>
      <c r="I16" s="3">
        <v>157.78</v>
      </c>
      <c r="J16" s="3">
        <v>3.57</v>
      </c>
      <c r="K16" s="3">
        <v>154.21</v>
      </c>
      <c r="L16" s="3">
        <v>440.77</v>
      </c>
      <c r="M16" s="3">
        <v>5730</v>
      </c>
      <c r="N16" s="3">
        <v>328.69</v>
      </c>
      <c r="O16" s="3">
        <v>4273</v>
      </c>
      <c r="P16" s="3" t="s">
        <v>32</v>
      </c>
      <c r="Q16" s="3" t="s">
        <v>33</v>
      </c>
      <c r="R16" s="3" t="s">
        <v>34</v>
      </c>
      <c r="S16" s="3">
        <v>0</v>
      </c>
      <c r="T16" s="3">
        <v>0</v>
      </c>
      <c r="U16" s="3">
        <v>0</v>
      </c>
      <c r="V16" s="3" t="s">
        <v>35</v>
      </c>
      <c r="W16" s="3" t="s">
        <v>35</v>
      </c>
      <c r="X16" s="3" t="s">
        <v>35</v>
      </c>
      <c r="Y16" s="3" t="s">
        <v>35</v>
      </c>
      <c r="Z16" s="3" t="s">
        <v>35</v>
      </c>
      <c r="AA16" s="3" t="s">
        <v>35</v>
      </c>
      <c r="AB16" s="3" t="s">
        <v>58</v>
      </c>
      <c r="AC16" s="3" t="s">
        <v>49</v>
      </c>
    </row>
    <row r="17" s="3" customFormat="1" spans="1:29">
      <c r="A17" s="3" t="s">
        <v>29</v>
      </c>
      <c r="B17" s="3" t="s">
        <v>30</v>
      </c>
      <c r="C17" s="3">
        <v>13666322</v>
      </c>
      <c r="D17" s="13" t="s">
        <v>60</v>
      </c>
      <c r="E17" s="16">
        <v>45546.7530324074</v>
      </c>
      <c r="F17" s="3">
        <v>13124.32</v>
      </c>
      <c r="G17" s="3">
        <v>3004.86</v>
      </c>
      <c r="H17" s="3">
        <v>10119.46</v>
      </c>
      <c r="I17" s="3">
        <v>876.37</v>
      </c>
      <c r="J17" s="3">
        <v>60.48</v>
      </c>
      <c r="K17" s="3">
        <v>815.89</v>
      </c>
      <c r="L17" s="3">
        <v>4562.38</v>
      </c>
      <c r="M17" s="3">
        <v>59311</v>
      </c>
      <c r="N17" s="3">
        <v>752.85</v>
      </c>
      <c r="O17" s="3">
        <v>9787</v>
      </c>
      <c r="P17" s="3" t="s">
        <v>61</v>
      </c>
      <c r="Q17" s="3" t="s">
        <v>42</v>
      </c>
      <c r="R17" s="3" t="s">
        <v>34</v>
      </c>
      <c r="S17" s="3">
        <v>500</v>
      </c>
      <c r="T17" s="3">
        <v>0</v>
      </c>
      <c r="U17" s="3">
        <v>0</v>
      </c>
      <c r="V17" s="3" t="s">
        <v>35</v>
      </c>
      <c r="W17" s="3" t="s">
        <v>35</v>
      </c>
      <c r="X17" s="3" t="s">
        <v>35</v>
      </c>
      <c r="Y17" s="3" t="s">
        <v>35</v>
      </c>
      <c r="Z17" s="3" t="s">
        <v>35</v>
      </c>
      <c r="AA17" s="3" t="s">
        <v>35</v>
      </c>
      <c r="AB17" s="3" t="s">
        <v>58</v>
      </c>
      <c r="AC17" s="3" t="s">
        <v>49</v>
      </c>
    </row>
    <row r="18" s="3" customFormat="1" spans="1:29">
      <c r="A18" s="3" t="s">
        <v>29</v>
      </c>
      <c r="B18" s="3" t="s">
        <v>30</v>
      </c>
      <c r="C18" s="3">
        <v>20538991</v>
      </c>
      <c r="D18" s="13" t="s">
        <v>62</v>
      </c>
      <c r="E18" s="16">
        <v>46026.5627893518</v>
      </c>
      <c r="F18" s="3">
        <v>89.35</v>
      </c>
      <c r="G18" s="3">
        <v>56.6</v>
      </c>
      <c r="H18" s="3">
        <v>32.75</v>
      </c>
      <c r="I18" s="3">
        <v>4.65</v>
      </c>
      <c r="J18" s="3">
        <v>3.67</v>
      </c>
      <c r="K18" s="3">
        <v>0.97</v>
      </c>
      <c r="L18" s="3">
        <v>56.85</v>
      </c>
      <c r="M18" s="3">
        <v>739</v>
      </c>
      <c r="N18" s="3">
        <v>26.69</v>
      </c>
      <c r="O18" s="3">
        <v>347</v>
      </c>
      <c r="P18" s="3" t="s">
        <v>61</v>
      </c>
      <c r="Q18" s="3" t="s">
        <v>33</v>
      </c>
      <c r="R18" s="3" t="s">
        <v>34</v>
      </c>
      <c r="S18" s="3">
        <v>120</v>
      </c>
      <c r="T18" s="3">
        <v>0</v>
      </c>
      <c r="U18" s="3">
        <v>0</v>
      </c>
      <c r="V18" s="3" t="s">
        <v>35</v>
      </c>
      <c r="W18" s="3" t="s">
        <v>35</v>
      </c>
      <c r="X18" s="3" t="s">
        <v>35</v>
      </c>
      <c r="Y18" s="3" t="s">
        <v>35</v>
      </c>
      <c r="Z18" s="3" t="s">
        <v>35</v>
      </c>
      <c r="AA18" s="3" t="s">
        <v>35</v>
      </c>
      <c r="AB18" s="3" t="s">
        <v>58</v>
      </c>
      <c r="AC18" s="3" t="s">
        <v>49</v>
      </c>
    </row>
    <row r="19" s="3" customFormat="1" spans="1:29">
      <c r="A19" s="3" t="s">
        <v>29</v>
      </c>
      <c r="B19" s="3" t="s">
        <v>30</v>
      </c>
      <c r="C19" s="3">
        <v>23003012</v>
      </c>
      <c r="D19" s="13" t="s">
        <v>63</v>
      </c>
      <c r="E19" s="16">
        <v>46166.3710300926</v>
      </c>
      <c r="F19" s="3">
        <v>3439.19</v>
      </c>
      <c r="G19" s="3">
        <v>0</v>
      </c>
      <c r="H19" s="3">
        <v>3439.19</v>
      </c>
      <c r="I19" s="3">
        <v>340.82</v>
      </c>
      <c r="J19" s="3">
        <v>0</v>
      </c>
      <c r="K19" s="3">
        <v>340.82</v>
      </c>
      <c r="L19" s="3">
        <v>496.15</v>
      </c>
      <c r="M19" s="3">
        <v>6450</v>
      </c>
      <c r="N19" s="3">
        <v>496.15</v>
      </c>
      <c r="O19" s="3">
        <v>6450</v>
      </c>
      <c r="P19" s="3" t="s">
        <v>41</v>
      </c>
      <c r="Q19" s="3" t="s">
        <v>33</v>
      </c>
      <c r="R19" s="3" t="s">
        <v>34</v>
      </c>
      <c r="S19" s="3">
        <v>0</v>
      </c>
      <c r="T19" s="3">
        <v>0</v>
      </c>
      <c r="U19" s="3">
        <v>0</v>
      </c>
      <c r="V19" s="3" t="s">
        <v>35</v>
      </c>
      <c r="W19" s="3" t="s">
        <v>35</v>
      </c>
      <c r="X19" s="3" t="s">
        <v>35</v>
      </c>
      <c r="Y19" s="3" t="s">
        <v>35</v>
      </c>
      <c r="Z19" s="3" t="s">
        <v>35</v>
      </c>
      <c r="AA19" s="3" t="s">
        <v>35</v>
      </c>
      <c r="AB19" s="3" t="s">
        <v>58</v>
      </c>
      <c r="AC19" s="3" t="s">
        <v>49</v>
      </c>
    </row>
    <row r="20" s="3" customFormat="1" spans="1:29">
      <c r="A20" s="3" t="s">
        <v>29</v>
      </c>
      <c r="B20" s="3" t="s">
        <v>30</v>
      </c>
      <c r="C20" s="3">
        <v>22487841</v>
      </c>
      <c r="D20" s="13" t="s">
        <v>64</v>
      </c>
      <c r="E20" s="16">
        <v>46130.2576157407</v>
      </c>
      <c r="F20" s="3">
        <v>653.63</v>
      </c>
      <c r="G20" s="3">
        <v>0</v>
      </c>
      <c r="H20" s="3">
        <v>653.63</v>
      </c>
      <c r="I20" s="3">
        <v>16.15</v>
      </c>
      <c r="J20" s="3">
        <v>0</v>
      </c>
      <c r="K20" s="3">
        <v>16.15</v>
      </c>
      <c r="L20" s="3">
        <v>74.62</v>
      </c>
      <c r="M20" s="3">
        <v>970</v>
      </c>
      <c r="N20" s="3">
        <v>74.62</v>
      </c>
      <c r="O20" s="3">
        <v>970</v>
      </c>
      <c r="P20" s="3" t="s">
        <v>32</v>
      </c>
      <c r="Q20" s="3" t="s">
        <v>33</v>
      </c>
      <c r="R20" s="3" t="s">
        <v>34</v>
      </c>
      <c r="S20" s="3">
        <v>0</v>
      </c>
      <c r="T20" s="3">
        <v>0</v>
      </c>
      <c r="U20" s="3">
        <v>0</v>
      </c>
      <c r="V20" s="3" t="s">
        <v>35</v>
      </c>
      <c r="W20" s="3" t="s">
        <v>35</v>
      </c>
      <c r="X20" s="3" t="s">
        <v>35</v>
      </c>
      <c r="Y20" s="3" t="s">
        <v>35</v>
      </c>
      <c r="Z20" s="3" t="s">
        <v>35</v>
      </c>
      <c r="AA20" s="3" t="s">
        <v>35</v>
      </c>
      <c r="AB20" s="3" t="s">
        <v>58</v>
      </c>
      <c r="AC20" s="3" t="s">
        <v>49</v>
      </c>
    </row>
    <row r="21" s="3" customFormat="1" spans="1:29">
      <c r="A21" s="3" t="s">
        <v>29</v>
      </c>
      <c r="B21" s="3" t="s">
        <v>30</v>
      </c>
      <c r="C21" s="3">
        <v>17640241</v>
      </c>
      <c r="D21" s="13" t="s">
        <v>65</v>
      </c>
      <c r="E21" s="16">
        <v>45868.0114351852</v>
      </c>
      <c r="F21" s="3">
        <v>3709.24</v>
      </c>
      <c r="G21" s="3">
        <v>5.77</v>
      </c>
      <c r="H21" s="3">
        <v>3701.62</v>
      </c>
      <c r="I21" s="3">
        <v>182.81</v>
      </c>
      <c r="J21" s="3">
        <v>3.33</v>
      </c>
      <c r="K21" s="3">
        <v>179.48</v>
      </c>
      <c r="L21" s="3">
        <v>627.69</v>
      </c>
      <c r="M21" s="3">
        <v>8160</v>
      </c>
      <c r="N21" s="3">
        <v>286</v>
      </c>
      <c r="O21" s="3">
        <v>3718</v>
      </c>
      <c r="P21" s="3" t="s">
        <v>32</v>
      </c>
      <c r="Q21" s="3" t="s">
        <v>33</v>
      </c>
      <c r="R21" s="3" t="s">
        <v>34</v>
      </c>
      <c r="S21" s="3">
        <v>0</v>
      </c>
      <c r="T21" s="3">
        <v>0</v>
      </c>
      <c r="U21" s="3">
        <v>0</v>
      </c>
      <c r="V21" s="3" t="s">
        <v>35</v>
      </c>
      <c r="W21" s="3" t="s">
        <v>35</v>
      </c>
      <c r="X21" s="3" t="s">
        <v>35</v>
      </c>
      <c r="Y21" s="3" t="s">
        <v>35</v>
      </c>
      <c r="Z21" s="3" t="s">
        <v>35</v>
      </c>
      <c r="AA21" s="3" t="s">
        <v>35</v>
      </c>
      <c r="AB21" s="3" t="s">
        <v>58</v>
      </c>
      <c r="AC21" s="3" t="s">
        <v>49</v>
      </c>
    </row>
    <row r="22" s="3" customFormat="1" spans="1:29">
      <c r="A22" s="3" t="s">
        <v>29</v>
      </c>
      <c r="B22" s="3" t="s">
        <v>30</v>
      </c>
      <c r="C22" s="3">
        <v>21642371</v>
      </c>
      <c r="D22" s="13" t="s">
        <v>66</v>
      </c>
      <c r="E22" s="16">
        <v>46082.692650463</v>
      </c>
      <c r="F22" s="3">
        <v>3185.59</v>
      </c>
      <c r="G22" s="3">
        <v>0</v>
      </c>
      <c r="H22" s="3">
        <v>3185.59</v>
      </c>
      <c r="I22" s="3">
        <v>180.68</v>
      </c>
      <c r="J22" s="3">
        <v>0</v>
      </c>
      <c r="K22" s="3">
        <v>180.68</v>
      </c>
      <c r="L22" s="3">
        <v>629.08</v>
      </c>
      <c r="M22" s="3">
        <v>8178</v>
      </c>
      <c r="N22" s="3">
        <v>533.69</v>
      </c>
      <c r="O22" s="3">
        <v>6938</v>
      </c>
      <c r="P22" s="3" t="s">
        <v>32</v>
      </c>
      <c r="Q22" s="3" t="s">
        <v>33</v>
      </c>
      <c r="R22" s="3" t="s">
        <v>34</v>
      </c>
      <c r="S22" s="3">
        <v>0</v>
      </c>
      <c r="T22" s="3">
        <v>0</v>
      </c>
      <c r="U22" s="3">
        <v>0</v>
      </c>
      <c r="V22" s="3" t="s">
        <v>35</v>
      </c>
      <c r="W22" s="3" t="s">
        <v>35</v>
      </c>
      <c r="X22" s="3" t="s">
        <v>35</v>
      </c>
      <c r="Y22" s="3" t="s">
        <v>35</v>
      </c>
      <c r="Z22" s="3" t="s">
        <v>35</v>
      </c>
      <c r="AA22" s="3" t="s">
        <v>35</v>
      </c>
      <c r="AB22" s="3" t="s">
        <v>58</v>
      </c>
      <c r="AC22" s="3" t="s">
        <v>49</v>
      </c>
    </row>
    <row r="23" s="3" customFormat="1" spans="1:29">
      <c r="A23" s="3" t="s">
        <v>29</v>
      </c>
      <c r="B23" s="3" t="s">
        <v>30</v>
      </c>
      <c r="C23" s="3">
        <v>20169110</v>
      </c>
      <c r="D23" s="13" t="s">
        <v>67</v>
      </c>
      <c r="E23" s="16">
        <v>46008.7914467593</v>
      </c>
      <c r="F23" s="3">
        <v>2346.51</v>
      </c>
      <c r="G23" s="3">
        <v>7.72</v>
      </c>
      <c r="H23" s="3">
        <v>2338.09</v>
      </c>
      <c r="I23" s="3">
        <v>140.2</v>
      </c>
      <c r="J23" s="3">
        <v>-0.59</v>
      </c>
      <c r="K23" s="3">
        <v>140.79</v>
      </c>
      <c r="L23" s="3">
        <v>603.54</v>
      </c>
      <c r="M23" s="3">
        <v>7846</v>
      </c>
      <c r="N23" s="3">
        <v>319.15</v>
      </c>
      <c r="O23" s="3">
        <v>4149</v>
      </c>
      <c r="P23" s="3" t="s">
        <v>32</v>
      </c>
      <c r="Q23" s="3" t="s">
        <v>33</v>
      </c>
      <c r="R23" s="3" t="s">
        <v>34</v>
      </c>
      <c r="S23" s="3">
        <v>0</v>
      </c>
      <c r="T23" s="3">
        <v>0</v>
      </c>
      <c r="U23" s="3">
        <v>0</v>
      </c>
      <c r="V23" s="3" t="s">
        <v>35</v>
      </c>
      <c r="W23" s="3" t="s">
        <v>35</v>
      </c>
      <c r="X23" s="3" t="s">
        <v>35</v>
      </c>
      <c r="Y23" s="3" t="s">
        <v>35</v>
      </c>
      <c r="Z23" s="3" t="s">
        <v>35</v>
      </c>
      <c r="AA23" s="3" t="s">
        <v>35</v>
      </c>
      <c r="AB23" s="3" t="s">
        <v>58</v>
      </c>
      <c r="AC23" s="3" t="s">
        <v>49</v>
      </c>
    </row>
    <row r="24" s="3" customFormat="1" spans="1:29">
      <c r="A24" s="3" t="s">
        <v>29</v>
      </c>
      <c r="B24" s="3" t="s">
        <v>30</v>
      </c>
      <c r="C24" s="3">
        <v>22362211</v>
      </c>
      <c r="D24" s="13" t="s">
        <v>68</v>
      </c>
      <c r="E24" s="16">
        <v>46122.7263310185</v>
      </c>
      <c r="F24" s="3">
        <v>163.6</v>
      </c>
      <c r="G24" s="3">
        <v>0</v>
      </c>
      <c r="H24" s="3">
        <v>163.6</v>
      </c>
      <c r="I24" s="3">
        <v>31.53</v>
      </c>
      <c r="J24" s="3">
        <v>0</v>
      </c>
      <c r="K24" s="3">
        <v>31.53</v>
      </c>
      <c r="L24" s="3">
        <v>70</v>
      </c>
      <c r="M24" s="3">
        <v>910</v>
      </c>
      <c r="N24" s="3">
        <v>70</v>
      </c>
      <c r="O24" s="3">
        <v>910</v>
      </c>
      <c r="P24" s="3" t="s">
        <v>32</v>
      </c>
      <c r="Q24" s="3" t="s">
        <v>33</v>
      </c>
      <c r="R24" s="3" t="s">
        <v>34</v>
      </c>
      <c r="S24" s="3">
        <v>0</v>
      </c>
      <c r="T24" s="3">
        <v>0</v>
      </c>
      <c r="U24" s="3">
        <v>0</v>
      </c>
      <c r="V24" s="3" t="s">
        <v>35</v>
      </c>
      <c r="W24" s="3" t="s">
        <v>35</v>
      </c>
      <c r="X24" s="3" t="s">
        <v>35</v>
      </c>
      <c r="Y24" s="3" t="s">
        <v>35</v>
      </c>
      <c r="Z24" s="3" t="s">
        <v>35</v>
      </c>
      <c r="AA24" s="3" t="s">
        <v>35</v>
      </c>
      <c r="AB24" s="3" t="s">
        <v>58</v>
      </c>
      <c r="AC24" s="3" t="s">
        <v>49</v>
      </c>
    </row>
    <row r="25" s="3" customFormat="1" spans="1:29">
      <c r="A25" s="3" t="s">
        <v>29</v>
      </c>
      <c r="B25" s="3" t="s">
        <v>30</v>
      </c>
      <c r="C25" s="3">
        <v>19307471</v>
      </c>
      <c r="D25" s="13" t="s">
        <v>69</v>
      </c>
      <c r="E25" s="16">
        <v>45967.7071180556</v>
      </c>
      <c r="F25" s="3">
        <v>103.21</v>
      </c>
      <c r="G25" s="3">
        <v>15.93</v>
      </c>
      <c r="H25" s="3">
        <v>87.27</v>
      </c>
      <c r="I25" s="3">
        <v>37.92</v>
      </c>
      <c r="J25" s="3">
        <v>14</v>
      </c>
      <c r="K25" s="3">
        <v>23.92</v>
      </c>
      <c r="L25" s="3">
        <v>56.54</v>
      </c>
      <c r="M25" s="3">
        <v>735</v>
      </c>
      <c r="N25" s="3">
        <v>33.92</v>
      </c>
      <c r="O25" s="3">
        <v>441</v>
      </c>
      <c r="P25" s="3" t="s">
        <v>61</v>
      </c>
      <c r="Q25" s="3" t="s">
        <v>33</v>
      </c>
      <c r="R25" s="3" t="s">
        <v>34</v>
      </c>
      <c r="S25" s="3">
        <v>120</v>
      </c>
      <c r="T25" s="3">
        <v>0</v>
      </c>
      <c r="U25" s="3">
        <v>0</v>
      </c>
      <c r="V25" s="3" t="s">
        <v>35</v>
      </c>
      <c r="W25" s="3" t="s">
        <v>35</v>
      </c>
      <c r="X25" s="3" t="s">
        <v>35</v>
      </c>
      <c r="Y25" s="3" t="s">
        <v>35</v>
      </c>
      <c r="Z25" s="3" t="s">
        <v>35</v>
      </c>
      <c r="AA25" s="3" t="s">
        <v>35</v>
      </c>
      <c r="AB25" s="3" t="s">
        <v>70</v>
      </c>
      <c r="AC25" s="3" t="s">
        <v>49</v>
      </c>
    </row>
    <row r="26" s="3" customFormat="1" spans="1:29">
      <c r="A26" s="3" t="s">
        <v>29</v>
      </c>
      <c r="B26" s="3" t="s">
        <v>30</v>
      </c>
      <c r="C26" s="3">
        <v>22317092</v>
      </c>
      <c r="D26" s="13" t="s">
        <v>71</v>
      </c>
      <c r="E26" s="16">
        <v>46120.8674768518</v>
      </c>
      <c r="F26" s="3">
        <v>140.15</v>
      </c>
      <c r="G26" s="3">
        <v>0</v>
      </c>
      <c r="H26" s="3">
        <v>140.15</v>
      </c>
      <c r="I26" s="3">
        <v>-16.47</v>
      </c>
      <c r="J26" s="3">
        <v>0</v>
      </c>
      <c r="K26" s="3">
        <v>-16.47</v>
      </c>
      <c r="L26" s="3">
        <v>58.92</v>
      </c>
      <c r="M26" s="3">
        <v>766</v>
      </c>
      <c r="N26" s="3">
        <v>58.92</v>
      </c>
      <c r="O26" s="3">
        <v>766</v>
      </c>
      <c r="P26" s="3" t="s">
        <v>41</v>
      </c>
      <c r="Q26" s="3" t="s">
        <v>33</v>
      </c>
      <c r="R26" s="3" t="s">
        <v>34</v>
      </c>
      <c r="S26" s="3">
        <v>0</v>
      </c>
      <c r="T26" s="3">
        <v>0</v>
      </c>
      <c r="U26" s="3">
        <v>0</v>
      </c>
      <c r="V26" s="3" t="s">
        <v>35</v>
      </c>
      <c r="W26" s="3" t="s">
        <v>35</v>
      </c>
      <c r="X26" s="3" t="s">
        <v>35</v>
      </c>
      <c r="Y26" s="3" t="s">
        <v>35</v>
      </c>
      <c r="Z26" s="3" t="s">
        <v>35</v>
      </c>
      <c r="AA26" s="3" t="s">
        <v>35</v>
      </c>
      <c r="AB26" s="3" t="s">
        <v>70</v>
      </c>
      <c r="AC26" s="3" t="s">
        <v>49</v>
      </c>
    </row>
    <row r="27" s="3" customFormat="1" spans="1:29">
      <c r="A27" s="3" t="s">
        <v>29</v>
      </c>
      <c r="B27" s="3" t="s">
        <v>30</v>
      </c>
      <c r="C27" s="3">
        <v>19137112</v>
      </c>
      <c r="D27" s="13" t="s">
        <v>72</v>
      </c>
      <c r="E27" s="16">
        <v>45956.7419444445</v>
      </c>
      <c r="F27" s="3">
        <v>74748.59</v>
      </c>
      <c r="G27" s="3">
        <v>0</v>
      </c>
      <c r="H27" s="3">
        <v>74748.59</v>
      </c>
      <c r="I27" s="3">
        <v>3443.81</v>
      </c>
      <c r="J27" s="3">
        <v>0</v>
      </c>
      <c r="K27" s="3">
        <v>3443.81</v>
      </c>
      <c r="L27" s="3">
        <v>5996.15</v>
      </c>
      <c r="M27" s="3">
        <v>77950</v>
      </c>
      <c r="N27" s="3">
        <v>3642.46</v>
      </c>
      <c r="O27" s="3">
        <v>47352</v>
      </c>
      <c r="P27" s="3" t="s">
        <v>32</v>
      </c>
      <c r="Q27" s="3" t="s">
        <v>42</v>
      </c>
      <c r="R27" s="3" t="s">
        <v>34</v>
      </c>
      <c r="S27" s="3">
        <v>0</v>
      </c>
      <c r="T27" s="3">
        <v>0</v>
      </c>
      <c r="U27" s="3">
        <v>1</v>
      </c>
      <c r="V27" s="3">
        <v>1</v>
      </c>
      <c r="W27" s="3" t="s">
        <v>35</v>
      </c>
      <c r="X27" s="3" t="s">
        <v>35</v>
      </c>
      <c r="Y27" s="3" t="s">
        <v>35</v>
      </c>
      <c r="Z27" s="3" t="s">
        <v>35</v>
      </c>
      <c r="AA27" s="3" t="s">
        <v>35</v>
      </c>
      <c r="AB27" s="3" t="s">
        <v>70</v>
      </c>
      <c r="AC27" s="3" t="s">
        <v>49</v>
      </c>
    </row>
    <row r="28" s="3" customFormat="1" spans="1:29">
      <c r="A28" s="3" t="s">
        <v>29</v>
      </c>
      <c r="B28" s="3" t="s">
        <v>30</v>
      </c>
      <c r="C28" s="3">
        <v>5832722</v>
      </c>
      <c r="D28" s="13" t="s">
        <v>73</v>
      </c>
      <c r="E28" s="16">
        <v>44522.5564583333</v>
      </c>
      <c r="F28" s="3">
        <v>114.31</v>
      </c>
      <c r="G28" s="3">
        <v>5.38</v>
      </c>
      <c r="H28" s="3">
        <v>108.92</v>
      </c>
      <c r="I28" s="3">
        <v>13.05</v>
      </c>
      <c r="J28" s="3">
        <v>-13.87</v>
      </c>
      <c r="K28" s="3">
        <v>26.92</v>
      </c>
      <c r="L28" s="3">
        <v>51.54</v>
      </c>
      <c r="M28" s="3">
        <v>670</v>
      </c>
      <c r="N28" s="3">
        <v>15.38</v>
      </c>
      <c r="O28" s="3">
        <v>200</v>
      </c>
      <c r="P28" s="3" t="s">
        <v>41</v>
      </c>
      <c r="Q28" s="3" t="s">
        <v>33</v>
      </c>
      <c r="R28" s="3" t="s">
        <v>34</v>
      </c>
      <c r="S28" s="3">
        <v>0</v>
      </c>
      <c r="T28" s="3">
        <v>0</v>
      </c>
      <c r="U28" s="3">
        <v>0</v>
      </c>
      <c r="V28" s="3" t="s">
        <v>35</v>
      </c>
      <c r="W28" s="3" t="s">
        <v>35</v>
      </c>
      <c r="X28" s="3" t="s">
        <v>35</v>
      </c>
      <c r="Y28" s="3" t="s">
        <v>35</v>
      </c>
      <c r="Z28" s="3" t="s">
        <v>35</v>
      </c>
      <c r="AA28" s="3" t="s">
        <v>35</v>
      </c>
      <c r="AB28" s="3" t="s">
        <v>70</v>
      </c>
      <c r="AC28" s="3" t="s">
        <v>49</v>
      </c>
    </row>
    <row r="29" s="3" customFormat="1" spans="1:29">
      <c r="A29" s="3" t="s">
        <v>29</v>
      </c>
      <c r="B29" s="3" t="s">
        <v>30</v>
      </c>
      <c r="C29" s="3">
        <v>19569981</v>
      </c>
      <c r="D29" s="13" t="s">
        <v>74</v>
      </c>
      <c r="E29" s="16">
        <v>45980.5480902778</v>
      </c>
      <c r="F29" s="3">
        <v>2098.99</v>
      </c>
      <c r="G29" s="3">
        <v>0</v>
      </c>
      <c r="H29" s="3">
        <v>2098.99</v>
      </c>
      <c r="I29" s="3">
        <v>214.22</v>
      </c>
      <c r="J29" s="3">
        <v>0</v>
      </c>
      <c r="K29" s="3">
        <v>214.22</v>
      </c>
      <c r="L29" s="3">
        <v>426.46</v>
      </c>
      <c r="M29" s="3">
        <v>5544</v>
      </c>
      <c r="N29" s="3">
        <v>311.85</v>
      </c>
      <c r="O29" s="3">
        <v>4054</v>
      </c>
      <c r="P29" s="3" t="s">
        <v>32</v>
      </c>
      <c r="Q29" s="3" t="s">
        <v>33</v>
      </c>
      <c r="R29" s="3" t="s">
        <v>34</v>
      </c>
      <c r="S29" s="3">
        <v>0</v>
      </c>
      <c r="T29" s="3">
        <v>0</v>
      </c>
      <c r="U29" s="3">
        <v>0</v>
      </c>
      <c r="V29" s="3" t="s">
        <v>35</v>
      </c>
      <c r="W29" s="3" t="s">
        <v>35</v>
      </c>
      <c r="X29" s="3" t="s">
        <v>35</v>
      </c>
      <c r="Y29" s="3" t="s">
        <v>35</v>
      </c>
      <c r="Z29" s="3" t="s">
        <v>35</v>
      </c>
      <c r="AA29" s="3" t="s">
        <v>35</v>
      </c>
      <c r="AB29" s="3" t="s">
        <v>70</v>
      </c>
      <c r="AC29" s="3" t="s">
        <v>49</v>
      </c>
    </row>
    <row r="30" s="3" customFormat="1" spans="1:29">
      <c r="A30" s="3" t="s">
        <v>29</v>
      </c>
      <c r="B30" s="3" t="s">
        <v>30</v>
      </c>
      <c r="C30" s="3">
        <v>14873540</v>
      </c>
      <c r="D30" s="13" t="s">
        <v>75</v>
      </c>
      <c r="E30" s="16">
        <v>45625.0710532407</v>
      </c>
      <c r="F30" s="3">
        <v>33457.13</v>
      </c>
      <c r="G30" s="3">
        <v>115.82</v>
      </c>
      <c r="H30" s="3">
        <v>33341.31</v>
      </c>
      <c r="I30" s="3">
        <v>812.48</v>
      </c>
      <c r="J30" s="3">
        <v>49.33</v>
      </c>
      <c r="K30" s="3">
        <v>763.15</v>
      </c>
      <c r="L30" s="3">
        <v>7091.54</v>
      </c>
      <c r="M30" s="3">
        <v>92190</v>
      </c>
      <c r="N30" s="3">
        <v>4053.46</v>
      </c>
      <c r="O30" s="3">
        <v>52695</v>
      </c>
      <c r="P30" s="3" t="s">
        <v>41</v>
      </c>
      <c r="Q30" s="3" t="s">
        <v>42</v>
      </c>
      <c r="R30" s="3" t="s">
        <v>34</v>
      </c>
      <c r="S30" s="3">
        <v>0</v>
      </c>
      <c r="T30" s="3">
        <v>0</v>
      </c>
      <c r="U30" s="3">
        <v>1</v>
      </c>
      <c r="V30" s="3">
        <v>1</v>
      </c>
      <c r="W30" s="3" t="s">
        <v>35</v>
      </c>
      <c r="X30" s="3" t="s">
        <v>35</v>
      </c>
      <c r="Y30" s="3" t="s">
        <v>35</v>
      </c>
      <c r="Z30" s="3" t="s">
        <v>35</v>
      </c>
      <c r="AA30" s="3" t="s">
        <v>35</v>
      </c>
      <c r="AB30" s="3" t="s">
        <v>70</v>
      </c>
      <c r="AC30" s="3" t="s">
        <v>49</v>
      </c>
    </row>
    <row r="31" s="3" customFormat="1" spans="1:29">
      <c r="A31" s="3" t="s">
        <v>29</v>
      </c>
      <c r="B31" s="3" t="s">
        <v>30</v>
      </c>
      <c r="C31" s="3">
        <v>18738320</v>
      </c>
      <c r="D31" s="13" t="s">
        <v>76</v>
      </c>
      <c r="E31" s="16">
        <v>45931.2602893518</v>
      </c>
      <c r="F31" s="3">
        <v>1555.58</v>
      </c>
      <c r="G31" s="3">
        <v>1.08</v>
      </c>
      <c r="H31" s="3">
        <v>1554.51</v>
      </c>
      <c r="I31" s="3">
        <v>82.13</v>
      </c>
      <c r="J31" s="3">
        <v>1.08</v>
      </c>
      <c r="K31" s="3">
        <v>81.06</v>
      </c>
      <c r="L31" s="3">
        <v>103.46</v>
      </c>
      <c r="M31" s="3">
        <v>1345</v>
      </c>
      <c r="N31" s="3">
        <v>59.85</v>
      </c>
      <c r="O31" s="3">
        <v>778</v>
      </c>
      <c r="P31" s="3" t="s">
        <v>41</v>
      </c>
      <c r="Q31" s="3" t="s">
        <v>33</v>
      </c>
      <c r="R31" s="3" t="s">
        <v>34</v>
      </c>
      <c r="S31" s="3">
        <v>0</v>
      </c>
      <c r="T31" s="3">
        <v>0</v>
      </c>
      <c r="U31" s="3">
        <v>0</v>
      </c>
      <c r="V31" s="3" t="s">
        <v>35</v>
      </c>
      <c r="W31" s="3" t="s">
        <v>35</v>
      </c>
      <c r="X31" s="3" t="s">
        <v>35</v>
      </c>
      <c r="Y31" s="3" t="s">
        <v>35</v>
      </c>
      <c r="Z31" s="3" t="s">
        <v>35</v>
      </c>
      <c r="AA31" s="3" t="s">
        <v>35</v>
      </c>
      <c r="AB31" s="3" t="s">
        <v>70</v>
      </c>
      <c r="AC31" s="3" t="s">
        <v>49</v>
      </c>
    </row>
    <row r="32" s="3" customFormat="1" spans="1:29">
      <c r="A32" s="3" t="s">
        <v>29</v>
      </c>
      <c r="B32" s="3" t="s">
        <v>30</v>
      </c>
      <c r="C32" s="3">
        <v>16073481</v>
      </c>
      <c r="D32" s="13" t="s">
        <v>77</v>
      </c>
      <c r="E32" s="16">
        <v>45744.8062962963</v>
      </c>
      <c r="F32" s="3">
        <v>714.83</v>
      </c>
      <c r="G32" s="3">
        <v>0</v>
      </c>
      <c r="H32" s="3">
        <v>714.83</v>
      </c>
      <c r="I32" s="3">
        <v>-10.1</v>
      </c>
      <c r="J32" s="3">
        <v>0</v>
      </c>
      <c r="K32" s="3">
        <v>-10.1</v>
      </c>
      <c r="L32" s="3">
        <v>331.54</v>
      </c>
      <c r="M32" s="3">
        <v>4310</v>
      </c>
      <c r="N32" s="3">
        <v>0</v>
      </c>
      <c r="O32" s="3">
        <v>0</v>
      </c>
      <c r="P32" s="3" t="s">
        <v>41</v>
      </c>
      <c r="Q32" s="3" t="s">
        <v>33</v>
      </c>
      <c r="R32" s="3" t="s">
        <v>34</v>
      </c>
      <c r="S32" s="3">
        <v>0</v>
      </c>
      <c r="T32" s="3">
        <v>0</v>
      </c>
      <c r="U32" s="3">
        <v>0</v>
      </c>
      <c r="V32" s="3" t="s">
        <v>35</v>
      </c>
      <c r="W32" s="3" t="s">
        <v>35</v>
      </c>
      <c r="X32" s="3" t="s">
        <v>35</v>
      </c>
      <c r="Y32" s="3" t="s">
        <v>35</v>
      </c>
      <c r="Z32" s="3" t="s">
        <v>35</v>
      </c>
      <c r="AA32" s="3" t="s">
        <v>35</v>
      </c>
      <c r="AB32" s="3" t="s">
        <v>70</v>
      </c>
      <c r="AC32" s="3" t="s">
        <v>49</v>
      </c>
    </row>
    <row r="33" s="3" customFormat="1" spans="1:29">
      <c r="A33" s="3" t="s">
        <v>29</v>
      </c>
      <c r="B33" s="3" t="s">
        <v>30</v>
      </c>
      <c r="C33" s="3">
        <v>21356012</v>
      </c>
      <c r="D33" s="13" t="s">
        <v>78</v>
      </c>
      <c r="E33" s="16">
        <v>46068.9753009259</v>
      </c>
      <c r="F33" s="3">
        <v>512.05</v>
      </c>
      <c r="G33" s="3">
        <v>171.17</v>
      </c>
      <c r="H33" s="3">
        <v>340.88</v>
      </c>
      <c r="I33" s="3">
        <v>148.65</v>
      </c>
      <c r="J33" s="3">
        <v>116.18</v>
      </c>
      <c r="K33" s="3">
        <v>32.47</v>
      </c>
      <c r="L33" s="3">
        <v>232.62</v>
      </c>
      <c r="M33" s="3">
        <v>3024</v>
      </c>
      <c r="N33" s="3">
        <v>155.92</v>
      </c>
      <c r="O33" s="3">
        <v>2027</v>
      </c>
      <c r="P33" s="3" t="s">
        <v>61</v>
      </c>
      <c r="Q33" s="3" t="s">
        <v>33</v>
      </c>
      <c r="R33" s="3" t="s">
        <v>34</v>
      </c>
      <c r="S33" s="3">
        <v>120</v>
      </c>
      <c r="T33" s="3">
        <v>0</v>
      </c>
      <c r="U33" s="3">
        <v>0</v>
      </c>
      <c r="V33" s="3" t="s">
        <v>35</v>
      </c>
      <c r="W33" s="3" t="s">
        <v>35</v>
      </c>
      <c r="X33" s="3" t="s">
        <v>35</v>
      </c>
      <c r="Y33" s="3" t="s">
        <v>35</v>
      </c>
      <c r="Z33" s="3" t="s">
        <v>35</v>
      </c>
      <c r="AA33" s="3" t="s">
        <v>35</v>
      </c>
      <c r="AB33" s="3" t="s">
        <v>70</v>
      </c>
      <c r="AC33" s="3" t="s">
        <v>49</v>
      </c>
    </row>
    <row r="34" s="3" customFormat="1" spans="1:29">
      <c r="A34" s="3" t="s">
        <v>29</v>
      </c>
      <c r="B34" s="3" t="s">
        <v>30</v>
      </c>
      <c r="C34" s="3">
        <v>22923760</v>
      </c>
      <c r="D34" s="13" t="s">
        <v>79</v>
      </c>
      <c r="E34" s="16">
        <v>46160.6154282407</v>
      </c>
      <c r="F34" s="3">
        <v>611.47</v>
      </c>
      <c r="G34" s="3">
        <v>0</v>
      </c>
      <c r="H34" s="3">
        <v>611.47</v>
      </c>
      <c r="I34" s="3">
        <v>16.51</v>
      </c>
      <c r="J34" s="3">
        <v>0</v>
      </c>
      <c r="K34" s="3">
        <v>16.51</v>
      </c>
      <c r="L34" s="3">
        <v>78.46</v>
      </c>
      <c r="M34" s="3">
        <v>1020</v>
      </c>
      <c r="N34" s="3">
        <v>78.46</v>
      </c>
      <c r="O34" s="3">
        <v>1020</v>
      </c>
      <c r="P34" s="3" t="s">
        <v>41</v>
      </c>
      <c r="Q34" s="3" t="s">
        <v>33</v>
      </c>
      <c r="R34" s="3" t="s">
        <v>34</v>
      </c>
      <c r="S34" s="3">
        <v>0</v>
      </c>
      <c r="T34" s="3">
        <v>0</v>
      </c>
      <c r="U34" s="3">
        <v>0</v>
      </c>
      <c r="V34" s="3" t="s">
        <v>35</v>
      </c>
      <c r="W34" s="3" t="s">
        <v>35</v>
      </c>
      <c r="X34" s="3" t="s">
        <v>35</v>
      </c>
      <c r="Y34" s="3" t="s">
        <v>35</v>
      </c>
      <c r="Z34" s="3" t="s">
        <v>35</v>
      </c>
      <c r="AA34" s="3" t="s">
        <v>35</v>
      </c>
      <c r="AB34" s="3" t="s">
        <v>80</v>
      </c>
      <c r="AC34" s="3" t="s">
        <v>49</v>
      </c>
    </row>
    <row r="35" s="3" customFormat="1" spans="1:29">
      <c r="A35" s="3" t="s">
        <v>29</v>
      </c>
      <c r="B35" s="3" t="s">
        <v>30</v>
      </c>
      <c r="C35" s="3">
        <v>8899321</v>
      </c>
      <c r="D35" s="13" t="s">
        <v>81</v>
      </c>
      <c r="E35" s="16">
        <v>44856.4087615741</v>
      </c>
      <c r="F35" s="3">
        <v>803.47</v>
      </c>
      <c r="G35" s="3">
        <v>0</v>
      </c>
      <c r="H35" s="3">
        <v>803.47</v>
      </c>
      <c r="I35" s="3">
        <v>-74.31</v>
      </c>
      <c r="J35" s="3">
        <v>0</v>
      </c>
      <c r="K35" s="3">
        <v>-33.92</v>
      </c>
      <c r="L35" s="3">
        <v>257.31</v>
      </c>
      <c r="M35" s="3">
        <v>3345</v>
      </c>
      <c r="N35" s="3">
        <v>0</v>
      </c>
      <c r="O35" s="3">
        <v>0</v>
      </c>
      <c r="P35" s="3" t="s">
        <v>32</v>
      </c>
      <c r="Q35" s="3" t="s">
        <v>33</v>
      </c>
      <c r="R35" s="3" t="s">
        <v>34</v>
      </c>
      <c r="S35" s="3">
        <v>0</v>
      </c>
      <c r="T35" s="3">
        <v>0</v>
      </c>
      <c r="U35" s="3">
        <v>0</v>
      </c>
      <c r="V35" s="3" t="s">
        <v>35</v>
      </c>
      <c r="W35" s="3" t="s">
        <v>35</v>
      </c>
      <c r="X35" s="3" t="s">
        <v>35</v>
      </c>
      <c r="Y35" s="3" t="s">
        <v>35</v>
      </c>
      <c r="Z35" s="3" t="s">
        <v>35</v>
      </c>
      <c r="AA35" s="3" t="s">
        <v>35</v>
      </c>
      <c r="AB35" s="3" t="s">
        <v>80</v>
      </c>
      <c r="AC35" s="3" t="s">
        <v>49</v>
      </c>
    </row>
    <row r="36" s="3" customFormat="1" spans="1:29">
      <c r="A36" s="3" t="s">
        <v>29</v>
      </c>
      <c r="B36" s="3" t="s">
        <v>30</v>
      </c>
      <c r="C36" s="3">
        <v>21631392</v>
      </c>
      <c r="D36" s="13" t="s">
        <v>82</v>
      </c>
      <c r="E36" s="16">
        <v>46082.3141782407</v>
      </c>
      <c r="F36" s="3">
        <v>289.42</v>
      </c>
      <c r="G36" s="3">
        <v>0</v>
      </c>
      <c r="H36" s="3">
        <v>289.42</v>
      </c>
      <c r="I36" s="3">
        <v>16.05</v>
      </c>
      <c r="J36" s="3">
        <v>0</v>
      </c>
      <c r="K36" s="3">
        <v>16.05</v>
      </c>
      <c r="L36" s="3">
        <v>78</v>
      </c>
      <c r="M36" s="3">
        <v>1014</v>
      </c>
      <c r="N36" s="3">
        <v>52.69</v>
      </c>
      <c r="O36" s="3">
        <v>685</v>
      </c>
      <c r="P36" s="3" t="s">
        <v>41</v>
      </c>
      <c r="Q36" s="3" t="s">
        <v>33</v>
      </c>
      <c r="R36" s="3" t="s">
        <v>34</v>
      </c>
      <c r="S36" s="3">
        <v>0</v>
      </c>
      <c r="T36" s="3">
        <v>0</v>
      </c>
      <c r="U36" s="3">
        <v>0</v>
      </c>
      <c r="V36" s="3" t="s">
        <v>35</v>
      </c>
      <c r="W36" s="3" t="s">
        <v>35</v>
      </c>
      <c r="X36" s="3" t="s">
        <v>35</v>
      </c>
      <c r="Y36" s="3" t="s">
        <v>35</v>
      </c>
      <c r="Z36" s="3" t="s">
        <v>35</v>
      </c>
      <c r="AA36" s="3" t="s">
        <v>35</v>
      </c>
      <c r="AB36" s="3" t="s">
        <v>80</v>
      </c>
      <c r="AC36" s="3" t="s">
        <v>49</v>
      </c>
    </row>
    <row r="37" s="3" customFormat="1" spans="1:29">
      <c r="A37" s="3" t="s">
        <v>29</v>
      </c>
      <c r="B37" s="3" t="s">
        <v>30</v>
      </c>
      <c r="C37" s="3">
        <v>18720280</v>
      </c>
      <c r="D37" s="13" t="s">
        <v>83</v>
      </c>
      <c r="E37" s="16">
        <v>45929.7611111111</v>
      </c>
      <c r="F37" s="3">
        <v>510.65</v>
      </c>
      <c r="G37" s="3">
        <v>0</v>
      </c>
      <c r="H37" s="3">
        <v>510.65</v>
      </c>
      <c r="I37" s="3">
        <v>40.21</v>
      </c>
      <c r="J37" s="3">
        <v>0</v>
      </c>
      <c r="K37" s="3">
        <v>40.21</v>
      </c>
      <c r="L37" s="3">
        <v>126.38</v>
      </c>
      <c r="M37" s="3">
        <v>1643</v>
      </c>
      <c r="N37" s="3">
        <v>14.23</v>
      </c>
      <c r="O37" s="3">
        <v>185</v>
      </c>
      <c r="P37" s="3" t="s">
        <v>32</v>
      </c>
      <c r="Q37" s="3" t="s">
        <v>33</v>
      </c>
      <c r="R37" s="3" t="s">
        <v>34</v>
      </c>
      <c r="S37" s="3">
        <v>0</v>
      </c>
      <c r="T37" s="3">
        <v>0</v>
      </c>
      <c r="U37" s="3">
        <v>0</v>
      </c>
      <c r="V37" s="3" t="s">
        <v>35</v>
      </c>
      <c r="W37" s="3" t="s">
        <v>35</v>
      </c>
      <c r="X37" s="3" t="s">
        <v>35</v>
      </c>
      <c r="Y37" s="3" t="s">
        <v>35</v>
      </c>
      <c r="Z37" s="3" t="s">
        <v>35</v>
      </c>
      <c r="AA37" s="3" t="s">
        <v>35</v>
      </c>
      <c r="AB37" s="3" t="s">
        <v>84</v>
      </c>
      <c r="AC37" s="3" t="s">
        <v>49</v>
      </c>
    </row>
    <row r="38" s="3" customFormat="1" spans="1:29">
      <c r="A38" s="3" t="s">
        <v>85</v>
      </c>
      <c r="B38" s="3" t="s">
        <v>30</v>
      </c>
      <c r="C38" s="3">
        <v>19498712</v>
      </c>
      <c r="D38" s="13" t="s">
        <v>86</v>
      </c>
      <c r="E38" s="16">
        <v>45976.8987731481</v>
      </c>
      <c r="F38" s="3">
        <v>8367.08</v>
      </c>
      <c r="G38" s="3">
        <v>27.01</v>
      </c>
      <c r="H38" s="3">
        <v>8340.08</v>
      </c>
      <c r="I38" s="3">
        <v>151.92</v>
      </c>
      <c r="J38" s="3">
        <v>-0.75</v>
      </c>
      <c r="K38" s="3">
        <v>152.67</v>
      </c>
      <c r="L38" s="3">
        <v>1893.92</v>
      </c>
      <c r="M38" s="3">
        <v>24621</v>
      </c>
      <c r="N38" s="3">
        <v>919.23</v>
      </c>
      <c r="O38" s="3">
        <v>11950</v>
      </c>
      <c r="P38" s="3" t="s">
        <v>41</v>
      </c>
      <c r="Q38" s="3" t="s">
        <v>42</v>
      </c>
      <c r="R38" s="3" t="s">
        <v>34</v>
      </c>
      <c r="S38" s="3">
        <v>0</v>
      </c>
      <c r="T38" s="3">
        <v>0</v>
      </c>
      <c r="U38" s="3">
        <v>0</v>
      </c>
      <c r="V38" s="3" t="s">
        <v>35</v>
      </c>
      <c r="W38" s="3" t="s">
        <v>35</v>
      </c>
      <c r="X38" s="3" t="s">
        <v>35</v>
      </c>
      <c r="Y38" s="3" t="s">
        <v>35</v>
      </c>
      <c r="Z38" s="3" t="s">
        <v>35</v>
      </c>
      <c r="AA38" s="3" t="s">
        <v>35</v>
      </c>
      <c r="AB38" s="3" t="s">
        <v>36</v>
      </c>
      <c r="AC38" s="3" t="s">
        <v>37</v>
      </c>
    </row>
    <row r="39" s="3" customFormat="1" spans="1:29">
      <c r="A39" s="3" t="s">
        <v>85</v>
      </c>
      <c r="B39" s="3" t="s">
        <v>30</v>
      </c>
      <c r="C39" s="3">
        <v>22491221</v>
      </c>
      <c r="D39" s="13" t="s">
        <v>87</v>
      </c>
      <c r="E39" s="16">
        <v>46130.4485185185</v>
      </c>
      <c r="F39" s="3">
        <v>5858.33</v>
      </c>
      <c r="G39" s="3">
        <v>0.08</v>
      </c>
      <c r="H39" s="3">
        <v>5858.25</v>
      </c>
      <c r="I39" s="3">
        <v>178.2</v>
      </c>
      <c r="J39" s="3">
        <v>-0.09</v>
      </c>
      <c r="K39" s="3">
        <v>178.3</v>
      </c>
      <c r="L39" s="3">
        <v>904.92</v>
      </c>
      <c r="M39" s="3">
        <v>11764</v>
      </c>
      <c r="N39" s="3">
        <v>904.92</v>
      </c>
      <c r="O39" s="3">
        <v>11764</v>
      </c>
      <c r="P39" s="3" t="s">
        <v>41</v>
      </c>
      <c r="Q39" s="3" t="s">
        <v>33</v>
      </c>
      <c r="R39" s="3" t="s">
        <v>34</v>
      </c>
      <c r="S39" s="3">
        <v>0</v>
      </c>
      <c r="T39" s="3">
        <v>0</v>
      </c>
      <c r="U39" s="3">
        <v>0</v>
      </c>
      <c r="V39" s="3" t="s">
        <v>35</v>
      </c>
      <c r="W39" s="3" t="s">
        <v>35</v>
      </c>
      <c r="X39" s="3" t="s">
        <v>35</v>
      </c>
      <c r="Y39" s="3" t="s">
        <v>35</v>
      </c>
      <c r="Z39" s="3" t="s">
        <v>35</v>
      </c>
      <c r="AA39" s="3" t="s">
        <v>35</v>
      </c>
      <c r="AB39" s="3" t="s">
        <v>36</v>
      </c>
      <c r="AC39" s="3" t="s">
        <v>37</v>
      </c>
    </row>
    <row r="40" s="3" customFormat="1" spans="1:29">
      <c r="A40" s="3" t="s">
        <v>85</v>
      </c>
      <c r="B40" s="3" t="s">
        <v>30</v>
      </c>
      <c r="C40" s="3">
        <v>20072952</v>
      </c>
      <c r="D40" s="13" t="s">
        <v>88</v>
      </c>
      <c r="E40" s="16">
        <v>46003.7035185185</v>
      </c>
      <c r="F40" s="3">
        <v>543.26</v>
      </c>
      <c r="G40" s="3">
        <v>1.62</v>
      </c>
      <c r="H40" s="3">
        <v>541.65</v>
      </c>
      <c r="I40" s="3">
        <v>25.31</v>
      </c>
      <c r="J40" s="3">
        <v>1.33</v>
      </c>
      <c r="K40" s="3">
        <v>23.98</v>
      </c>
      <c r="L40" s="3">
        <v>250.69</v>
      </c>
      <c r="M40" s="3">
        <v>3259</v>
      </c>
      <c r="N40" s="3">
        <v>87.85</v>
      </c>
      <c r="O40" s="3">
        <v>1142</v>
      </c>
      <c r="P40" s="3" t="s">
        <v>41</v>
      </c>
      <c r="Q40" s="3" t="s">
        <v>33</v>
      </c>
      <c r="R40" s="3" t="s">
        <v>34</v>
      </c>
      <c r="S40" s="3">
        <v>0</v>
      </c>
      <c r="T40" s="3">
        <v>0</v>
      </c>
      <c r="U40" s="3">
        <v>0</v>
      </c>
      <c r="V40" s="3" t="s">
        <v>35</v>
      </c>
      <c r="W40" s="3" t="s">
        <v>35</v>
      </c>
      <c r="X40" s="3" t="s">
        <v>35</v>
      </c>
      <c r="Y40" s="3" t="s">
        <v>35</v>
      </c>
      <c r="Z40" s="3" t="s">
        <v>35</v>
      </c>
      <c r="AA40" s="3" t="s">
        <v>35</v>
      </c>
      <c r="AB40" s="3" t="s">
        <v>43</v>
      </c>
      <c r="AC40" s="3" t="s">
        <v>37</v>
      </c>
    </row>
    <row r="41" s="3" customFormat="1" spans="1:29">
      <c r="A41" s="3" t="s">
        <v>85</v>
      </c>
      <c r="B41" s="3" t="s">
        <v>30</v>
      </c>
      <c r="C41" s="3">
        <v>22718402</v>
      </c>
      <c r="D41" s="13" t="s">
        <v>89</v>
      </c>
      <c r="E41" s="16">
        <v>46145.9200115741</v>
      </c>
      <c r="F41" s="3">
        <v>2796.86</v>
      </c>
      <c r="G41" s="3">
        <v>0</v>
      </c>
      <c r="H41" s="3">
        <v>2796.86</v>
      </c>
      <c r="I41" s="3">
        <v>-102.44</v>
      </c>
      <c r="J41" s="3">
        <v>0</v>
      </c>
      <c r="K41" s="3">
        <v>-102.44</v>
      </c>
      <c r="L41" s="3">
        <v>543.46</v>
      </c>
      <c r="M41" s="3">
        <v>7065</v>
      </c>
      <c r="N41" s="3">
        <v>543.46</v>
      </c>
      <c r="O41" s="3">
        <v>7065</v>
      </c>
      <c r="P41" s="3" t="s">
        <v>41</v>
      </c>
      <c r="Q41" s="3" t="s">
        <v>33</v>
      </c>
      <c r="R41" s="3" t="s">
        <v>34</v>
      </c>
      <c r="S41" s="3">
        <v>0</v>
      </c>
      <c r="T41" s="3">
        <v>0</v>
      </c>
      <c r="U41" s="3">
        <v>0</v>
      </c>
      <c r="V41" s="3" t="s">
        <v>35</v>
      </c>
      <c r="W41" s="3" t="s">
        <v>35</v>
      </c>
      <c r="X41" s="3" t="s">
        <v>35</v>
      </c>
      <c r="Y41" s="3" t="s">
        <v>35</v>
      </c>
      <c r="Z41" s="3" t="s">
        <v>35</v>
      </c>
      <c r="AA41" s="3" t="s">
        <v>35</v>
      </c>
      <c r="AB41" s="3" t="s">
        <v>48</v>
      </c>
      <c r="AC41" s="3" t="s">
        <v>49</v>
      </c>
    </row>
    <row r="42" s="3" customFormat="1" spans="1:29">
      <c r="A42" s="3" t="s">
        <v>85</v>
      </c>
      <c r="B42" s="3" t="s">
        <v>30</v>
      </c>
      <c r="C42" s="3">
        <v>20112922</v>
      </c>
      <c r="D42" s="13" t="s">
        <v>90</v>
      </c>
      <c r="E42" s="16">
        <v>46005.787662037</v>
      </c>
      <c r="F42" s="3">
        <v>11748.57</v>
      </c>
      <c r="G42" s="3">
        <v>0.77</v>
      </c>
      <c r="H42" s="3">
        <v>11747.8</v>
      </c>
      <c r="I42" s="3">
        <v>212.31</v>
      </c>
      <c r="J42" s="3">
        <v>0.77</v>
      </c>
      <c r="K42" s="3">
        <v>211.54</v>
      </c>
      <c r="L42" s="3">
        <v>1545.92</v>
      </c>
      <c r="M42" s="3">
        <v>20097</v>
      </c>
      <c r="N42" s="3">
        <v>1064</v>
      </c>
      <c r="O42" s="3">
        <v>13832</v>
      </c>
      <c r="P42" s="3" t="s">
        <v>41</v>
      </c>
      <c r="Q42" s="3" t="s">
        <v>42</v>
      </c>
      <c r="R42" s="3" t="s">
        <v>34</v>
      </c>
      <c r="S42" s="3">
        <v>0</v>
      </c>
      <c r="T42" s="3">
        <v>0</v>
      </c>
      <c r="U42" s="3">
        <v>0</v>
      </c>
      <c r="V42" s="3" t="s">
        <v>35</v>
      </c>
      <c r="W42" s="3" t="s">
        <v>35</v>
      </c>
      <c r="X42" s="3" t="s">
        <v>35</v>
      </c>
      <c r="Y42" s="3" t="s">
        <v>35</v>
      </c>
      <c r="Z42" s="3" t="s">
        <v>35</v>
      </c>
      <c r="AA42" s="3" t="s">
        <v>35</v>
      </c>
      <c r="AB42" s="3" t="s">
        <v>48</v>
      </c>
      <c r="AC42" s="3" t="s">
        <v>49</v>
      </c>
    </row>
    <row r="43" s="3" customFormat="1" spans="1:29">
      <c r="A43" s="3" t="s">
        <v>85</v>
      </c>
      <c r="B43" s="3" t="s">
        <v>30</v>
      </c>
      <c r="C43" s="3">
        <v>22153971</v>
      </c>
      <c r="D43" s="13" t="s">
        <v>91</v>
      </c>
      <c r="E43" s="16">
        <v>46110.9266203704</v>
      </c>
      <c r="F43" s="3">
        <v>73153.42</v>
      </c>
      <c r="G43" s="3">
        <v>0</v>
      </c>
      <c r="H43" s="3">
        <v>73153.42</v>
      </c>
      <c r="I43" s="3">
        <v>2927.24</v>
      </c>
      <c r="J43" s="3">
        <v>0</v>
      </c>
      <c r="K43" s="3">
        <v>2927.24</v>
      </c>
      <c r="L43" s="3">
        <v>8069.69</v>
      </c>
      <c r="M43" s="3">
        <v>104906</v>
      </c>
      <c r="N43" s="3">
        <v>8069.69</v>
      </c>
      <c r="O43" s="3">
        <v>104906</v>
      </c>
      <c r="P43" s="3" t="s">
        <v>41</v>
      </c>
      <c r="Q43" s="3" t="s">
        <v>42</v>
      </c>
      <c r="R43" s="3" t="s">
        <v>34</v>
      </c>
      <c r="S43" s="3">
        <v>0</v>
      </c>
      <c r="T43" s="3">
        <v>0</v>
      </c>
      <c r="U43" s="3">
        <v>1</v>
      </c>
      <c r="V43" s="3">
        <v>1</v>
      </c>
      <c r="W43" s="3" t="s">
        <v>35</v>
      </c>
      <c r="X43" s="3" t="s">
        <v>35</v>
      </c>
      <c r="Y43" s="3" t="s">
        <v>35</v>
      </c>
      <c r="Z43" s="3" t="s">
        <v>35</v>
      </c>
      <c r="AA43" s="3" t="s">
        <v>35</v>
      </c>
      <c r="AB43" s="3" t="s">
        <v>48</v>
      </c>
      <c r="AC43" s="3" t="s">
        <v>49</v>
      </c>
    </row>
    <row r="44" s="3" customFormat="1" spans="1:29">
      <c r="A44" s="3" t="s">
        <v>85</v>
      </c>
      <c r="B44" s="3" t="s">
        <v>30</v>
      </c>
      <c r="C44" s="3">
        <v>17731132</v>
      </c>
      <c r="D44" s="13" t="s">
        <v>92</v>
      </c>
      <c r="E44" s="16">
        <v>45871.9405092593</v>
      </c>
      <c r="F44" s="3">
        <v>5325.31</v>
      </c>
      <c r="G44" s="3">
        <v>0.23</v>
      </c>
      <c r="H44" s="3">
        <v>5325.08</v>
      </c>
      <c r="I44" s="3">
        <v>572.3</v>
      </c>
      <c r="J44" s="3">
        <v>-0.04</v>
      </c>
      <c r="K44" s="3">
        <v>572.35</v>
      </c>
      <c r="L44" s="3">
        <v>1124.23</v>
      </c>
      <c r="M44" s="3">
        <v>14615</v>
      </c>
      <c r="N44" s="3">
        <v>2.31</v>
      </c>
      <c r="O44" s="3">
        <v>30</v>
      </c>
      <c r="P44" s="3" t="s">
        <v>32</v>
      </c>
      <c r="Q44" s="3" t="s">
        <v>42</v>
      </c>
      <c r="R44" s="3" t="s">
        <v>34</v>
      </c>
      <c r="S44" s="3">
        <v>0</v>
      </c>
      <c r="T44" s="3">
        <v>0</v>
      </c>
      <c r="U44" s="3">
        <v>0</v>
      </c>
      <c r="V44" s="3" t="s">
        <v>35</v>
      </c>
      <c r="W44" s="3" t="s">
        <v>35</v>
      </c>
      <c r="X44" s="3" t="s">
        <v>35</v>
      </c>
      <c r="Y44" s="3" t="s">
        <v>35</v>
      </c>
      <c r="Z44" s="3" t="s">
        <v>35</v>
      </c>
      <c r="AA44" s="3" t="s">
        <v>35</v>
      </c>
      <c r="AB44" s="3" t="s">
        <v>48</v>
      </c>
      <c r="AC44" s="3" t="s">
        <v>49</v>
      </c>
    </row>
    <row r="45" s="3" customFormat="1" spans="1:29">
      <c r="A45" s="3" t="s">
        <v>85</v>
      </c>
      <c r="B45" s="3" t="s">
        <v>30</v>
      </c>
      <c r="C45" s="3">
        <v>17657980</v>
      </c>
      <c r="D45" s="13" t="s">
        <v>93</v>
      </c>
      <c r="E45" s="16">
        <v>45869.3590162037</v>
      </c>
      <c r="F45" s="3">
        <v>3646.12</v>
      </c>
      <c r="G45" s="3">
        <v>0</v>
      </c>
      <c r="H45" s="3">
        <v>3646.12</v>
      </c>
      <c r="I45" s="3">
        <v>-134.23</v>
      </c>
      <c r="J45" s="3">
        <v>0</v>
      </c>
      <c r="K45" s="3">
        <v>-134.23</v>
      </c>
      <c r="L45" s="3">
        <v>901.92</v>
      </c>
      <c r="M45" s="3">
        <v>11725</v>
      </c>
      <c r="N45" s="3">
        <v>198.77</v>
      </c>
      <c r="O45" s="3">
        <v>2584</v>
      </c>
      <c r="P45" s="3" t="s">
        <v>41</v>
      </c>
      <c r="Q45" s="3" t="s">
        <v>33</v>
      </c>
      <c r="R45" s="3" t="s">
        <v>34</v>
      </c>
      <c r="S45" s="3">
        <v>0</v>
      </c>
      <c r="T45" s="3">
        <v>0</v>
      </c>
      <c r="U45" s="3">
        <v>0</v>
      </c>
      <c r="V45" s="3" t="s">
        <v>35</v>
      </c>
      <c r="W45" s="3" t="s">
        <v>35</v>
      </c>
      <c r="X45" s="3" t="s">
        <v>35</v>
      </c>
      <c r="Y45" s="3" t="s">
        <v>35</v>
      </c>
      <c r="Z45" s="3" t="s">
        <v>35</v>
      </c>
      <c r="AA45" s="3" t="s">
        <v>35</v>
      </c>
      <c r="AB45" s="3" t="s">
        <v>48</v>
      </c>
      <c r="AC45" s="3" t="s">
        <v>49</v>
      </c>
    </row>
    <row r="46" s="3" customFormat="1" spans="1:29">
      <c r="A46" s="3" t="s">
        <v>85</v>
      </c>
      <c r="B46" s="3" t="s">
        <v>30</v>
      </c>
      <c r="C46" s="3">
        <v>22469281</v>
      </c>
      <c r="D46" s="13" t="s">
        <v>94</v>
      </c>
      <c r="E46" s="16">
        <v>46128.8197685185</v>
      </c>
      <c r="F46" s="3">
        <v>438.46</v>
      </c>
      <c r="G46" s="3">
        <v>0</v>
      </c>
      <c r="H46" s="3">
        <v>438.46</v>
      </c>
      <c r="I46" s="3">
        <v>290.38</v>
      </c>
      <c r="J46" s="3">
        <v>-0.2</v>
      </c>
      <c r="K46" s="3">
        <v>290.58</v>
      </c>
      <c r="L46" s="3">
        <v>328.85</v>
      </c>
      <c r="M46" s="3">
        <v>4275</v>
      </c>
      <c r="N46" s="3">
        <v>328.85</v>
      </c>
      <c r="O46" s="3">
        <v>4275</v>
      </c>
      <c r="P46" s="3" t="s">
        <v>41</v>
      </c>
      <c r="Q46" s="3" t="s">
        <v>33</v>
      </c>
      <c r="R46" s="3" t="s">
        <v>34</v>
      </c>
      <c r="S46" s="3">
        <v>0</v>
      </c>
      <c r="T46" s="3">
        <v>0</v>
      </c>
      <c r="U46" s="3">
        <v>0</v>
      </c>
      <c r="V46" s="3" t="s">
        <v>35</v>
      </c>
      <c r="W46" s="3" t="s">
        <v>35</v>
      </c>
      <c r="X46" s="3" t="s">
        <v>35</v>
      </c>
      <c r="Y46" s="3" t="s">
        <v>35</v>
      </c>
      <c r="Z46" s="3" t="s">
        <v>35</v>
      </c>
      <c r="AA46" s="3" t="s">
        <v>35</v>
      </c>
      <c r="AB46" s="3" t="s">
        <v>48</v>
      </c>
      <c r="AC46" s="3" t="s">
        <v>49</v>
      </c>
    </row>
    <row r="47" s="3" customFormat="1" spans="1:29">
      <c r="A47" s="3" t="s">
        <v>85</v>
      </c>
      <c r="B47" s="3" t="s">
        <v>30</v>
      </c>
      <c r="C47" s="3">
        <v>22478120</v>
      </c>
      <c r="D47" s="13" t="s">
        <v>95</v>
      </c>
      <c r="E47" s="16">
        <v>46129.4977314815</v>
      </c>
      <c r="F47" s="3">
        <v>958.31</v>
      </c>
      <c r="G47" s="3">
        <v>0</v>
      </c>
      <c r="H47" s="3">
        <v>958.31</v>
      </c>
      <c r="I47" s="3">
        <v>-76.39</v>
      </c>
      <c r="J47" s="3">
        <v>0</v>
      </c>
      <c r="K47" s="3">
        <v>-76.39</v>
      </c>
      <c r="L47" s="3">
        <v>259.38</v>
      </c>
      <c r="M47" s="3">
        <v>3372</v>
      </c>
      <c r="N47" s="3">
        <v>259.38</v>
      </c>
      <c r="O47" s="3">
        <v>3372</v>
      </c>
      <c r="P47" s="3" t="s">
        <v>32</v>
      </c>
      <c r="Q47" s="3" t="s">
        <v>33</v>
      </c>
      <c r="R47" s="3" t="s">
        <v>34</v>
      </c>
      <c r="S47" s="3">
        <v>0</v>
      </c>
      <c r="T47" s="3">
        <v>0</v>
      </c>
      <c r="U47" s="3">
        <v>0</v>
      </c>
      <c r="V47" s="3" t="s">
        <v>35</v>
      </c>
      <c r="W47" s="3" t="s">
        <v>35</v>
      </c>
      <c r="X47" s="3" t="s">
        <v>35</v>
      </c>
      <c r="Y47" s="3" t="s">
        <v>35</v>
      </c>
      <c r="Z47" s="3" t="s">
        <v>35</v>
      </c>
      <c r="AA47" s="3" t="s">
        <v>35</v>
      </c>
      <c r="AB47" s="3" t="s">
        <v>48</v>
      </c>
      <c r="AC47" s="3" t="s">
        <v>49</v>
      </c>
    </row>
    <row r="48" s="3" customFormat="1" spans="1:29">
      <c r="A48" s="3" t="s">
        <v>85</v>
      </c>
      <c r="B48" s="3" t="s">
        <v>30</v>
      </c>
      <c r="C48" s="3">
        <v>18959650</v>
      </c>
      <c r="D48" s="13" t="s">
        <v>96</v>
      </c>
      <c r="E48" s="16">
        <v>45946.0248611111</v>
      </c>
      <c r="F48" s="3">
        <v>184.77</v>
      </c>
      <c r="G48" s="3">
        <v>0.15</v>
      </c>
      <c r="H48" s="3">
        <v>184.62</v>
      </c>
      <c r="I48" s="3">
        <v>30.25</v>
      </c>
      <c r="J48" s="3">
        <v>0.15</v>
      </c>
      <c r="K48" s="3">
        <v>30.1</v>
      </c>
      <c r="L48" s="3">
        <v>93.38</v>
      </c>
      <c r="M48" s="3">
        <v>1214</v>
      </c>
      <c r="N48" s="3">
        <v>0</v>
      </c>
      <c r="O48" s="3">
        <v>0</v>
      </c>
      <c r="P48" s="3" t="s">
        <v>32</v>
      </c>
      <c r="Q48" s="3" t="s">
        <v>33</v>
      </c>
      <c r="R48" s="3" t="s">
        <v>34</v>
      </c>
      <c r="S48" s="3">
        <v>0</v>
      </c>
      <c r="T48" s="3">
        <v>0</v>
      </c>
      <c r="U48" s="3">
        <v>0</v>
      </c>
      <c r="V48" s="3" t="s">
        <v>35</v>
      </c>
      <c r="W48" s="3" t="s">
        <v>35</v>
      </c>
      <c r="X48" s="3" t="s">
        <v>35</v>
      </c>
      <c r="Y48" s="3" t="s">
        <v>35</v>
      </c>
      <c r="Z48" s="3" t="s">
        <v>35</v>
      </c>
      <c r="AA48" s="3" t="s">
        <v>35</v>
      </c>
      <c r="AB48" s="3" t="s">
        <v>53</v>
      </c>
      <c r="AC48" s="3" t="s">
        <v>49</v>
      </c>
    </row>
    <row r="49" s="3" customFormat="1" spans="1:29">
      <c r="A49" s="3" t="s">
        <v>85</v>
      </c>
      <c r="B49" s="3" t="s">
        <v>30</v>
      </c>
      <c r="C49" s="3">
        <v>16998061</v>
      </c>
      <c r="D49" s="13" t="s">
        <v>97</v>
      </c>
      <c r="E49" s="16">
        <v>45822.4617361111</v>
      </c>
      <c r="F49" s="3">
        <v>3839.48</v>
      </c>
      <c r="G49" s="3">
        <v>0</v>
      </c>
      <c r="H49" s="3">
        <v>3839.48</v>
      </c>
      <c r="I49" s="3">
        <v>193.97</v>
      </c>
      <c r="J49" s="3">
        <v>0</v>
      </c>
      <c r="K49" s="3">
        <v>193.97</v>
      </c>
      <c r="L49" s="3">
        <v>1598.77</v>
      </c>
      <c r="M49" s="3">
        <v>20784</v>
      </c>
      <c r="N49" s="3">
        <v>8.77</v>
      </c>
      <c r="O49" s="3">
        <v>114</v>
      </c>
      <c r="P49" s="3" t="s">
        <v>32</v>
      </c>
      <c r="Q49" s="3" t="s">
        <v>42</v>
      </c>
      <c r="R49" s="3" t="s">
        <v>34</v>
      </c>
      <c r="S49" s="3">
        <v>0</v>
      </c>
      <c r="T49" s="3">
        <v>0</v>
      </c>
      <c r="U49" s="3">
        <v>0</v>
      </c>
      <c r="V49" s="3" t="s">
        <v>35</v>
      </c>
      <c r="W49" s="3" t="s">
        <v>35</v>
      </c>
      <c r="X49" s="3" t="s">
        <v>35</v>
      </c>
      <c r="Y49" s="3" t="s">
        <v>35</v>
      </c>
      <c r="Z49" s="3" t="s">
        <v>35</v>
      </c>
      <c r="AA49" s="3" t="s">
        <v>35</v>
      </c>
      <c r="AB49" s="3" t="s">
        <v>53</v>
      </c>
      <c r="AC49" s="3" t="s">
        <v>49</v>
      </c>
    </row>
    <row r="50" s="3" customFormat="1" spans="1:29">
      <c r="A50" s="3" t="s">
        <v>85</v>
      </c>
      <c r="B50" s="3" t="s">
        <v>30</v>
      </c>
      <c r="C50" s="3">
        <v>18153361</v>
      </c>
      <c r="D50" s="13" t="s">
        <v>98</v>
      </c>
      <c r="E50" s="16">
        <v>45895.6334375</v>
      </c>
      <c r="F50" s="3">
        <v>412.44</v>
      </c>
      <c r="G50" s="3">
        <v>0.15</v>
      </c>
      <c r="H50" s="3">
        <v>412.28</v>
      </c>
      <c r="I50" s="3">
        <v>42.38</v>
      </c>
      <c r="J50" s="3">
        <v>0.15</v>
      </c>
      <c r="K50" s="3">
        <v>42.23</v>
      </c>
      <c r="L50" s="3">
        <v>135.92</v>
      </c>
      <c r="M50" s="3">
        <v>1767</v>
      </c>
      <c r="N50" s="3">
        <v>0.46</v>
      </c>
      <c r="O50" s="3">
        <v>6</v>
      </c>
      <c r="P50" s="3" t="s">
        <v>32</v>
      </c>
      <c r="Q50" s="3" t="s">
        <v>33</v>
      </c>
      <c r="R50" s="3" t="s">
        <v>34</v>
      </c>
      <c r="S50" s="3">
        <v>0</v>
      </c>
      <c r="T50" s="3">
        <v>0</v>
      </c>
      <c r="U50" s="3">
        <v>0</v>
      </c>
      <c r="V50" s="3" t="s">
        <v>35</v>
      </c>
      <c r="W50" s="3" t="s">
        <v>35</v>
      </c>
      <c r="X50" s="3" t="s">
        <v>35</v>
      </c>
      <c r="Y50" s="3" t="s">
        <v>35</v>
      </c>
      <c r="Z50" s="3" t="s">
        <v>35</v>
      </c>
      <c r="AA50" s="3" t="s">
        <v>35</v>
      </c>
      <c r="AB50" s="3" t="s">
        <v>58</v>
      </c>
      <c r="AC50" s="3" t="s">
        <v>49</v>
      </c>
    </row>
    <row r="51" s="3" customFormat="1" spans="1:29">
      <c r="A51" s="3" t="s">
        <v>85</v>
      </c>
      <c r="B51" s="3" t="s">
        <v>30</v>
      </c>
      <c r="C51" s="3">
        <v>22068621</v>
      </c>
      <c r="D51" s="13" t="s">
        <v>99</v>
      </c>
      <c r="E51" s="16">
        <v>46105.8116550926</v>
      </c>
      <c r="F51" s="3">
        <v>323.6</v>
      </c>
      <c r="G51" s="3">
        <v>0.23</v>
      </c>
      <c r="H51" s="3">
        <v>323.37</v>
      </c>
      <c r="I51" s="3">
        <v>16.76</v>
      </c>
      <c r="J51" s="3">
        <v>0.1</v>
      </c>
      <c r="K51" s="3">
        <v>16.67</v>
      </c>
      <c r="L51" s="3">
        <v>55.23</v>
      </c>
      <c r="M51" s="3">
        <v>718</v>
      </c>
      <c r="N51" s="3">
        <v>55.23</v>
      </c>
      <c r="O51" s="3">
        <v>718</v>
      </c>
      <c r="P51" s="3" t="s">
        <v>41</v>
      </c>
      <c r="Q51" s="3" t="s">
        <v>33</v>
      </c>
      <c r="R51" s="3" t="s">
        <v>34</v>
      </c>
      <c r="S51" s="3">
        <v>0</v>
      </c>
      <c r="T51" s="3">
        <v>0</v>
      </c>
      <c r="U51" s="3">
        <v>0</v>
      </c>
      <c r="V51" s="3" t="s">
        <v>35</v>
      </c>
      <c r="W51" s="3" t="s">
        <v>35</v>
      </c>
      <c r="X51" s="3" t="s">
        <v>35</v>
      </c>
      <c r="Y51" s="3" t="s">
        <v>35</v>
      </c>
      <c r="Z51" s="3" t="s">
        <v>35</v>
      </c>
      <c r="AA51" s="3" t="s">
        <v>35</v>
      </c>
      <c r="AB51" s="3" t="s">
        <v>58</v>
      </c>
      <c r="AC51" s="3" t="s">
        <v>49</v>
      </c>
    </row>
    <row r="52" s="3" customFormat="1" spans="1:29">
      <c r="A52" s="3" t="s">
        <v>85</v>
      </c>
      <c r="B52" s="3" t="s">
        <v>30</v>
      </c>
      <c r="C52" s="3">
        <v>16509181</v>
      </c>
      <c r="D52" s="13" t="s">
        <v>100</v>
      </c>
      <c r="E52" s="16">
        <v>45778.6518287037</v>
      </c>
      <c r="F52" s="3">
        <v>284.51</v>
      </c>
      <c r="G52" s="3">
        <v>1.15</v>
      </c>
      <c r="H52" s="3">
        <v>283.36</v>
      </c>
      <c r="I52" s="3">
        <v>60.82</v>
      </c>
      <c r="J52" s="3">
        <v>0.14</v>
      </c>
      <c r="K52" s="3">
        <v>60.68</v>
      </c>
      <c r="L52" s="3">
        <v>102.38</v>
      </c>
      <c r="M52" s="3">
        <v>1331</v>
      </c>
      <c r="N52" s="3">
        <v>19.62</v>
      </c>
      <c r="O52" s="3">
        <v>255</v>
      </c>
      <c r="P52" s="3" t="s">
        <v>41</v>
      </c>
      <c r="Q52" s="3" t="s">
        <v>33</v>
      </c>
      <c r="R52" s="3" t="s">
        <v>34</v>
      </c>
      <c r="S52" s="3">
        <v>0</v>
      </c>
      <c r="T52" s="3">
        <v>0</v>
      </c>
      <c r="U52" s="3">
        <v>0</v>
      </c>
      <c r="V52" s="3" t="s">
        <v>35</v>
      </c>
      <c r="W52" s="3" t="s">
        <v>35</v>
      </c>
      <c r="X52" s="3" t="s">
        <v>35</v>
      </c>
      <c r="Y52" s="3" t="s">
        <v>35</v>
      </c>
      <c r="Z52" s="3" t="s">
        <v>35</v>
      </c>
      <c r="AA52" s="3" t="s">
        <v>35</v>
      </c>
      <c r="AB52" s="3" t="s">
        <v>58</v>
      </c>
      <c r="AC52" s="3" t="s">
        <v>49</v>
      </c>
    </row>
    <row r="53" s="3" customFormat="1" spans="1:29">
      <c r="A53" s="3" t="s">
        <v>85</v>
      </c>
      <c r="B53" s="3" t="s">
        <v>30</v>
      </c>
      <c r="C53" s="3">
        <v>14398531</v>
      </c>
      <c r="D53" s="13" t="s">
        <v>101</v>
      </c>
      <c r="E53" s="16">
        <v>45597.8350925926</v>
      </c>
      <c r="F53" s="3">
        <v>3418.63</v>
      </c>
      <c r="G53" s="3">
        <v>23.83</v>
      </c>
      <c r="H53" s="3">
        <v>3394.8</v>
      </c>
      <c r="I53" s="3">
        <v>48.49</v>
      </c>
      <c r="J53" s="3">
        <v>18.59</v>
      </c>
      <c r="K53" s="3">
        <v>29.9</v>
      </c>
      <c r="L53" s="3">
        <v>417.08</v>
      </c>
      <c r="M53" s="3">
        <v>5422</v>
      </c>
      <c r="N53" s="3">
        <v>241.54</v>
      </c>
      <c r="O53" s="3">
        <v>3140</v>
      </c>
      <c r="P53" s="3" t="s">
        <v>32</v>
      </c>
      <c r="Q53" s="3" t="s">
        <v>33</v>
      </c>
      <c r="R53" s="3" t="s">
        <v>34</v>
      </c>
      <c r="S53" s="3">
        <v>0</v>
      </c>
      <c r="T53" s="3">
        <v>0</v>
      </c>
      <c r="U53" s="3">
        <v>0</v>
      </c>
      <c r="V53" s="3" t="s">
        <v>35</v>
      </c>
      <c r="W53" s="3" t="s">
        <v>35</v>
      </c>
      <c r="X53" s="3" t="s">
        <v>35</v>
      </c>
      <c r="Y53" s="3" t="s">
        <v>35</v>
      </c>
      <c r="Z53" s="3" t="s">
        <v>35</v>
      </c>
      <c r="AA53" s="3" t="s">
        <v>35</v>
      </c>
      <c r="AB53" s="3" t="s">
        <v>58</v>
      </c>
      <c r="AC53" s="3" t="s">
        <v>49</v>
      </c>
    </row>
    <row r="54" s="3" customFormat="1" spans="1:29">
      <c r="A54" s="3" t="s">
        <v>85</v>
      </c>
      <c r="B54" s="3" t="s">
        <v>30</v>
      </c>
      <c r="C54" s="3">
        <v>16067102</v>
      </c>
      <c r="D54" s="13" t="s">
        <v>102</v>
      </c>
      <c r="E54" s="16">
        <v>45743.6124421296</v>
      </c>
      <c r="F54" s="3">
        <v>1943.83</v>
      </c>
      <c r="G54" s="3">
        <v>0.46</v>
      </c>
      <c r="H54" s="3">
        <v>1943.37</v>
      </c>
      <c r="I54" s="3">
        <v>133.83</v>
      </c>
      <c r="J54" s="3">
        <v>0.46</v>
      </c>
      <c r="K54" s="3">
        <v>133.37</v>
      </c>
      <c r="L54" s="3">
        <v>295.38</v>
      </c>
      <c r="M54" s="3">
        <v>3840</v>
      </c>
      <c r="N54" s="3">
        <v>19.23</v>
      </c>
      <c r="O54" s="3">
        <v>250</v>
      </c>
      <c r="P54" s="3" t="s">
        <v>32</v>
      </c>
      <c r="Q54" s="3" t="s">
        <v>33</v>
      </c>
      <c r="R54" s="3" t="s">
        <v>34</v>
      </c>
      <c r="S54" s="3">
        <v>0</v>
      </c>
      <c r="T54" s="3">
        <v>0</v>
      </c>
      <c r="U54" s="3">
        <v>0</v>
      </c>
      <c r="V54" s="3" t="s">
        <v>35</v>
      </c>
      <c r="W54" s="3" t="s">
        <v>35</v>
      </c>
      <c r="X54" s="3" t="s">
        <v>35</v>
      </c>
      <c r="Y54" s="3" t="s">
        <v>35</v>
      </c>
      <c r="Z54" s="3" t="s">
        <v>35</v>
      </c>
      <c r="AA54" s="3" t="s">
        <v>35</v>
      </c>
      <c r="AB54" s="3" t="s">
        <v>70</v>
      </c>
      <c r="AC54" s="3" t="s">
        <v>49</v>
      </c>
    </row>
    <row r="55" s="3" customFormat="1" spans="1:29">
      <c r="A55" s="3" t="s">
        <v>85</v>
      </c>
      <c r="B55" s="3" t="s">
        <v>30</v>
      </c>
      <c r="C55" s="3">
        <v>20540411</v>
      </c>
      <c r="D55" s="13" t="s">
        <v>103</v>
      </c>
      <c r="E55" s="16">
        <v>46026.6200925926</v>
      </c>
      <c r="F55" s="3">
        <v>2524.47</v>
      </c>
      <c r="G55" s="3">
        <v>42.54</v>
      </c>
      <c r="H55" s="3">
        <v>2481.93</v>
      </c>
      <c r="I55" s="3">
        <v>-67.87</v>
      </c>
      <c r="J55" s="3">
        <v>40.85</v>
      </c>
      <c r="K55" s="3">
        <v>-108.72</v>
      </c>
      <c r="L55" s="3">
        <v>563.69</v>
      </c>
      <c r="M55" s="3">
        <v>7328</v>
      </c>
      <c r="N55" s="3">
        <v>61.15</v>
      </c>
      <c r="O55" s="3">
        <v>795</v>
      </c>
      <c r="P55" s="3" t="s">
        <v>41</v>
      </c>
      <c r="Q55" s="3" t="s">
        <v>33</v>
      </c>
      <c r="R55" s="3" t="s">
        <v>34</v>
      </c>
      <c r="S55" s="3">
        <v>0</v>
      </c>
      <c r="T55" s="3">
        <v>0</v>
      </c>
      <c r="U55" s="3">
        <v>0</v>
      </c>
      <c r="V55" s="3" t="s">
        <v>35</v>
      </c>
      <c r="W55" s="3" t="s">
        <v>35</v>
      </c>
      <c r="X55" s="3" t="s">
        <v>35</v>
      </c>
      <c r="Y55" s="3" t="s">
        <v>35</v>
      </c>
      <c r="Z55" s="3" t="s">
        <v>35</v>
      </c>
      <c r="AA55" s="3" t="s">
        <v>35</v>
      </c>
      <c r="AB55" s="3" t="s">
        <v>70</v>
      </c>
      <c r="AC55" s="3" t="s">
        <v>49</v>
      </c>
    </row>
    <row r="56" s="3" customFormat="1" spans="1:29">
      <c r="A56" s="3" t="s">
        <v>85</v>
      </c>
      <c r="B56" s="3" t="s">
        <v>30</v>
      </c>
      <c r="C56" s="3">
        <v>15564442</v>
      </c>
      <c r="D56" s="13" t="s">
        <v>104</v>
      </c>
      <c r="E56" s="16">
        <v>45680.0071064815</v>
      </c>
      <c r="F56" s="3">
        <v>93.02</v>
      </c>
      <c r="G56" s="3">
        <v>0.46</v>
      </c>
      <c r="H56" s="3">
        <v>92.56</v>
      </c>
      <c r="I56" s="3">
        <v>61.04</v>
      </c>
      <c r="J56" s="3">
        <v>0.46</v>
      </c>
      <c r="K56" s="3">
        <v>60.58</v>
      </c>
      <c r="L56" s="3">
        <v>66.31</v>
      </c>
      <c r="M56" s="3">
        <v>862</v>
      </c>
      <c r="N56" s="3">
        <v>0</v>
      </c>
      <c r="O56" s="3">
        <v>0</v>
      </c>
      <c r="P56" s="3" t="s">
        <v>41</v>
      </c>
      <c r="Q56" s="3" t="s">
        <v>33</v>
      </c>
      <c r="R56" s="3" t="s">
        <v>34</v>
      </c>
      <c r="S56" s="3">
        <v>0</v>
      </c>
      <c r="T56" s="3">
        <v>0</v>
      </c>
      <c r="U56" s="3">
        <v>0</v>
      </c>
      <c r="V56" s="3" t="s">
        <v>35</v>
      </c>
      <c r="W56" s="3" t="s">
        <v>35</v>
      </c>
      <c r="X56" s="3" t="s">
        <v>35</v>
      </c>
      <c r="Y56" s="3" t="s">
        <v>35</v>
      </c>
      <c r="Z56" s="3" t="s">
        <v>35</v>
      </c>
      <c r="AA56" s="3" t="s">
        <v>35</v>
      </c>
      <c r="AB56" s="3" t="s">
        <v>70</v>
      </c>
      <c r="AC56" s="3" t="s">
        <v>49</v>
      </c>
    </row>
    <row r="57" s="3" customFormat="1" spans="1:29">
      <c r="A57" s="3" t="s">
        <v>85</v>
      </c>
      <c r="B57" s="3" t="s">
        <v>30</v>
      </c>
      <c r="C57" s="3">
        <v>20166972</v>
      </c>
      <c r="D57" s="13" t="s">
        <v>105</v>
      </c>
      <c r="E57" s="16">
        <v>46008.6694328704</v>
      </c>
      <c r="F57" s="3">
        <v>2771.28</v>
      </c>
      <c r="G57" s="3">
        <v>0</v>
      </c>
      <c r="H57" s="3">
        <v>2771.28</v>
      </c>
      <c r="I57" s="3">
        <v>243.45</v>
      </c>
      <c r="J57" s="3">
        <v>0</v>
      </c>
      <c r="K57" s="3">
        <v>243.45</v>
      </c>
      <c r="L57" s="3">
        <v>370.08</v>
      </c>
      <c r="M57" s="3">
        <v>4811</v>
      </c>
      <c r="N57" s="3">
        <v>178.85</v>
      </c>
      <c r="O57" s="3">
        <v>2325</v>
      </c>
      <c r="P57" s="3" t="s">
        <v>41</v>
      </c>
      <c r="Q57" s="3" t="s">
        <v>33</v>
      </c>
      <c r="R57" s="3" t="s">
        <v>34</v>
      </c>
      <c r="S57" s="3">
        <v>0</v>
      </c>
      <c r="T57" s="3">
        <v>0</v>
      </c>
      <c r="U57" s="3">
        <v>0</v>
      </c>
      <c r="V57" s="3" t="s">
        <v>35</v>
      </c>
      <c r="W57" s="3" t="s">
        <v>35</v>
      </c>
      <c r="X57" s="3" t="s">
        <v>35</v>
      </c>
      <c r="Y57" s="3" t="s">
        <v>35</v>
      </c>
      <c r="Z57" s="3" t="s">
        <v>35</v>
      </c>
      <c r="AA57" s="3" t="s">
        <v>35</v>
      </c>
      <c r="AB57" s="3" t="s">
        <v>70</v>
      </c>
      <c r="AC57" s="3" t="s">
        <v>49</v>
      </c>
    </row>
    <row r="58" s="3" customFormat="1" spans="1:29">
      <c r="A58" s="3" t="s">
        <v>85</v>
      </c>
      <c r="B58" s="3" t="s">
        <v>30</v>
      </c>
      <c r="C58" s="3">
        <v>20026501</v>
      </c>
      <c r="D58" s="13" t="s">
        <v>106</v>
      </c>
      <c r="E58" s="16">
        <v>46002.0058101852</v>
      </c>
      <c r="F58" s="3">
        <v>571.47</v>
      </c>
      <c r="G58" s="3">
        <v>0</v>
      </c>
      <c r="H58" s="3">
        <v>571.47</v>
      </c>
      <c r="I58" s="3">
        <v>38.43</v>
      </c>
      <c r="J58" s="3">
        <v>0</v>
      </c>
      <c r="K58" s="3">
        <v>38.43</v>
      </c>
      <c r="L58" s="3">
        <v>96.15</v>
      </c>
      <c r="M58" s="3">
        <v>1250</v>
      </c>
      <c r="N58" s="3">
        <v>78.46</v>
      </c>
      <c r="O58" s="3">
        <v>1020</v>
      </c>
      <c r="P58" s="3" t="s">
        <v>32</v>
      </c>
      <c r="Q58" s="3" t="s">
        <v>33</v>
      </c>
      <c r="R58" s="3" t="s">
        <v>34</v>
      </c>
      <c r="S58" s="3">
        <v>0</v>
      </c>
      <c r="T58" s="3">
        <v>0</v>
      </c>
      <c r="U58" s="3">
        <v>0</v>
      </c>
      <c r="V58" s="3" t="s">
        <v>35</v>
      </c>
      <c r="W58" s="3" t="s">
        <v>35</v>
      </c>
      <c r="X58" s="3" t="s">
        <v>35</v>
      </c>
      <c r="Y58" s="3" t="s">
        <v>35</v>
      </c>
      <c r="Z58" s="3" t="s">
        <v>35</v>
      </c>
      <c r="AA58" s="3" t="s">
        <v>35</v>
      </c>
      <c r="AB58" s="3" t="s">
        <v>70</v>
      </c>
      <c r="AC58" s="3" t="s">
        <v>49</v>
      </c>
    </row>
    <row r="59" s="3" customFormat="1" spans="1:29">
      <c r="A59" s="3" t="s">
        <v>85</v>
      </c>
      <c r="B59" s="3" t="s">
        <v>30</v>
      </c>
      <c r="C59" s="3">
        <v>21060660</v>
      </c>
      <c r="D59" s="13" t="s">
        <v>107</v>
      </c>
      <c r="E59" s="16">
        <v>46053.3749768518</v>
      </c>
      <c r="F59" s="3">
        <v>498.49</v>
      </c>
      <c r="G59" s="3">
        <v>1.85</v>
      </c>
      <c r="H59" s="3">
        <v>496.41</v>
      </c>
      <c r="I59" s="3">
        <v>45.15</v>
      </c>
      <c r="J59" s="3">
        <v>1.62</v>
      </c>
      <c r="K59" s="3">
        <v>43.54</v>
      </c>
      <c r="L59" s="3">
        <v>86.62</v>
      </c>
      <c r="M59" s="3">
        <v>1126</v>
      </c>
      <c r="N59" s="3">
        <v>48.54</v>
      </c>
      <c r="O59" s="3">
        <v>631</v>
      </c>
      <c r="P59" s="3" t="s">
        <v>32</v>
      </c>
      <c r="Q59" s="3" t="s">
        <v>33</v>
      </c>
      <c r="R59" s="3" t="s">
        <v>34</v>
      </c>
      <c r="S59" s="3">
        <v>0</v>
      </c>
      <c r="T59" s="3">
        <v>0</v>
      </c>
      <c r="U59" s="3">
        <v>0</v>
      </c>
      <c r="V59" s="3" t="s">
        <v>35</v>
      </c>
      <c r="W59" s="3" t="s">
        <v>35</v>
      </c>
      <c r="X59" s="3" t="s">
        <v>35</v>
      </c>
      <c r="Y59" s="3" t="s">
        <v>35</v>
      </c>
      <c r="Z59" s="3" t="s">
        <v>35</v>
      </c>
      <c r="AA59" s="3" t="s">
        <v>35</v>
      </c>
      <c r="AB59" s="3" t="s">
        <v>80</v>
      </c>
      <c r="AC59" s="3" t="s">
        <v>49</v>
      </c>
    </row>
    <row r="60" s="3" customFormat="1" spans="1:29">
      <c r="A60" s="3" t="s">
        <v>85</v>
      </c>
      <c r="B60" s="3" t="s">
        <v>30</v>
      </c>
      <c r="C60" s="3">
        <v>15916650</v>
      </c>
      <c r="D60" s="13" t="s">
        <v>108</v>
      </c>
      <c r="E60" s="16">
        <v>45714.1479398148</v>
      </c>
      <c r="F60" s="3">
        <v>2461.96</v>
      </c>
      <c r="G60" s="3">
        <v>9.08</v>
      </c>
      <c r="H60" s="3">
        <v>2452.89</v>
      </c>
      <c r="I60" s="3">
        <v>-6.65</v>
      </c>
      <c r="J60" s="3">
        <v>-15.63</v>
      </c>
      <c r="K60" s="3">
        <v>8.98</v>
      </c>
      <c r="L60" s="3">
        <v>1193.77</v>
      </c>
      <c r="M60" s="3">
        <v>15519</v>
      </c>
      <c r="N60" s="3">
        <v>0</v>
      </c>
      <c r="O60" s="3">
        <v>0</v>
      </c>
      <c r="P60" s="3" t="s">
        <v>41</v>
      </c>
      <c r="Q60" s="3" t="s">
        <v>42</v>
      </c>
      <c r="R60" s="3" t="s">
        <v>34</v>
      </c>
      <c r="S60" s="3">
        <v>0</v>
      </c>
      <c r="T60" s="3">
        <v>0</v>
      </c>
      <c r="U60" s="3">
        <v>0</v>
      </c>
      <c r="V60" s="3" t="s">
        <v>35</v>
      </c>
      <c r="W60" s="3" t="s">
        <v>35</v>
      </c>
      <c r="X60" s="3" t="s">
        <v>35</v>
      </c>
      <c r="Y60" s="3" t="s">
        <v>35</v>
      </c>
      <c r="Z60" s="3" t="s">
        <v>35</v>
      </c>
      <c r="AA60" s="3" t="s">
        <v>35</v>
      </c>
      <c r="AB60" s="3" t="s">
        <v>80</v>
      </c>
      <c r="AC60" s="3" t="s">
        <v>49</v>
      </c>
    </row>
    <row r="61" s="3" customFormat="1" spans="1:29">
      <c r="A61" s="3" t="s">
        <v>85</v>
      </c>
      <c r="B61" s="3" t="s">
        <v>30</v>
      </c>
      <c r="C61" s="3">
        <v>22602490</v>
      </c>
      <c r="D61" s="13" t="s">
        <v>109</v>
      </c>
      <c r="E61" s="16">
        <v>46137.6622222222</v>
      </c>
      <c r="F61" s="3">
        <v>134.92</v>
      </c>
      <c r="G61" s="3">
        <v>0</v>
      </c>
      <c r="H61" s="3">
        <v>134.92</v>
      </c>
      <c r="I61" s="3">
        <v>17.39</v>
      </c>
      <c r="J61" s="3">
        <v>0</v>
      </c>
      <c r="K61" s="3">
        <v>17.39</v>
      </c>
      <c r="L61" s="3">
        <v>63.62</v>
      </c>
      <c r="M61" s="3">
        <v>827</v>
      </c>
      <c r="N61" s="3">
        <v>63.62</v>
      </c>
      <c r="O61" s="3">
        <v>827</v>
      </c>
      <c r="P61" s="3" t="s">
        <v>32</v>
      </c>
      <c r="Q61" s="3" t="s">
        <v>33</v>
      </c>
      <c r="R61" s="3" t="s">
        <v>34</v>
      </c>
      <c r="S61" s="3">
        <v>0</v>
      </c>
      <c r="T61" s="3">
        <v>0</v>
      </c>
      <c r="U61" s="3">
        <v>0</v>
      </c>
      <c r="V61" s="3" t="s">
        <v>35</v>
      </c>
      <c r="W61" s="3" t="s">
        <v>35</v>
      </c>
      <c r="X61" s="3" t="s">
        <v>35</v>
      </c>
      <c r="Y61" s="3" t="s">
        <v>35</v>
      </c>
      <c r="Z61" s="3" t="s">
        <v>35</v>
      </c>
      <c r="AA61" s="3" t="s">
        <v>35</v>
      </c>
      <c r="AB61" s="3" t="s">
        <v>80</v>
      </c>
      <c r="AC61" s="3" t="s">
        <v>49</v>
      </c>
    </row>
    <row r="62" s="3" customFormat="1" spans="1:29">
      <c r="A62" s="3" t="s">
        <v>85</v>
      </c>
      <c r="B62" s="3" t="s">
        <v>30</v>
      </c>
      <c r="C62" s="3">
        <v>21762342</v>
      </c>
      <c r="D62" s="13" t="s">
        <v>110</v>
      </c>
      <c r="E62" s="16">
        <v>46088.8789351852</v>
      </c>
      <c r="F62" s="3">
        <v>3018.07</v>
      </c>
      <c r="G62" s="3">
        <v>0</v>
      </c>
      <c r="H62" s="3">
        <v>3018.07</v>
      </c>
      <c r="I62" s="3">
        <v>255.76</v>
      </c>
      <c r="J62" s="3">
        <v>0</v>
      </c>
      <c r="K62" s="3">
        <v>255.76</v>
      </c>
      <c r="L62" s="3">
        <v>648.54</v>
      </c>
      <c r="M62" s="3">
        <v>8431</v>
      </c>
      <c r="N62" s="3">
        <v>648.54</v>
      </c>
      <c r="O62" s="3">
        <v>8431</v>
      </c>
      <c r="P62" s="3" t="s">
        <v>32</v>
      </c>
      <c r="Q62" s="3" t="s">
        <v>33</v>
      </c>
      <c r="R62" s="3" t="s">
        <v>34</v>
      </c>
      <c r="S62" s="3">
        <v>0</v>
      </c>
      <c r="T62" s="3">
        <v>0</v>
      </c>
      <c r="U62" s="3">
        <v>0</v>
      </c>
      <c r="V62" s="3" t="s">
        <v>35</v>
      </c>
      <c r="W62" s="3" t="s">
        <v>35</v>
      </c>
      <c r="X62" s="3" t="s">
        <v>35</v>
      </c>
      <c r="Y62" s="3" t="s">
        <v>35</v>
      </c>
      <c r="Z62" s="3" t="s">
        <v>35</v>
      </c>
      <c r="AA62" s="3" t="s">
        <v>35</v>
      </c>
      <c r="AB62" s="3" t="s">
        <v>84</v>
      </c>
      <c r="AC62" s="3" t="s">
        <v>49</v>
      </c>
    </row>
    <row r="63" s="15" customFormat="1" spans="1:29">
      <c r="A63" s="15" t="s">
        <v>111</v>
      </c>
      <c r="B63" s="15" t="s">
        <v>30</v>
      </c>
      <c r="C63" s="15">
        <v>22296861</v>
      </c>
      <c r="D63" s="14">
        <v>233202510472</v>
      </c>
      <c r="E63" s="17">
        <v>46119.6817824074</v>
      </c>
      <c r="F63" s="15">
        <v>348.68</v>
      </c>
      <c r="G63" s="15">
        <v>0</v>
      </c>
      <c r="H63" s="15">
        <v>348.68</v>
      </c>
      <c r="I63" s="15">
        <v>12.06</v>
      </c>
      <c r="J63" s="15">
        <v>0</v>
      </c>
      <c r="K63" s="15">
        <v>12.06</v>
      </c>
      <c r="L63" s="15">
        <v>53.46</v>
      </c>
      <c r="M63" s="15">
        <v>695</v>
      </c>
      <c r="N63" s="15">
        <v>53.46</v>
      </c>
      <c r="O63" s="15">
        <v>695</v>
      </c>
      <c r="P63" s="15" t="s">
        <v>41</v>
      </c>
      <c r="Q63" s="15" t="s">
        <v>33</v>
      </c>
      <c r="R63" s="15" t="s">
        <v>34</v>
      </c>
      <c r="S63" s="15">
        <v>0</v>
      </c>
      <c r="T63" s="15">
        <v>0</v>
      </c>
      <c r="U63" s="15">
        <v>0</v>
      </c>
      <c r="V63" s="15" t="s">
        <v>35</v>
      </c>
      <c r="W63" s="15" t="s">
        <v>35</v>
      </c>
      <c r="X63" s="15" t="s">
        <v>35</v>
      </c>
      <c r="Y63" s="15" t="s">
        <v>35</v>
      </c>
      <c r="Z63" s="15" t="s">
        <v>35</v>
      </c>
      <c r="AA63" s="15" t="s">
        <v>35</v>
      </c>
    </row>
    <row r="64" s="15" customFormat="1" spans="1:29">
      <c r="A64" s="15" t="s">
        <v>111</v>
      </c>
      <c r="B64" s="15" t="s">
        <v>30</v>
      </c>
      <c r="C64" s="15">
        <v>22838630</v>
      </c>
      <c r="D64" s="14">
        <v>233208326265</v>
      </c>
      <c r="E64" s="17">
        <v>46154.7689351852</v>
      </c>
      <c r="F64" s="15">
        <v>3318.93</v>
      </c>
      <c r="G64" s="15">
        <v>0</v>
      </c>
      <c r="H64" s="15">
        <v>3318.93</v>
      </c>
      <c r="I64" s="15">
        <v>41.77</v>
      </c>
      <c r="J64" s="15">
        <v>0</v>
      </c>
      <c r="K64" s="15">
        <v>41.77</v>
      </c>
      <c r="L64" s="15">
        <v>505.23</v>
      </c>
      <c r="M64" s="15">
        <v>6568</v>
      </c>
      <c r="N64" s="15">
        <v>505.23</v>
      </c>
      <c r="O64" s="15">
        <v>6568</v>
      </c>
      <c r="P64" s="15" t="s">
        <v>41</v>
      </c>
      <c r="Q64" s="15" t="s">
        <v>33</v>
      </c>
      <c r="R64" s="15" t="s">
        <v>34</v>
      </c>
      <c r="S64" s="15">
        <v>0</v>
      </c>
      <c r="T64" s="15">
        <v>0</v>
      </c>
      <c r="U64" s="15">
        <v>0</v>
      </c>
      <c r="V64" s="15" t="s">
        <v>35</v>
      </c>
      <c r="W64" s="15" t="s">
        <v>35</v>
      </c>
      <c r="X64" s="15" t="s">
        <v>35</v>
      </c>
      <c r="Y64" s="15" t="s">
        <v>35</v>
      </c>
      <c r="Z64" s="15" t="s">
        <v>35</v>
      </c>
      <c r="AA64" s="15" t="s">
        <v>35</v>
      </c>
    </row>
    <row r="65" s="15" customFormat="1" spans="1:27">
      <c r="A65" s="15" t="s">
        <v>111</v>
      </c>
      <c r="B65" s="15" t="s">
        <v>30</v>
      </c>
      <c r="C65" s="15">
        <v>22543560</v>
      </c>
      <c r="D65" s="14">
        <v>233245688964</v>
      </c>
      <c r="E65" s="17">
        <v>46134.334375</v>
      </c>
      <c r="F65" s="15">
        <v>1152.35</v>
      </c>
      <c r="G65" s="15">
        <v>0.08</v>
      </c>
      <c r="H65" s="15">
        <v>1151.58</v>
      </c>
      <c r="I65" s="15">
        <v>64.65</v>
      </c>
      <c r="J65" s="15">
        <v>0.08</v>
      </c>
      <c r="K65" s="15">
        <v>64.58</v>
      </c>
      <c r="L65" s="15">
        <v>248.92</v>
      </c>
      <c r="M65" s="15">
        <v>3236</v>
      </c>
      <c r="N65" s="15">
        <v>248.92</v>
      </c>
      <c r="O65" s="15">
        <v>3236</v>
      </c>
      <c r="P65" s="15" t="s">
        <v>32</v>
      </c>
      <c r="Q65" s="15" t="s">
        <v>33</v>
      </c>
      <c r="R65" s="15" t="s">
        <v>34</v>
      </c>
      <c r="S65" s="15">
        <v>0</v>
      </c>
      <c r="T65" s="15">
        <v>0</v>
      </c>
      <c r="U65" s="15">
        <v>0</v>
      </c>
      <c r="V65" s="15" t="s">
        <v>35</v>
      </c>
      <c r="W65" s="15" t="s">
        <v>35</v>
      </c>
      <c r="X65" s="15" t="s">
        <v>35</v>
      </c>
      <c r="Y65" s="15" t="s">
        <v>35</v>
      </c>
      <c r="Z65" s="15" t="s">
        <v>35</v>
      </c>
      <c r="AA65" s="15" t="s">
        <v>35</v>
      </c>
    </row>
    <row r="66" s="15" customFormat="1" spans="1:27">
      <c r="A66" s="15" t="s">
        <v>111</v>
      </c>
      <c r="B66" s="15" t="s">
        <v>30</v>
      </c>
      <c r="C66" s="15">
        <v>16876812</v>
      </c>
      <c r="D66" s="14">
        <v>233247247678</v>
      </c>
      <c r="E66" s="17">
        <v>45811.7196527778</v>
      </c>
      <c r="F66" s="15">
        <v>290.51</v>
      </c>
      <c r="G66" s="15">
        <v>6.77</v>
      </c>
      <c r="H66" s="15">
        <v>283.74</v>
      </c>
      <c r="I66" s="15">
        <v>30.46</v>
      </c>
      <c r="J66" s="15">
        <v>5.83</v>
      </c>
      <c r="K66" s="15">
        <v>24.63</v>
      </c>
      <c r="L66" s="15">
        <v>70.08</v>
      </c>
      <c r="M66" s="15">
        <v>911</v>
      </c>
      <c r="N66" s="15">
        <v>0</v>
      </c>
      <c r="O66" s="15">
        <v>0</v>
      </c>
      <c r="P66" s="15" t="s">
        <v>32</v>
      </c>
      <c r="Q66" s="15" t="s">
        <v>33</v>
      </c>
      <c r="R66" s="15" t="s">
        <v>34</v>
      </c>
      <c r="S66" s="15">
        <v>0</v>
      </c>
      <c r="T66" s="15">
        <v>0</v>
      </c>
      <c r="U66" s="15">
        <v>0</v>
      </c>
      <c r="V66" s="15" t="s">
        <v>35</v>
      </c>
      <c r="W66" s="15" t="s">
        <v>35</v>
      </c>
      <c r="X66" s="15" t="s">
        <v>35</v>
      </c>
      <c r="Y66" s="15" t="s">
        <v>35</v>
      </c>
      <c r="Z66" s="15" t="s">
        <v>35</v>
      </c>
      <c r="AA66" s="15" t="s">
        <v>35</v>
      </c>
    </row>
    <row r="67" s="15" customFormat="1" spans="1:27">
      <c r="A67" s="15" t="s">
        <v>111</v>
      </c>
      <c r="B67" s="15" t="s">
        <v>30</v>
      </c>
      <c r="C67" s="15">
        <v>22631271</v>
      </c>
      <c r="D67" s="14">
        <v>233247393151</v>
      </c>
      <c r="E67" s="17">
        <v>46139.9012037037</v>
      </c>
      <c r="F67" s="15">
        <v>402.37</v>
      </c>
      <c r="G67" s="15">
        <v>176.72</v>
      </c>
      <c r="H67" s="15">
        <v>225.65</v>
      </c>
      <c r="I67" s="15">
        <v>141.84</v>
      </c>
      <c r="J67" s="15">
        <v>126.76</v>
      </c>
      <c r="K67" s="15">
        <v>15.09</v>
      </c>
      <c r="L67" s="15">
        <v>166.85</v>
      </c>
      <c r="M67" s="15">
        <v>2169</v>
      </c>
      <c r="N67" s="15">
        <v>166.85</v>
      </c>
      <c r="O67" s="15">
        <v>2169</v>
      </c>
      <c r="P67" s="15" t="s">
        <v>61</v>
      </c>
      <c r="Q67" s="15" t="s">
        <v>33</v>
      </c>
      <c r="R67" s="15" t="s">
        <v>34</v>
      </c>
      <c r="S67" s="15">
        <v>120</v>
      </c>
      <c r="T67" s="15">
        <v>0</v>
      </c>
      <c r="U67" s="15">
        <v>0</v>
      </c>
      <c r="V67" s="15" t="s">
        <v>35</v>
      </c>
      <c r="W67" s="15" t="s">
        <v>35</v>
      </c>
      <c r="X67" s="15" t="s">
        <v>35</v>
      </c>
      <c r="Y67" s="15" t="s">
        <v>35</v>
      </c>
      <c r="Z67" s="15" t="s">
        <v>35</v>
      </c>
      <c r="AA67" s="15" t="s">
        <v>35</v>
      </c>
    </row>
    <row r="68" s="15" customFormat="1" spans="1:27">
      <c r="A68" s="15" t="s">
        <v>111</v>
      </c>
      <c r="B68" s="15" t="s">
        <v>30</v>
      </c>
      <c r="C68" s="15">
        <v>18287460</v>
      </c>
      <c r="D68" s="14">
        <v>233249488836</v>
      </c>
      <c r="E68" s="17">
        <v>45902.9105902778</v>
      </c>
      <c r="F68" s="15">
        <v>300.6</v>
      </c>
      <c r="G68" s="15">
        <v>0</v>
      </c>
      <c r="H68" s="15">
        <v>300.6</v>
      </c>
      <c r="I68" s="15">
        <v>59.22</v>
      </c>
      <c r="J68" s="15">
        <v>0</v>
      </c>
      <c r="K68" s="15">
        <v>59.22</v>
      </c>
      <c r="L68" s="15">
        <v>66.15</v>
      </c>
      <c r="M68" s="15">
        <v>860</v>
      </c>
      <c r="N68" s="15">
        <v>13.46</v>
      </c>
      <c r="O68" s="15">
        <v>175</v>
      </c>
      <c r="P68" s="15" t="s">
        <v>32</v>
      </c>
      <c r="Q68" s="15" t="s">
        <v>33</v>
      </c>
      <c r="R68" s="15" t="s">
        <v>34</v>
      </c>
      <c r="S68" s="15">
        <v>0</v>
      </c>
      <c r="T68" s="15">
        <v>0</v>
      </c>
      <c r="U68" s="15">
        <v>0</v>
      </c>
      <c r="V68" s="15" t="s">
        <v>35</v>
      </c>
      <c r="W68" s="15" t="s">
        <v>35</v>
      </c>
      <c r="X68" s="15" t="s">
        <v>35</v>
      </c>
      <c r="Y68" s="15" t="s">
        <v>35</v>
      </c>
      <c r="Z68" s="15" t="s">
        <v>35</v>
      </c>
      <c r="AA68" s="15" t="s">
        <v>35</v>
      </c>
    </row>
    <row r="69" s="15" customFormat="1" spans="1:27">
      <c r="A69" s="15" t="s">
        <v>111</v>
      </c>
      <c r="B69" s="15" t="s">
        <v>30</v>
      </c>
      <c r="C69" s="15">
        <v>19175361</v>
      </c>
      <c r="D69" s="14">
        <v>233256304920</v>
      </c>
      <c r="E69" s="17">
        <v>45959.5692361111</v>
      </c>
      <c r="F69" s="15">
        <v>3605.82</v>
      </c>
      <c r="G69" s="15">
        <v>0</v>
      </c>
      <c r="H69" s="15">
        <v>3605.82</v>
      </c>
      <c r="I69" s="15">
        <v>26.2</v>
      </c>
      <c r="J69" s="15">
        <v>0</v>
      </c>
      <c r="K69" s="15">
        <v>26.2</v>
      </c>
      <c r="L69" s="15">
        <v>354.69</v>
      </c>
      <c r="M69" s="15">
        <v>4611</v>
      </c>
      <c r="N69" s="15">
        <v>59.92</v>
      </c>
      <c r="O69" s="15">
        <v>779</v>
      </c>
      <c r="P69" s="15" t="s">
        <v>32</v>
      </c>
      <c r="Q69" s="15" t="s">
        <v>33</v>
      </c>
      <c r="R69" s="15" t="s">
        <v>34</v>
      </c>
      <c r="S69" s="15">
        <v>0</v>
      </c>
      <c r="T69" s="15">
        <v>0</v>
      </c>
      <c r="U69" s="15">
        <v>0</v>
      </c>
      <c r="V69" s="15" t="s">
        <v>35</v>
      </c>
      <c r="W69" s="15" t="s">
        <v>35</v>
      </c>
      <c r="X69" s="15" t="s">
        <v>35</v>
      </c>
      <c r="Y69" s="15" t="s">
        <v>35</v>
      </c>
      <c r="Z69" s="15" t="s">
        <v>35</v>
      </c>
      <c r="AA69" s="15" t="s">
        <v>35</v>
      </c>
    </row>
    <row r="70" s="15" customFormat="1" spans="1:27">
      <c r="A70" s="15" t="s">
        <v>111</v>
      </c>
      <c r="B70" s="15" t="s">
        <v>30</v>
      </c>
      <c r="C70" s="15">
        <v>10075832</v>
      </c>
      <c r="D70" s="14">
        <v>233256916100</v>
      </c>
      <c r="E70" s="17">
        <v>45084.7633564815</v>
      </c>
      <c r="F70" s="15">
        <v>127.06</v>
      </c>
      <c r="G70" s="15">
        <v>0</v>
      </c>
      <c r="H70" s="15">
        <v>127.06</v>
      </c>
      <c r="I70" s="15">
        <v>28.74</v>
      </c>
      <c r="J70" s="15">
        <v>0</v>
      </c>
      <c r="K70" s="15">
        <v>28.74</v>
      </c>
      <c r="L70" s="15">
        <v>62.31</v>
      </c>
      <c r="M70" s="15">
        <v>810</v>
      </c>
      <c r="N70" s="15">
        <v>0</v>
      </c>
      <c r="O70" s="15">
        <v>0</v>
      </c>
      <c r="P70" s="15" t="s">
        <v>32</v>
      </c>
      <c r="Q70" s="15" t="s">
        <v>33</v>
      </c>
      <c r="R70" s="15" t="s">
        <v>34</v>
      </c>
      <c r="S70" s="15">
        <v>0</v>
      </c>
      <c r="T70" s="15">
        <v>0</v>
      </c>
      <c r="U70" s="15">
        <v>0</v>
      </c>
      <c r="V70" s="15" t="s">
        <v>35</v>
      </c>
      <c r="W70" s="15" t="s">
        <v>35</v>
      </c>
      <c r="X70" s="15" t="s">
        <v>35</v>
      </c>
      <c r="Y70" s="15" t="s">
        <v>35</v>
      </c>
      <c r="Z70" s="15" t="s">
        <v>35</v>
      </c>
      <c r="AA70" s="15" t="s">
        <v>35</v>
      </c>
    </row>
    <row r="71" s="15" customFormat="1" spans="1:27">
      <c r="A71" s="15" t="s">
        <v>111</v>
      </c>
      <c r="B71" s="15" t="s">
        <v>30</v>
      </c>
      <c r="C71" s="15">
        <v>19094430</v>
      </c>
      <c r="D71" s="14">
        <v>233257443175</v>
      </c>
      <c r="E71" s="17">
        <v>45953.8313425926</v>
      </c>
      <c r="F71" s="15">
        <v>629.06</v>
      </c>
      <c r="G71" s="15">
        <v>333.02</v>
      </c>
      <c r="H71" s="15">
        <v>296.04</v>
      </c>
      <c r="I71" s="15">
        <v>49.54</v>
      </c>
      <c r="J71" s="15">
        <v>25.18</v>
      </c>
      <c r="K71" s="15">
        <v>24.37</v>
      </c>
      <c r="L71" s="15">
        <v>213.38</v>
      </c>
      <c r="M71" s="15">
        <v>2774</v>
      </c>
      <c r="N71" s="15">
        <v>35.85</v>
      </c>
      <c r="O71" s="15">
        <v>466</v>
      </c>
      <c r="P71" s="15" t="s">
        <v>61</v>
      </c>
      <c r="Q71" s="15" t="s">
        <v>33</v>
      </c>
      <c r="R71" s="15" t="s">
        <v>34</v>
      </c>
      <c r="S71" s="15">
        <v>120</v>
      </c>
      <c r="T71" s="15">
        <v>0</v>
      </c>
      <c r="U71" s="15">
        <v>0</v>
      </c>
      <c r="V71" s="15" t="s">
        <v>35</v>
      </c>
      <c r="W71" s="15" t="s">
        <v>35</v>
      </c>
      <c r="X71" s="15" t="s">
        <v>35</v>
      </c>
      <c r="Y71" s="15" t="s">
        <v>35</v>
      </c>
      <c r="Z71" s="15" t="s">
        <v>35</v>
      </c>
      <c r="AA71" s="15" t="s">
        <v>35</v>
      </c>
    </row>
    <row r="72" s="15" customFormat="1" spans="1:27">
      <c r="A72" s="15" t="s">
        <v>111</v>
      </c>
      <c r="B72" s="15" t="s">
        <v>30</v>
      </c>
      <c r="C72" s="15">
        <v>18500020</v>
      </c>
      <c r="D72" s="14">
        <v>233257519851</v>
      </c>
      <c r="E72" s="17">
        <v>45916.3708796296</v>
      </c>
      <c r="F72" s="15">
        <v>4462.55</v>
      </c>
      <c r="G72" s="15">
        <v>1.08</v>
      </c>
      <c r="H72" s="15">
        <v>4461.47</v>
      </c>
      <c r="I72" s="15">
        <v>353.77</v>
      </c>
      <c r="J72" s="15">
        <v>0.71</v>
      </c>
      <c r="K72" s="15">
        <v>353.06</v>
      </c>
      <c r="L72" s="15">
        <v>1842.46</v>
      </c>
      <c r="M72" s="15">
        <v>23952</v>
      </c>
      <c r="N72" s="15">
        <v>842.38</v>
      </c>
      <c r="O72" s="15">
        <v>10951</v>
      </c>
      <c r="P72" s="15" t="s">
        <v>32</v>
      </c>
      <c r="Q72" s="15" t="s">
        <v>42</v>
      </c>
      <c r="R72" s="15" t="s">
        <v>34</v>
      </c>
      <c r="S72" s="15">
        <v>0</v>
      </c>
      <c r="T72" s="15">
        <v>0</v>
      </c>
      <c r="U72" s="15">
        <v>0</v>
      </c>
      <c r="V72" s="15" t="s">
        <v>35</v>
      </c>
      <c r="W72" s="15" t="s">
        <v>35</v>
      </c>
      <c r="X72" s="15" t="s">
        <v>35</v>
      </c>
      <c r="Y72" s="15" t="s">
        <v>35</v>
      </c>
      <c r="Z72" s="15" t="s">
        <v>35</v>
      </c>
      <c r="AA72" s="15" t="s">
        <v>35</v>
      </c>
    </row>
    <row r="73" s="15" customFormat="1" spans="1:27">
      <c r="A73" s="15" t="s">
        <v>111</v>
      </c>
      <c r="B73" s="15" t="s">
        <v>30</v>
      </c>
      <c r="C73" s="15">
        <v>18692450</v>
      </c>
      <c r="D73" s="14">
        <v>233502784330</v>
      </c>
      <c r="E73" s="17">
        <v>45927.5592592593</v>
      </c>
      <c r="F73" s="15">
        <v>787.1</v>
      </c>
      <c r="G73" s="15">
        <v>0.54</v>
      </c>
      <c r="H73" s="15">
        <v>785.18</v>
      </c>
      <c r="I73" s="15">
        <v>44.15</v>
      </c>
      <c r="J73" s="15">
        <v>0.54</v>
      </c>
      <c r="K73" s="15">
        <v>43.61</v>
      </c>
      <c r="L73" s="15">
        <v>116</v>
      </c>
      <c r="M73" s="15">
        <v>1508</v>
      </c>
      <c r="N73" s="15">
        <v>25.85</v>
      </c>
      <c r="O73" s="15">
        <v>336</v>
      </c>
      <c r="P73" s="15" t="s">
        <v>32</v>
      </c>
      <c r="Q73" s="15" t="s">
        <v>33</v>
      </c>
      <c r="R73" s="15" t="s">
        <v>34</v>
      </c>
      <c r="S73" s="15">
        <v>0</v>
      </c>
      <c r="T73" s="15">
        <v>0</v>
      </c>
      <c r="U73" s="15">
        <v>0</v>
      </c>
      <c r="V73" s="15" t="s">
        <v>35</v>
      </c>
      <c r="W73" s="15" t="s">
        <v>35</v>
      </c>
      <c r="X73" s="15" t="s">
        <v>35</v>
      </c>
      <c r="Y73" s="15" t="s">
        <v>35</v>
      </c>
      <c r="Z73" s="15" t="s">
        <v>35</v>
      </c>
      <c r="AA73" s="15" t="s">
        <v>35</v>
      </c>
    </row>
    <row r="74" s="15" customFormat="1" spans="1:27">
      <c r="A74" s="15" t="s">
        <v>111</v>
      </c>
      <c r="B74" s="15" t="s">
        <v>30</v>
      </c>
      <c r="C74" s="15">
        <v>18838470</v>
      </c>
      <c r="D74" s="14">
        <v>233503718805</v>
      </c>
      <c r="E74" s="17">
        <v>45937.5546990741</v>
      </c>
      <c r="F74" s="15">
        <v>1460.65</v>
      </c>
      <c r="G74" s="15">
        <v>89</v>
      </c>
      <c r="H74" s="15">
        <v>1371.65</v>
      </c>
      <c r="I74" s="15">
        <v>-28.2</v>
      </c>
      <c r="J74" s="15">
        <v>89</v>
      </c>
      <c r="K74" s="15">
        <v>-117.2</v>
      </c>
      <c r="L74" s="15">
        <v>363.54</v>
      </c>
      <c r="M74" s="15">
        <v>4726</v>
      </c>
      <c r="N74" s="15">
        <v>0</v>
      </c>
      <c r="O74" s="15">
        <v>0</v>
      </c>
      <c r="P74" s="15" t="s">
        <v>41</v>
      </c>
      <c r="Q74" s="15" t="s">
        <v>33</v>
      </c>
      <c r="R74" s="15" t="s">
        <v>34</v>
      </c>
      <c r="S74" s="15">
        <v>0</v>
      </c>
      <c r="T74" s="15">
        <v>0</v>
      </c>
      <c r="U74" s="15">
        <v>0</v>
      </c>
      <c r="V74" s="15" t="s">
        <v>35</v>
      </c>
      <c r="W74" s="15" t="s">
        <v>35</v>
      </c>
      <c r="X74" s="15" t="s">
        <v>35</v>
      </c>
      <c r="Y74" s="15" t="s">
        <v>35</v>
      </c>
      <c r="Z74" s="15" t="s">
        <v>35</v>
      </c>
      <c r="AA74" s="15" t="s">
        <v>35</v>
      </c>
    </row>
    <row r="75" s="15" customFormat="1" spans="1:27">
      <c r="A75" s="15" t="s">
        <v>111</v>
      </c>
      <c r="B75" s="15" t="s">
        <v>30</v>
      </c>
      <c r="C75" s="15">
        <v>18696980</v>
      </c>
      <c r="D75" s="14">
        <v>233505517369</v>
      </c>
      <c r="E75" s="17">
        <v>45927.8684375</v>
      </c>
      <c r="F75" s="15">
        <v>3572.79</v>
      </c>
      <c r="G75" s="15">
        <v>0.54</v>
      </c>
      <c r="H75" s="15">
        <v>3572.25</v>
      </c>
      <c r="I75" s="15">
        <v>90.04</v>
      </c>
      <c r="J75" s="15">
        <v>0.38</v>
      </c>
      <c r="K75" s="15">
        <v>89.66</v>
      </c>
      <c r="L75" s="15">
        <v>729.77</v>
      </c>
      <c r="M75" s="15">
        <v>9487</v>
      </c>
      <c r="N75" s="15">
        <v>16.31</v>
      </c>
      <c r="O75" s="15">
        <v>212</v>
      </c>
      <c r="P75" s="15" t="s">
        <v>41</v>
      </c>
      <c r="Q75" s="15" t="s">
        <v>33</v>
      </c>
      <c r="R75" s="15" t="s">
        <v>34</v>
      </c>
      <c r="S75" s="15">
        <v>0</v>
      </c>
      <c r="T75" s="15">
        <v>0</v>
      </c>
      <c r="U75" s="15">
        <v>0</v>
      </c>
      <c r="V75" s="15" t="s">
        <v>35</v>
      </c>
      <c r="W75" s="15" t="s">
        <v>35</v>
      </c>
      <c r="X75" s="15" t="s">
        <v>35</v>
      </c>
      <c r="Y75" s="15" t="s">
        <v>35</v>
      </c>
      <c r="Z75" s="15" t="s">
        <v>35</v>
      </c>
      <c r="AA75" s="15" t="s">
        <v>35</v>
      </c>
    </row>
    <row r="76" s="15" customFormat="1" spans="1:27">
      <c r="A76" s="15" t="s">
        <v>111</v>
      </c>
      <c r="B76" s="15" t="s">
        <v>30</v>
      </c>
      <c r="C76" s="15">
        <v>19118112</v>
      </c>
      <c r="D76" s="14">
        <v>233507469796</v>
      </c>
      <c r="E76" s="17">
        <v>45955.4785416667</v>
      </c>
      <c r="F76" s="15">
        <v>1586.37</v>
      </c>
      <c r="G76" s="15">
        <v>1.54</v>
      </c>
      <c r="H76" s="15">
        <v>1584.83</v>
      </c>
      <c r="I76" s="15">
        <v>128.37</v>
      </c>
      <c r="J76" s="15">
        <v>1.54</v>
      </c>
      <c r="K76" s="15">
        <v>126.84</v>
      </c>
      <c r="L76" s="15">
        <v>298.54</v>
      </c>
      <c r="M76" s="15">
        <v>3881</v>
      </c>
      <c r="N76" s="15">
        <v>46.92</v>
      </c>
      <c r="O76" s="15">
        <v>610</v>
      </c>
      <c r="P76" s="15" t="s">
        <v>41</v>
      </c>
      <c r="Q76" s="15" t="s">
        <v>33</v>
      </c>
      <c r="R76" s="15" t="s">
        <v>34</v>
      </c>
      <c r="S76" s="15">
        <v>0</v>
      </c>
      <c r="T76" s="15">
        <v>0</v>
      </c>
      <c r="U76" s="15">
        <v>0</v>
      </c>
      <c r="V76" s="15" t="s">
        <v>35</v>
      </c>
      <c r="W76" s="15" t="s">
        <v>35</v>
      </c>
      <c r="X76" s="15" t="s">
        <v>35</v>
      </c>
      <c r="Y76" s="15" t="s">
        <v>35</v>
      </c>
      <c r="Z76" s="15" t="s">
        <v>35</v>
      </c>
      <c r="AA76" s="15" t="s">
        <v>35</v>
      </c>
    </row>
    <row r="77" s="15" customFormat="1" spans="1:27">
      <c r="A77" s="15" t="s">
        <v>111</v>
      </c>
      <c r="B77" s="15" t="s">
        <v>30</v>
      </c>
      <c r="C77" s="15">
        <v>20674651</v>
      </c>
      <c r="D77" s="14">
        <v>233531410156</v>
      </c>
      <c r="E77" s="17">
        <v>46032.6496643518</v>
      </c>
      <c r="F77" s="15">
        <v>1050.85</v>
      </c>
      <c r="G77" s="15">
        <v>0</v>
      </c>
      <c r="H77" s="15">
        <v>1050.85</v>
      </c>
      <c r="I77" s="15">
        <v>25.31</v>
      </c>
      <c r="J77" s="15">
        <v>0</v>
      </c>
      <c r="K77" s="15">
        <v>25.31</v>
      </c>
      <c r="L77" s="15">
        <v>70.08</v>
      </c>
      <c r="M77" s="15">
        <v>911</v>
      </c>
      <c r="N77" s="15">
        <v>69.62</v>
      </c>
      <c r="O77" s="15">
        <v>905</v>
      </c>
      <c r="P77" s="15" t="s">
        <v>32</v>
      </c>
      <c r="Q77" s="15" t="s">
        <v>33</v>
      </c>
      <c r="R77" s="15" t="s">
        <v>34</v>
      </c>
      <c r="S77" s="15">
        <v>0</v>
      </c>
      <c r="T77" s="15">
        <v>0</v>
      </c>
      <c r="U77" s="15">
        <v>0</v>
      </c>
      <c r="V77" s="15" t="s">
        <v>35</v>
      </c>
      <c r="W77" s="15" t="s">
        <v>35</v>
      </c>
      <c r="X77" s="15" t="s">
        <v>35</v>
      </c>
      <c r="Y77" s="15" t="s">
        <v>35</v>
      </c>
      <c r="Z77" s="15" t="s">
        <v>35</v>
      </c>
      <c r="AA77" s="15" t="s">
        <v>35</v>
      </c>
    </row>
    <row r="78" s="15" customFormat="1" spans="1:27">
      <c r="A78" s="15" t="s">
        <v>111</v>
      </c>
      <c r="B78" s="15" t="s">
        <v>30</v>
      </c>
      <c r="C78" s="15">
        <v>22147002</v>
      </c>
      <c r="D78" s="14">
        <v>233531887435</v>
      </c>
      <c r="E78" s="17">
        <v>46110.5323611111</v>
      </c>
      <c r="F78" s="15">
        <v>485.61</v>
      </c>
      <c r="G78" s="15">
        <v>14.79</v>
      </c>
      <c r="H78" s="15">
        <v>470.82</v>
      </c>
      <c r="I78" s="15">
        <v>48.15</v>
      </c>
      <c r="J78" s="15">
        <v>8.38</v>
      </c>
      <c r="K78" s="15">
        <v>39.78</v>
      </c>
      <c r="L78" s="15">
        <v>143.69</v>
      </c>
      <c r="M78" s="15">
        <v>1868</v>
      </c>
      <c r="N78" s="15">
        <v>143.69</v>
      </c>
      <c r="O78" s="15">
        <v>1868</v>
      </c>
      <c r="P78" s="15" t="s">
        <v>32</v>
      </c>
      <c r="Q78" s="15" t="s">
        <v>33</v>
      </c>
      <c r="R78" s="15" t="s">
        <v>34</v>
      </c>
      <c r="S78" s="15">
        <v>0</v>
      </c>
      <c r="T78" s="15">
        <v>0</v>
      </c>
      <c r="U78" s="15">
        <v>0</v>
      </c>
      <c r="V78" s="15" t="s">
        <v>35</v>
      </c>
      <c r="W78" s="15" t="s">
        <v>35</v>
      </c>
      <c r="X78" s="15" t="s">
        <v>35</v>
      </c>
      <c r="Y78" s="15" t="s">
        <v>35</v>
      </c>
      <c r="Z78" s="15" t="s">
        <v>35</v>
      </c>
      <c r="AA78" s="15" t="s">
        <v>35</v>
      </c>
    </row>
    <row r="79" s="15" customFormat="1" spans="1:27">
      <c r="A79" s="15" t="s">
        <v>111</v>
      </c>
      <c r="B79" s="15" t="s">
        <v>30</v>
      </c>
      <c r="C79" s="15">
        <v>10985680</v>
      </c>
      <c r="D79" s="14">
        <v>233533826168</v>
      </c>
      <c r="E79" s="17">
        <v>45217.5147569445</v>
      </c>
      <c r="F79" s="15">
        <v>448.96</v>
      </c>
      <c r="G79" s="15">
        <v>0</v>
      </c>
      <c r="H79" s="15">
        <v>448.96</v>
      </c>
      <c r="I79" s="15">
        <v>46.33</v>
      </c>
      <c r="J79" s="15">
        <v>0</v>
      </c>
      <c r="K79" s="15">
        <v>46.33</v>
      </c>
      <c r="L79" s="15">
        <v>92.08</v>
      </c>
      <c r="M79" s="15">
        <v>1197</v>
      </c>
      <c r="N79" s="15">
        <v>72.15</v>
      </c>
      <c r="O79" s="15">
        <v>938</v>
      </c>
      <c r="P79" s="15" t="s">
        <v>32</v>
      </c>
      <c r="Q79" s="15" t="s">
        <v>33</v>
      </c>
      <c r="R79" s="15" t="s">
        <v>34</v>
      </c>
      <c r="S79" s="15">
        <v>0</v>
      </c>
      <c r="T79" s="15">
        <v>0</v>
      </c>
      <c r="U79" s="15">
        <v>0</v>
      </c>
      <c r="V79" s="15" t="s">
        <v>35</v>
      </c>
      <c r="W79" s="15" t="s">
        <v>35</v>
      </c>
      <c r="X79" s="15" t="s">
        <v>35</v>
      </c>
      <c r="Y79" s="15" t="s">
        <v>35</v>
      </c>
      <c r="Z79" s="15" t="s">
        <v>35</v>
      </c>
      <c r="AA79" s="15" t="s">
        <v>35</v>
      </c>
    </row>
    <row r="80" s="15" customFormat="1" spans="1:27">
      <c r="A80" s="15" t="s">
        <v>111</v>
      </c>
      <c r="B80" s="15" t="s">
        <v>30</v>
      </c>
      <c r="C80" s="15">
        <v>20817972</v>
      </c>
      <c r="D80" s="14">
        <v>233535058461</v>
      </c>
      <c r="E80" s="17">
        <v>46039.92625</v>
      </c>
      <c r="F80" s="15">
        <v>2971.07</v>
      </c>
      <c r="G80" s="15">
        <v>11.69</v>
      </c>
      <c r="H80" s="15">
        <v>2959.38</v>
      </c>
      <c r="I80" s="15">
        <v>52.77</v>
      </c>
      <c r="J80" s="15">
        <v>-20.78</v>
      </c>
      <c r="K80" s="15">
        <v>73.55</v>
      </c>
      <c r="L80" s="15">
        <v>400.46</v>
      </c>
      <c r="M80" s="15">
        <v>5206</v>
      </c>
      <c r="N80" s="15">
        <v>31.15</v>
      </c>
      <c r="O80" s="15">
        <v>405</v>
      </c>
      <c r="P80" s="15" t="s">
        <v>41</v>
      </c>
      <c r="Q80" s="15" t="s">
        <v>33</v>
      </c>
      <c r="R80" s="15" t="s">
        <v>34</v>
      </c>
      <c r="S80" s="15">
        <v>0</v>
      </c>
      <c r="T80" s="15">
        <v>0</v>
      </c>
      <c r="U80" s="15">
        <v>0</v>
      </c>
      <c r="V80" s="15" t="s">
        <v>35</v>
      </c>
      <c r="W80" s="15" t="s">
        <v>35</v>
      </c>
      <c r="X80" s="15" t="s">
        <v>35</v>
      </c>
      <c r="Y80" s="15" t="s">
        <v>35</v>
      </c>
      <c r="Z80" s="15" t="s">
        <v>35</v>
      </c>
      <c r="AA80" s="15" t="s">
        <v>35</v>
      </c>
    </row>
    <row r="81" s="15" customFormat="1" spans="1:27">
      <c r="A81" s="15" t="s">
        <v>111</v>
      </c>
      <c r="B81" s="15" t="s">
        <v>30</v>
      </c>
      <c r="C81" s="15">
        <v>22890421</v>
      </c>
      <c r="D81" s="14">
        <v>233536105177</v>
      </c>
      <c r="E81" s="17">
        <v>46157.8011689815</v>
      </c>
      <c r="F81" s="15">
        <v>1599.89</v>
      </c>
      <c r="G81" s="15">
        <v>0.08</v>
      </c>
      <c r="H81" s="15">
        <v>1599.82</v>
      </c>
      <c r="I81" s="15">
        <v>324.6</v>
      </c>
      <c r="J81" s="15">
        <v>0.08</v>
      </c>
      <c r="K81" s="15">
        <v>324.53</v>
      </c>
      <c r="L81" s="15">
        <v>528.69</v>
      </c>
      <c r="M81" s="15">
        <v>6873</v>
      </c>
      <c r="N81" s="15">
        <v>528.69</v>
      </c>
      <c r="O81" s="15">
        <v>6873</v>
      </c>
      <c r="P81" s="15" t="s">
        <v>41</v>
      </c>
      <c r="Q81" s="15" t="s">
        <v>33</v>
      </c>
      <c r="R81" s="15" t="s">
        <v>34</v>
      </c>
      <c r="S81" s="15">
        <v>0</v>
      </c>
      <c r="T81" s="15">
        <v>0</v>
      </c>
      <c r="U81" s="15">
        <v>0</v>
      </c>
      <c r="V81" s="15" t="s">
        <v>35</v>
      </c>
      <c r="W81" s="15" t="s">
        <v>35</v>
      </c>
      <c r="X81" s="15" t="s">
        <v>35</v>
      </c>
      <c r="Y81" s="15" t="s">
        <v>35</v>
      </c>
      <c r="Z81" s="15" t="s">
        <v>35</v>
      </c>
      <c r="AA81" s="15" t="s">
        <v>35</v>
      </c>
    </row>
    <row r="82" s="15" customFormat="1" spans="1:27">
      <c r="A82" s="15" t="s">
        <v>111</v>
      </c>
      <c r="B82" s="15" t="s">
        <v>30</v>
      </c>
      <c r="C82" s="15">
        <v>20764312</v>
      </c>
      <c r="D82" s="14">
        <v>233536619231</v>
      </c>
      <c r="E82" s="17">
        <v>46037.3243055556</v>
      </c>
      <c r="F82" s="15">
        <v>242.3</v>
      </c>
      <c r="G82" s="15">
        <v>0.46</v>
      </c>
      <c r="H82" s="15">
        <v>241.84</v>
      </c>
      <c r="I82" s="15">
        <v>21.87</v>
      </c>
      <c r="J82" s="15">
        <v>0.46</v>
      </c>
      <c r="K82" s="15">
        <v>21.41</v>
      </c>
      <c r="L82" s="15">
        <v>64.62</v>
      </c>
      <c r="M82" s="15">
        <v>840</v>
      </c>
      <c r="N82" s="15">
        <v>1.54</v>
      </c>
      <c r="O82" s="15">
        <v>20</v>
      </c>
      <c r="P82" s="15" t="s">
        <v>32</v>
      </c>
      <c r="Q82" s="15" t="s">
        <v>33</v>
      </c>
      <c r="R82" s="15" t="s">
        <v>34</v>
      </c>
      <c r="S82" s="15">
        <v>0</v>
      </c>
      <c r="T82" s="15">
        <v>0</v>
      </c>
      <c r="U82" s="15">
        <v>0</v>
      </c>
      <c r="V82" s="15" t="s">
        <v>35</v>
      </c>
      <c r="W82" s="15" t="s">
        <v>35</v>
      </c>
      <c r="X82" s="15" t="s">
        <v>35</v>
      </c>
      <c r="Y82" s="15" t="s">
        <v>35</v>
      </c>
      <c r="Z82" s="15" t="s">
        <v>35</v>
      </c>
      <c r="AA82" s="15" t="s">
        <v>35</v>
      </c>
    </row>
    <row r="83" s="15" customFormat="1" spans="1:27">
      <c r="A83" s="15" t="s">
        <v>111</v>
      </c>
      <c r="B83" s="15" t="s">
        <v>30</v>
      </c>
      <c r="C83" s="15">
        <v>13336400</v>
      </c>
      <c r="D83" s="14">
        <v>233537617719</v>
      </c>
      <c r="E83" s="17">
        <v>45491.9547916667</v>
      </c>
      <c r="F83" s="15">
        <v>1056.66</v>
      </c>
      <c r="G83" s="15">
        <v>0</v>
      </c>
      <c r="H83" s="15">
        <v>1056.66</v>
      </c>
      <c r="I83" s="15">
        <v>61.85</v>
      </c>
      <c r="J83" s="15">
        <v>0</v>
      </c>
      <c r="K83" s="15">
        <v>61.85</v>
      </c>
      <c r="L83" s="15">
        <v>153</v>
      </c>
      <c r="M83" s="15">
        <v>1989</v>
      </c>
      <c r="N83" s="15">
        <v>66.46</v>
      </c>
      <c r="O83" s="15">
        <v>864</v>
      </c>
      <c r="P83" s="15" t="s">
        <v>41</v>
      </c>
      <c r="Q83" s="15" t="s">
        <v>33</v>
      </c>
      <c r="R83" s="15" t="s">
        <v>34</v>
      </c>
      <c r="S83" s="15">
        <v>0</v>
      </c>
      <c r="T83" s="15">
        <v>0</v>
      </c>
      <c r="U83" s="15">
        <v>0</v>
      </c>
      <c r="V83" s="15" t="s">
        <v>35</v>
      </c>
      <c r="W83" s="15" t="s">
        <v>35</v>
      </c>
      <c r="X83" s="15" t="s">
        <v>35</v>
      </c>
      <c r="Y83" s="15" t="s">
        <v>35</v>
      </c>
      <c r="Z83" s="15" t="s">
        <v>35</v>
      </c>
      <c r="AA83" s="15" t="s">
        <v>35</v>
      </c>
    </row>
    <row r="84" s="15" customFormat="1" spans="1:27">
      <c r="A84" s="15" t="s">
        <v>111</v>
      </c>
      <c r="B84" s="15" t="s">
        <v>30</v>
      </c>
      <c r="C84" s="15">
        <v>20996851</v>
      </c>
      <c r="D84" s="14">
        <v>233539069212</v>
      </c>
      <c r="E84" s="17">
        <v>46049.6306018519</v>
      </c>
      <c r="F84" s="15">
        <v>549.78</v>
      </c>
      <c r="G84" s="15">
        <v>0</v>
      </c>
      <c r="H84" s="15">
        <v>549.78</v>
      </c>
      <c r="I84" s="15">
        <v>36.66</v>
      </c>
      <c r="J84" s="15">
        <v>0</v>
      </c>
      <c r="K84" s="15">
        <v>36.66</v>
      </c>
      <c r="L84" s="15">
        <v>264.23</v>
      </c>
      <c r="M84" s="15">
        <v>3435</v>
      </c>
      <c r="N84" s="15">
        <v>41.23</v>
      </c>
      <c r="O84" s="15">
        <v>536</v>
      </c>
      <c r="P84" s="15" t="s">
        <v>41</v>
      </c>
      <c r="Q84" s="15" t="s">
        <v>33</v>
      </c>
      <c r="R84" s="15" t="s">
        <v>34</v>
      </c>
      <c r="S84" s="15">
        <v>0</v>
      </c>
      <c r="T84" s="15">
        <v>0</v>
      </c>
      <c r="U84" s="15">
        <v>0</v>
      </c>
      <c r="V84" s="15" t="s">
        <v>35</v>
      </c>
      <c r="W84" s="15" t="s">
        <v>35</v>
      </c>
      <c r="X84" s="15" t="s">
        <v>35</v>
      </c>
      <c r="Y84" s="15" t="s">
        <v>35</v>
      </c>
      <c r="Z84" s="15" t="s">
        <v>35</v>
      </c>
      <c r="AA84" s="15" t="s">
        <v>35</v>
      </c>
    </row>
    <row r="85" s="15" customFormat="1" spans="1:27">
      <c r="A85" s="15" t="s">
        <v>111</v>
      </c>
      <c r="B85" s="15" t="s">
        <v>30</v>
      </c>
      <c r="C85" s="15">
        <v>22641501</v>
      </c>
      <c r="D85" s="14">
        <v>233544905944</v>
      </c>
      <c r="E85" s="17">
        <v>46140.7281134259</v>
      </c>
      <c r="F85" s="15">
        <v>575.13</v>
      </c>
      <c r="G85" s="15">
        <v>0.64</v>
      </c>
      <c r="H85" s="15">
        <v>574.49</v>
      </c>
      <c r="I85" s="15">
        <v>5.69</v>
      </c>
      <c r="J85" s="15">
        <v>0.64</v>
      </c>
      <c r="K85" s="15">
        <v>5.05</v>
      </c>
      <c r="L85" s="15">
        <v>115.31</v>
      </c>
      <c r="M85" s="15">
        <v>1499</v>
      </c>
      <c r="N85" s="15">
        <v>115.31</v>
      </c>
      <c r="O85" s="15">
        <v>1499</v>
      </c>
      <c r="P85" s="15" t="s">
        <v>32</v>
      </c>
      <c r="Q85" s="15" t="s">
        <v>33</v>
      </c>
      <c r="R85" s="15" t="s">
        <v>34</v>
      </c>
      <c r="S85" s="15">
        <v>0</v>
      </c>
      <c r="T85" s="15">
        <v>0</v>
      </c>
      <c r="U85" s="15">
        <v>0</v>
      </c>
      <c r="V85" s="15" t="s">
        <v>35</v>
      </c>
      <c r="W85" s="15" t="s">
        <v>35</v>
      </c>
      <c r="X85" s="15" t="s">
        <v>35</v>
      </c>
      <c r="Y85" s="15" t="s">
        <v>35</v>
      </c>
      <c r="Z85" s="15" t="s">
        <v>35</v>
      </c>
      <c r="AA85" s="15" t="s">
        <v>35</v>
      </c>
    </row>
    <row r="86" s="15" customFormat="1" spans="1:27">
      <c r="A86" s="15" t="s">
        <v>111</v>
      </c>
      <c r="B86" s="15" t="s">
        <v>30</v>
      </c>
      <c r="C86" s="15">
        <v>22650902</v>
      </c>
      <c r="D86" s="14">
        <v>233545337894</v>
      </c>
      <c r="E86" s="17">
        <v>46141.5672106482</v>
      </c>
      <c r="F86" s="15">
        <v>382.04</v>
      </c>
      <c r="G86" s="15">
        <v>0</v>
      </c>
      <c r="H86" s="15">
        <v>382.04</v>
      </c>
      <c r="I86" s="15">
        <v>71.66</v>
      </c>
      <c r="J86" s="15">
        <v>0</v>
      </c>
      <c r="K86" s="15">
        <v>71.66</v>
      </c>
      <c r="L86" s="15">
        <v>97.69</v>
      </c>
      <c r="M86" s="15">
        <v>1270</v>
      </c>
      <c r="N86" s="15">
        <v>97.69</v>
      </c>
      <c r="O86" s="15">
        <v>1270</v>
      </c>
      <c r="P86" s="15" t="s">
        <v>32</v>
      </c>
      <c r="Q86" s="15" t="s">
        <v>33</v>
      </c>
      <c r="R86" s="15" t="s">
        <v>34</v>
      </c>
      <c r="S86" s="15">
        <v>0</v>
      </c>
      <c r="T86" s="15">
        <v>0</v>
      </c>
      <c r="U86" s="15">
        <v>0</v>
      </c>
      <c r="V86" s="15" t="s">
        <v>35</v>
      </c>
      <c r="W86" s="15" t="s">
        <v>35</v>
      </c>
      <c r="X86" s="15" t="s">
        <v>35</v>
      </c>
      <c r="Y86" s="15" t="s">
        <v>35</v>
      </c>
      <c r="Z86" s="15" t="s">
        <v>35</v>
      </c>
      <c r="AA86" s="15" t="s">
        <v>35</v>
      </c>
    </row>
    <row r="87" s="15" customFormat="1" spans="1:27">
      <c r="A87" s="15" t="s">
        <v>111</v>
      </c>
      <c r="B87" s="15" t="s">
        <v>30</v>
      </c>
      <c r="C87" s="15">
        <v>21278470</v>
      </c>
      <c r="D87" s="14">
        <v>233547769061</v>
      </c>
      <c r="E87" s="17">
        <v>46065.0041087963</v>
      </c>
      <c r="F87" s="15">
        <v>7389.97</v>
      </c>
      <c r="G87" s="15">
        <v>37.51</v>
      </c>
      <c r="H87" s="15">
        <v>7352.45</v>
      </c>
      <c r="I87" s="15">
        <v>44.84</v>
      </c>
      <c r="J87" s="15">
        <v>2.49</v>
      </c>
      <c r="K87" s="15">
        <v>42.36</v>
      </c>
      <c r="L87" s="15">
        <v>1332.23</v>
      </c>
      <c r="M87" s="15">
        <v>17319</v>
      </c>
      <c r="N87" s="15">
        <v>1270.62</v>
      </c>
      <c r="O87" s="15">
        <v>16518</v>
      </c>
      <c r="P87" s="15" t="s">
        <v>41</v>
      </c>
      <c r="Q87" s="15" t="s">
        <v>42</v>
      </c>
      <c r="R87" s="15" t="s">
        <v>34</v>
      </c>
      <c r="S87" s="15">
        <v>0</v>
      </c>
      <c r="T87" s="15">
        <v>0</v>
      </c>
      <c r="U87" s="15">
        <v>0</v>
      </c>
      <c r="V87" s="15" t="s">
        <v>35</v>
      </c>
      <c r="W87" s="15" t="s">
        <v>35</v>
      </c>
      <c r="X87" s="15" t="s">
        <v>35</v>
      </c>
      <c r="Y87" s="15" t="s">
        <v>35</v>
      </c>
      <c r="Z87" s="15" t="s">
        <v>35</v>
      </c>
      <c r="AA87" s="15" t="s">
        <v>35</v>
      </c>
    </row>
    <row r="88" s="15" customFormat="1" spans="1:27">
      <c r="A88" s="15" t="s">
        <v>111</v>
      </c>
      <c r="B88" s="15" t="s">
        <v>30</v>
      </c>
      <c r="C88" s="15">
        <v>22684462</v>
      </c>
      <c r="D88" s="14">
        <v>233548259287</v>
      </c>
      <c r="E88" s="17">
        <v>46143.3699189815</v>
      </c>
      <c r="F88" s="15">
        <v>1056.54</v>
      </c>
      <c r="G88" s="15">
        <v>0</v>
      </c>
      <c r="H88" s="15">
        <v>1056.54</v>
      </c>
      <c r="I88" s="15">
        <v>436.54</v>
      </c>
      <c r="J88" s="15">
        <v>0</v>
      </c>
      <c r="K88" s="15">
        <v>436.54</v>
      </c>
      <c r="L88" s="15">
        <v>436.54</v>
      </c>
      <c r="M88" s="15">
        <v>5675</v>
      </c>
      <c r="N88" s="15">
        <v>436.54</v>
      </c>
      <c r="O88" s="15">
        <v>5675</v>
      </c>
      <c r="P88" s="15" t="s">
        <v>41</v>
      </c>
      <c r="Q88" s="15" t="s">
        <v>33</v>
      </c>
      <c r="R88" s="15" t="s">
        <v>34</v>
      </c>
      <c r="S88" s="15">
        <v>0</v>
      </c>
      <c r="T88" s="15">
        <v>0</v>
      </c>
      <c r="U88" s="15">
        <v>0</v>
      </c>
      <c r="V88" s="15" t="s">
        <v>35</v>
      </c>
      <c r="W88" s="15" t="s">
        <v>35</v>
      </c>
      <c r="X88" s="15" t="s">
        <v>35</v>
      </c>
      <c r="Y88" s="15" t="s">
        <v>35</v>
      </c>
      <c r="Z88" s="15" t="s">
        <v>35</v>
      </c>
      <c r="AA88" s="15" t="s">
        <v>35</v>
      </c>
    </row>
    <row r="89" s="15" customFormat="1" spans="1:27">
      <c r="A89" s="15" t="s">
        <v>111</v>
      </c>
      <c r="B89" s="15" t="s">
        <v>30</v>
      </c>
      <c r="C89" s="15">
        <v>20890171</v>
      </c>
      <c r="D89" s="14">
        <v>233549671804</v>
      </c>
      <c r="E89" s="17">
        <v>46043.564375</v>
      </c>
      <c r="F89" s="15">
        <v>790.41</v>
      </c>
      <c r="G89" s="15">
        <v>0</v>
      </c>
      <c r="H89" s="15">
        <v>790.41</v>
      </c>
      <c r="I89" s="15">
        <v>73.91</v>
      </c>
      <c r="J89" s="15">
        <v>0</v>
      </c>
      <c r="K89" s="15">
        <v>73.91</v>
      </c>
      <c r="L89" s="15">
        <v>189.69</v>
      </c>
      <c r="M89" s="15">
        <v>2466</v>
      </c>
      <c r="N89" s="15">
        <v>11</v>
      </c>
      <c r="O89" s="15">
        <v>143</v>
      </c>
      <c r="P89" s="15" t="s">
        <v>41</v>
      </c>
      <c r="Q89" s="15" t="s">
        <v>33</v>
      </c>
      <c r="R89" s="15" t="s">
        <v>34</v>
      </c>
      <c r="S89" s="15">
        <v>0</v>
      </c>
      <c r="T89" s="15">
        <v>0</v>
      </c>
      <c r="U89" s="15">
        <v>0</v>
      </c>
      <c r="V89" s="15" t="s">
        <v>35</v>
      </c>
      <c r="W89" s="15" t="s">
        <v>35</v>
      </c>
      <c r="X89" s="15" t="s">
        <v>35</v>
      </c>
      <c r="Y89" s="15" t="s">
        <v>35</v>
      </c>
      <c r="Z89" s="15" t="s">
        <v>35</v>
      </c>
      <c r="AA89" s="15" t="s">
        <v>35</v>
      </c>
    </row>
    <row r="90" s="15" customFormat="1" spans="1:27">
      <c r="A90" s="15" t="s">
        <v>111</v>
      </c>
      <c r="B90" s="15" t="s">
        <v>30</v>
      </c>
      <c r="C90" s="15">
        <v>20701711</v>
      </c>
      <c r="D90" s="14">
        <v>233550345957</v>
      </c>
      <c r="E90" s="17">
        <v>46033.883599537</v>
      </c>
      <c r="F90" s="15">
        <v>2228.04</v>
      </c>
      <c r="G90" s="15">
        <v>16.92</v>
      </c>
      <c r="H90" s="15">
        <v>2211.12</v>
      </c>
      <c r="I90" s="15">
        <v>127.29</v>
      </c>
      <c r="J90" s="15">
        <v>16.92</v>
      </c>
      <c r="K90" s="15">
        <v>110.37</v>
      </c>
      <c r="L90" s="15">
        <v>546.54</v>
      </c>
      <c r="M90" s="15">
        <v>7105</v>
      </c>
      <c r="N90" s="15">
        <v>40.77</v>
      </c>
      <c r="O90" s="15">
        <v>530</v>
      </c>
      <c r="P90" s="15" t="s">
        <v>41</v>
      </c>
      <c r="Q90" s="15" t="s">
        <v>33</v>
      </c>
      <c r="R90" s="15" t="s">
        <v>34</v>
      </c>
      <c r="S90" s="15">
        <v>0</v>
      </c>
      <c r="T90" s="15">
        <v>0</v>
      </c>
      <c r="U90" s="15">
        <v>0</v>
      </c>
      <c r="V90" s="15" t="s">
        <v>35</v>
      </c>
      <c r="W90" s="15" t="s">
        <v>35</v>
      </c>
      <c r="X90" s="15" t="s">
        <v>35</v>
      </c>
      <c r="Y90" s="15" t="s">
        <v>35</v>
      </c>
      <c r="Z90" s="15" t="s">
        <v>35</v>
      </c>
      <c r="AA90" s="15" t="s">
        <v>35</v>
      </c>
    </row>
    <row r="91" s="15" customFormat="1" spans="1:27">
      <c r="A91" s="15" t="s">
        <v>111</v>
      </c>
      <c r="B91" s="15" t="s">
        <v>30</v>
      </c>
      <c r="C91" s="15">
        <v>18114912</v>
      </c>
      <c r="D91" s="14">
        <v>233551605927</v>
      </c>
      <c r="E91" s="17">
        <v>45893.3014699074</v>
      </c>
      <c r="F91" s="15">
        <v>286.55</v>
      </c>
      <c r="G91" s="15">
        <v>0</v>
      </c>
      <c r="H91" s="15">
        <v>286.55</v>
      </c>
      <c r="I91" s="15">
        <v>15.62</v>
      </c>
      <c r="J91" s="15">
        <v>0</v>
      </c>
      <c r="K91" s="15">
        <v>15.62</v>
      </c>
      <c r="L91" s="15">
        <v>65.15</v>
      </c>
      <c r="M91" s="15">
        <v>847</v>
      </c>
      <c r="N91" s="15">
        <v>0</v>
      </c>
      <c r="O91" s="15">
        <v>0</v>
      </c>
      <c r="P91" s="15" t="s">
        <v>41</v>
      </c>
      <c r="Q91" s="15" t="s">
        <v>33</v>
      </c>
      <c r="R91" s="15" t="s">
        <v>34</v>
      </c>
      <c r="S91" s="15">
        <v>0</v>
      </c>
      <c r="T91" s="15">
        <v>0</v>
      </c>
      <c r="U91" s="15">
        <v>0</v>
      </c>
      <c r="V91" s="15" t="s">
        <v>35</v>
      </c>
      <c r="W91" s="15" t="s">
        <v>35</v>
      </c>
      <c r="X91" s="15" t="s">
        <v>35</v>
      </c>
      <c r="Y91" s="15" t="s">
        <v>35</v>
      </c>
      <c r="Z91" s="15" t="s">
        <v>35</v>
      </c>
      <c r="AA91" s="15" t="s">
        <v>35</v>
      </c>
    </row>
    <row r="92" s="15" customFormat="1" spans="1:27">
      <c r="A92" s="15" t="s">
        <v>111</v>
      </c>
      <c r="B92" s="15" t="s">
        <v>30</v>
      </c>
      <c r="C92" s="15">
        <v>20261140</v>
      </c>
      <c r="D92" s="14">
        <v>233552108003</v>
      </c>
      <c r="E92" s="17">
        <v>46013.6246527778</v>
      </c>
      <c r="F92" s="15">
        <v>2436.96</v>
      </c>
      <c r="G92" s="15">
        <v>0</v>
      </c>
      <c r="H92" s="15">
        <v>2436.96</v>
      </c>
      <c r="I92" s="15">
        <v>246.69</v>
      </c>
      <c r="J92" s="15">
        <v>-0.15</v>
      </c>
      <c r="K92" s="15">
        <v>246.84</v>
      </c>
      <c r="L92" s="15">
        <v>321.54</v>
      </c>
      <c r="M92" s="15">
        <v>4180</v>
      </c>
      <c r="N92" s="15">
        <v>0</v>
      </c>
      <c r="O92" s="15">
        <v>0</v>
      </c>
      <c r="P92" s="15" t="s">
        <v>41</v>
      </c>
      <c r="Q92" s="15" t="s">
        <v>33</v>
      </c>
      <c r="R92" s="15" t="s">
        <v>34</v>
      </c>
      <c r="S92" s="15">
        <v>0</v>
      </c>
      <c r="T92" s="15">
        <v>0</v>
      </c>
      <c r="U92" s="15">
        <v>0</v>
      </c>
      <c r="V92" s="15" t="s">
        <v>35</v>
      </c>
      <c r="W92" s="15" t="s">
        <v>35</v>
      </c>
      <c r="X92" s="15" t="s">
        <v>35</v>
      </c>
      <c r="Y92" s="15" t="s">
        <v>35</v>
      </c>
      <c r="Z92" s="15" t="s">
        <v>35</v>
      </c>
      <c r="AA92" s="15" t="s">
        <v>35</v>
      </c>
    </row>
    <row r="93" s="15" customFormat="1" spans="1:27">
      <c r="A93" s="15" t="s">
        <v>111</v>
      </c>
      <c r="B93" s="15" t="s">
        <v>30</v>
      </c>
      <c r="C93" s="15">
        <v>22844740</v>
      </c>
      <c r="D93" s="14">
        <v>233555686955</v>
      </c>
      <c r="E93" s="17">
        <v>46155.3690393519</v>
      </c>
      <c r="F93" s="15">
        <v>576.35</v>
      </c>
      <c r="G93" s="15">
        <v>0</v>
      </c>
      <c r="H93" s="15">
        <v>576.35</v>
      </c>
      <c r="I93" s="15">
        <v>81.75</v>
      </c>
      <c r="J93" s="15">
        <v>0</v>
      </c>
      <c r="K93" s="15">
        <v>81.75</v>
      </c>
      <c r="L93" s="15">
        <v>81.77</v>
      </c>
      <c r="M93" s="15">
        <v>1063</v>
      </c>
      <c r="N93" s="15">
        <v>81.77</v>
      </c>
      <c r="O93" s="15">
        <v>1063</v>
      </c>
      <c r="P93" s="15" t="s">
        <v>41</v>
      </c>
      <c r="Q93" s="15" t="s">
        <v>33</v>
      </c>
      <c r="R93" s="15" t="s">
        <v>34</v>
      </c>
      <c r="S93" s="15">
        <v>0</v>
      </c>
      <c r="T93" s="15">
        <v>0</v>
      </c>
      <c r="U93" s="15">
        <v>0</v>
      </c>
      <c r="V93" s="15" t="s">
        <v>35</v>
      </c>
      <c r="W93" s="15" t="s">
        <v>35</v>
      </c>
      <c r="X93" s="15" t="s">
        <v>35</v>
      </c>
      <c r="Y93" s="15" t="s">
        <v>35</v>
      </c>
      <c r="Z93" s="15" t="s">
        <v>35</v>
      </c>
      <c r="AA93" s="15" t="s">
        <v>35</v>
      </c>
    </row>
    <row r="94" s="15" customFormat="1" spans="1:27">
      <c r="A94" s="15" t="s">
        <v>111</v>
      </c>
      <c r="B94" s="15" t="s">
        <v>30</v>
      </c>
      <c r="C94" s="15">
        <v>18355012</v>
      </c>
      <c r="D94" s="14">
        <v>233555837953</v>
      </c>
      <c r="E94" s="17">
        <v>45906.5885648148</v>
      </c>
      <c r="F94" s="15">
        <v>738.78</v>
      </c>
      <c r="G94" s="15">
        <v>0.46</v>
      </c>
      <c r="H94" s="15">
        <v>738.32</v>
      </c>
      <c r="I94" s="15">
        <v>36.88</v>
      </c>
      <c r="J94" s="15">
        <v>0.46</v>
      </c>
      <c r="K94" s="15">
        <v>36.42</v>
      </c>
      <c r="L94" s="15">
        <v>198.31</v>
      </c>
      <c r="M94" s="15">
        <v>2578</v>
      </c>
      <c r="N94" s="15">
        <v>109</v>
      </c>
      <c r="O94" s="15">
        <v>1417</v>
      </c>
      <c r="P94" s="15" t="s">
        <v>41</v>
      </c>
      <c r="Q94" s="15" t="s">
        <v>33</v>
      </c>
      <c r="R94" s="15" t="s">
        <v>34</v>
      </c>
      <c r="S94" s="15">
        <v>0</v>
      </c>
      <c r="T94" s="15">
        <v>0</v>
      </c>
      <c r="U94" s="15">
        <v>0</v>
      </c>
      <c r="V94" s="15" t="s">
        <v>35</v>
      </c>
      <c r="W94" s="15" t="s">
        <v>35</v>
      </c>
      <c r="X94" s="15" t="s">
        <v>35</v>
      </c>
      <c r="Y94" s="15" t="s">
        <v>35</v>
      </c>
      <c r="Z94" s="15" t="s">
        <v>35</v>
      </c>
      <c r="AA94" s="15" t="s">
        <v>35</v>
      </c>
    </row>
    <row r="95" s="15" customFormat="1" spans="1:27">
      <c r="A95" s="15" t="s">
        <v>111</v>
      </c>
      <c r="B95" s="15" t="s">
        <v>30</v>
      </c>
      <c r="C95" s="15">
        <v>17234540</v>
      </c>
      <c r="D95" s="14">
        <v>233557493822</v>
      </c>
      <c r="E95" s="17">
        <v>45840.9398263889</v>
      </c>
      <c r="F95" s="15">
        <v>190.54</v>
      </c>
      <c r="G95" s="15">
        <v>0</v>
      </c>
      <c r="H95" s="15">
        <v>190.54</v>
      </c>
      <c r="I95" s="15">
        <v>28.6</v>
      </c>
      <c r="J95" s="15">
        <v>0</v>
      </c>
      <c r="K95" s="15">
        <v>28.6</v>
      </c>
      <c r="L95" s="15">
        <v>61.31</v>
      </c>
      <c r="M95" s="15">
        <v>797</v>
      </c>
      <c r="N95" s="15">
        <v>5.15</v>
      </c>
      <c r="O95" s="15">
        <v>67</v>
      </c>
      <c r="P95" s="15" t="s">
        <v>32</v>
      </c>
      <c r="Q95" s="15" t="s">
        <v>33</v>
      </c>
      <c r="R95" s="15" t="s">
        <v>34</v>
      </c>
      <c r="S95" s="15">
        <v>0</v>
      </c>
      <c r="T95" s="15">
        <v>0</v>
      </c>
      <c r="U95" s="15">
        <v>0</v>
      </c>
      <c r="V95" s="15" t="s">
        <v>35</v>
      </c>
      <c r="W95" s="15" t="s">
        <v>35</v>
      </c>
      <c r="X95" s="15" t="s">
        <v>35</v>
      </c>
      <c r="Y95" s="15" t="s">
        <v>35</v>
      </c>
      <c r="Z95" s="15" t="s">
        <v>35</v>
      </c>
      <c r="AA95" s="15" t="s">
        <v>35</v>
      </c>
    </row>
    <row r="96" s="15" customFormat="1" spans="1:27">
      <c r="A96" s="15" t="s">
        <v>111</v>
      </c>
      <c r="B96" s="15" t="s">
        <v>30</v>
      </c>
      <c r="C96" s="15">
        <v>18685300</v>
      </c>
      <c r="D96" s="14">
        <v>233557714056</v>
      </c>
      <c r="E96" s="17">
        <v>45926.9244675926</v>
      </c>
      <c r="F96" s="15">
        <v>668.11</v>
      </c>
      <c r="G96" s="15">
        <v>411.42</v>
      </c>
      <c r="H96" s="15">
        <v>256.69</v>
      </c>
      <c r="I96" s="15">
        <v>89.07</v>
      </c>
      <c r="J96" s="15">
        <v>84.24</v>
      </c>
      <c r="K96" s="15">
        <v>4.83</v>
      </c>
      <c r="L96" s="15">
        <v>378.46</v>
      </c>
      <c r="M96" s="15">
        <v>4920</v>
      </c>
      <c r="N96" s="15">
        <v>49</v>
      </c>
      <c r="O96" s="15">
        <v>637</v>
      </c>
      <c r="P96" s="15" t="s">
        <v>61</v>
      </c>
      <c r="Q96" s="15" t="s">
        <v>33</v>
      </c>
      <c r="R96" s="15" t="s">
        <v>34</v>
      </c>
      <c r="S96" s="15">
        <v>120</v>
      </c>
      <c r="T96" s="15">
        <v>0</v>
      </c>
      <c r="U96" s="15">
        <v>0</v>
      </c>
      <c r="V96" s="15" t="s">
        <v>35</v>
      </c>
      <c r="W96" s="15" t="s">
        <v>35</v>
      </c>
      <c r="X96" s="15" t="s">
        <v>35</v>
      </c>
      <c r="Y96" s="15" t="s">
        <v>35</v>
      </c>
      <c r="Z96" s="15" t="s">
        <v>35</v>
      </c>
      <c r="AA96" s="15" t="s">
        <v>35</v>
      </c>
    </row>
    <row r="97" s="15" customFormat="1" spans="1:27">
      <c r="A97" s="15" t="s">
        <v>111</v>
      </c>
      <c r="B97" s="15" t="s">
        <v>30</v>
      </c>
      <c r="C97" s="15">
        <v>22880730</v>
      </c>
      <c r="D97" s="14">
        <v>233557777141</v>
      </c>
      <c r="E97" s="17">
        <v>46157.0691087963</v>
      </c>
      <c r="F97" s="15">
        <v>205.73</v>
      </c>
      <c r="G97" s="15">
        <v>0</v>
      </c>
      <c r="H97" s="15">
        <v>205.73</v>
      </c>
      <c r="I97" s="15">
        <v>54.85</v>
      </c>
      <c r="J97" s="15">
        <v>0</v>
      </c>
      <c r="K97" s="15">
        <v>54.85</v>
      </c>
      <c r="L97" s="15">
        <v>73.31</v>
      </c>
      <c r="M97" s="15">
        <v>953</v>
      </c>
      <c r="N97" s="15">
        <v>73.31</v>
      </c>
      <c r="O97" s="15">
        <v>953</v>
      </c>
      <c r="P97" s="15" t="s">
        <v>41</v>
      </c>
      <c r="Q97" s="15" t="s">
        <v>33</v>
      </c>
      <c r="R97" s="15" t="s">
        <v>34</v>
      </c>
      <c r="S97" s="15">
        <v>0</v>
      </c>
      <c r="T97" s="15">
        <v>0</v>
      </c>
      <c r="U97" s="15">
        <v>0</v>
      </c>
      <c r="V97" s="15" t="s">
        <v>35</v>
      </c>
      <c r="W97" s="15" t="s">
        <v>35</v>
      </c>
      <c r="X97" s="15" t="s">
        <v>35</v>
      </c>
      <c r="Y97" s="15" t="s">
        <v>35</v>
      </c>
      <c r="Z97" s="15" t="s">
        <v>35</v>
      </c>
      <c r="AA97" s="15" t="s">
        <v>35</v>
      </c>
    </row>
    <row r="98" s="15" customFormat="1" spans="1:27">
      <c r="A98" s="15" t="s">
        <v>111</v>
      </c>
      <c r="B98" s="15" t="s">
        <v>30</v>
      </c>
      <c r="C98" s="15">
        <v>21596570</v>
      </c>
      <c r="D98" s="14">
        <v>233559732728</v>
      </c>
      <c r="E98" s="17">
        <v>46080.6294791667</v>
      </c>
      <c r="F98" s="15">
        <v>343.96</v>
      </c>
      <c r="G98" s="15">
        <v>0.15</v>
      </c>
      <c r="H98" s="15">
        <v>343.81</v>
      </c>
      <c r="I98" s="15">
        <v>22.69</v>
      </c>
      <c r="J98" s="15">
        <v>0.15</v>
      </c>
      <c r="K98" s="15">
        <v>22.54</v>
      </c>
      <c r="L98" s="15">
        <v>103.85</v>
      </c>
      <c r="M98" s="15">
        <v>1350</v>
      </c>
      <c r="N98" s="15">
        <v>102.77</v>
      </c>
      <c r="O98" s="15">
        <v>1336</v>
      </c>
      <c r="P98" s="15" t="s">
        <v>32</v>
      </c>
      <c r="Q98" s="15" t="s">
        <v>33</v>
      </c>
      <c r="R98" s="15" t="s">
        <v>34</v>
      </c>
      <c r="S98" s="15">
        <v>0</v>
      </c>
      <c r="T98" s="15">
        <v>0</v>
      </c>
      <c r="U98" s="15">
        <v>0</v>
      </c>
      <c r="V98" s="15" t="s">
        <v>35</v>
      </c>
      <c r="W98" s="15" t="s">
        <v>35</v>
      </c>
      <c r="X98" s="15" t="s">
        <v>35</v>
      </c>
      <c r="Y98" s="15" t="s">
        <v>35</v>
      </c>
      <c r="Z98" s="15" t="s">
        <v>35</v>
      </c>
      <c r="AA98" s="15" t="s">
        <v>35</v>
      </c>
    </row>
    <row r="99" s="15" customFormat="1" spans="1:27">
      <c r="A99" s="15" t="s">
        <v>111</v>
      </c>
      <c r="B99" s="15" t="s">
        <v>30</v>
      </c>
      <c r="C99" s="15">
        <v>22755142</v>
      </c>
      <c r="D99" s="14">
        <v>233593196722</v>
      </c>
      <c r="E99" s="17">
        <v>46149.2581134259</v>
      </c>
      <c r="F99" s="15">
        <v>2789.12</v>
      </c>
      <c r="G99" s="15">
        <v>0</v>
      </c>
      <c r="H99" s="15">
        <v>2789.12</v>
      </c>
      <c r="I99" s="15">
        <v>75.3</v>
      </c>
      <c r="J99" s="15">
        <v>0</v>
      </c>
      <c r="K99" s="15">
        <v>75.3</v>
      </c>
      <c r="L99" s="15">
        <v>419.77</v>
      </c>
      <c r="M99" s="15">
        <v>5457</v>
      </c>
      <c r="N99" s="15">
        <v>419.77</v>
      </c>
      <c r="O99" s="15">
        <v>5457</v>
      </c>
      <c r="P99" s="15" t="s">
        <v>41</v>
      </c>
      <c r="Q99" s="15" t="s">
        <v>33</v>
      </c>
      <c r="R99" s="15" t="s">
        <v>34</v>
      </c>
      <c r="S99" s="15">
        <v>0</v>
      </c>
      <c r="T99" s="15">
        <v>0</v>
      </c>
      <c r="U99" s="15">
        <v>0</v>
      </c>
      <c r="V99" s="15" t="s">
        <v>35</v>
      </c>
      <c r="W99" s="15" t="s">
        <v>35</v>
      </c>
      <c r="X99" s="15" t="s">
        <v>35</v>
      </c>
      <c r="Y99" s="15" t="s">
        <v>35</v>
      </c>
      <c r="Z99" s="15" t="s">
        <v>35</v>
      </c>
      <c r="AA99" s="15" t="s">
        <v>35</v>
      </c>
    </row>
    <row r="100" s="15" customFormat="1" spans="1:27">
      <c r="A100" s="15" t="s">
        <v>111</v>
      </c>
      <c r="B100" s="15" t="s">
        <v>30</v>
      </c>
      <c r="C100" s="15">
        <v>16868920</v>
      </c>
      <c r="D100" s="14">
        <v>233599668929</v>
      </c>
      <c r="E100" s="17">
        <v>45811.0269444444</v>
      </c>
      <c r="F100" s="15">
        <v>5873.26</v>
      </c>
      <c r="G100" s="15">
        <v>17.15</v>
      </c>
      <c r="H100" s="15">
        <v>5856.11</v>
      </c>
      <c r="I100" s="15">
        <v>614.9</v>
      </c>
      <c r="J100" s="15">
        <v>17.15</v>
      </c>
      <c r="K100" s="15">
        <v>597.75</v>
      </c>
      <c r="L100" s="15">
        <v>1199.46</v>
      </c>
      <c r="M100" s="15">
        <v>15593</v>
      </c>
      <c r="N100" s="15">
        <v>0</v>
      </c>
      <c r="O100" s="15">
        <v>0</v>
      </c>
      <c r="P100" s="15" t="s">
        <v>41</v>
      </c>
      <c r="Q100" s="15" t="s">
        <v>42</v>
      </c>
      <c r="R100" s="15" t="s">
        <v>34</v>
      </c>
      <c r="S100" s="15">
        <v>0</v>
      </c>
      <c r="T100" s="15">
        <v>0</v>
      </c>
      <c r="U100" s="15">
        <v>0</v>
      </c>
      <c r="V100" s="15" t="s">
        <v>35</v>
      </c>
      <c r="W100" s="15" t="s">
        <v>35</v>
      </c>
      <c r="X100" s="15" t="s">
        <v>35</v>
      </c>
      <c r="Y100" s="15" t="s">
        <v>35</v>
      </c>
      <c r="Z100" s="15" t="s">
        <v>35</v>
      </c>
      <c r="AA100" s="15" t="s">
        <v>35</v>
      </c>
    </row>
    <row r="101" s="3" customFormat="1" spans="1:27">
      <c r="A101" s="3" t="s">
        <v>112</v>
      </c>
      <c r="B101" s="3" t="s">
        <v>30</v>
      </c>
      <c r="C101" s="3">
        <v>18285030</v>
      </c>
      <c r="D101" s="13" t="s">
        <v>113</v>
      </c>
      <c r="E101" s="16">
        <v>45902.7938541667</v>
      </c>
      <c r="F101" s="3">
        <v>3801.46</v>
      </c>
      <c r="G101" s="3">
        <v>3.17</v>
      </c>
      <c r="H101" s="3">
        <v>3798.3</v>
      </c>
      <c r="I101" s="3">
        <v>200.69</v>
      </c>
      <c r="J101" s="3">
        <v>2.55</v>
      </c>
      <c r="K101" s="3">
        <v>198.13</v>
      </c>
      <c r="L101" s="3">
        <v>769.92</v>
      </c>
      <c r="M101" s="3">
        <v>10009</v>
      </c>
      <c r="N101" s="3">
        <v>247.38</v>
      </c>
      <c r="O101" s="3">
        <v>3216</v>
      </c>
      <c r="P101" s="3" t="s">
        <v>41</v>
      </c>
      <c r="Q101" s="3" t="s">
        <v>33</v>
      </c>
      <c r="R101" s="3" t="s">
        <v>34</v>
      </c>
      <c r="S101" s="3">
        <v>0</v>
      </c>
      <c r="T101" s="3">
        <v>0</v>
      </c>
      <c r="U101" s="3">
        <v>0</v>
      </c>
      <c r="V101" s="3" t="s">
        <v>35</v>
      </c>
      <c r="W101" s="3" t="s">
        <v>35</v>
      </c>
      <c r="X101" s="3" t="s">
        <v>35</v>
      </c>
      <c r="Y101" s="3" t="s">
        <v>35</v>
      </c>
      <c r="Z101" s="3" t="s">
        <v>35</v>
      </c>
      <c r="AA101" s="3" t="s">
        <v>35</v>
      </c>
    </row>
    <row r="102" s="3" customFormat="1" spans="1:27">
      <c r="A102" s="3" t="s">
        <v>112</v>
      </c>
      <c r="B102" s="3" t="s">
        <v>30</v>
      </c>
      <c r="C102" s="3">
        <v>19014180</v>
      </c>
      <c r="D102" s="13" t="s">
        <v>114</v>
      </c>
      <c r="E102" s="16">
        <v>45949.0225694445</v>
      </c>
      <c r="F102" s="3">
        <v>2228.5</v>
      </c>
      <c r="G102" s="3">
        <v>0</v>
      </c>
      <c r="H102" s="3">
        <v>2228.5</v>
      </c>
      <c r="I102" s="3">
        <v>23.26</v>
      </c>
      <c r="J102" s="3">
        <v>0</v>
      </c>
      <c r="K102" s="3">
        <v>23.26</v>
      </c>
      <c r="L102" s="3">
        <v>404.62</v>
      </c>
      <c r="M102" s="3">
        <v>5260</v>
      </c>
      <c r="N102" s="3">
        <v>1.54</v>
      </c>
      <c r="O102" s="3">
        <v>20</v>
      </c>
      <c r="P102" s="3" t="s">
        <v>32</v>
      </c>
      <c r="Q102" s="3" t="s">
        <v>33</v>
      </c>
      <c r="R102" s="3" t="s">
        <v>34</v>
      </c>
      <c r="S102" s="3">
        <v>0</v>
      </c>
      <c r="T102" s="3">
        <v>0</v>
      </c>
      <c r="U102" s="3">
        <v>0</v>
      </c>
      <c r="V102" s="3" t="s">
        <v>35</v>
      </c>
      <c r="W102" s="3" t="s">
        <v>35</v>
      </c>
      <c r="X102" s="3" t="s">
        <v>35</v>
      </c>
      <c r="Y102" s="3" t="s">
        <v>35</v>
      </c>
      <c r="Z102" s="3" t="s">
        <v>35</v>
      </c>
      <c r="AA102" s="3" t="s">
        <v>35</v>
      </c>
    </row>
    <row r="103" s="3" customFormat="1" spans="1:27">
      <c r="A103" s="3" t="s">
        <v>112</v>
      </c>
      <c r="B103" s="3" t="s">
        <v>30</v>
      </c>
      <c r="C103" s="3">
        <v>7801700</v>
      </c>
      <c r="D103" s="13" t="s">
        <v>115</v>
      </c>
      <c r="E103" s="16">
        <v>44672.5698032407</v>
      </c>
      <c r="F103" s="3">
        <v>578.62</v>
      </c>
      <c r="G103" s="3">
        <v>0</v>
      </c>
      <c r="H103" s="3">
        <v>578.62</v>
      </c>
      <c r="I103" s="3">
        <v>-23.35</v>
      </c>
      <c r="J103" s="3">
        <v>0</v>
      </c>
      <c r="K103" s="3">
        <v>-23.35</v>
      </c>
      <c r="L103" s="3">
        <v>76.92</v>
      </c>
      <c r="M103" s="3">
        <v>1000</v>
      </c>
      <c r="N103" s="3">
        <v>76.92</v>
      </c>
      <c r="O103" s="3">
        <v>1000</v>
      </c>
      <c r="P103" s="3" t="s">
        <v>32</v>
      </c>
      <c r="Q103" s="3" t="s">
        <v>33</v>
      </c>
      <c r="R103" s="3" t="s">
        <v>34</v>
      </c>
      <c r="S103" s="3">
        <v>0</v>
      </c>
      <c r="T103" s="3">
        <v>0</v>
      </c>
      <c r="U103" s="3">
        <v>0</v>
      </c>
      <c r="V103" s="3" t="s">
        <v>35</v>
      </c>
      <c r="W103" s="3" t="s">
        <v>35</v>
      </c>
      <c r="X103" s="3" t="s">
        <v>35</v>
      </c>
      <c r="Y103" s="3" t="s">
        <v>35</v>
      </c>
      <c r="Z103" s="3" t="s">
        <v>35</v>
      </c>
      <c r="AA103" s="3" t="s">
        <v>35</v>
      </c>
    </row>
    <row r="104" s="3" customFormat="1" spans="1:27">
      <c r="A104" s="3" t="s">
        <v>112</v>
      </c>
      <c r="B104" s="3" t="s">
        <v>30</v>
      </c>
      <c r="C104" s="3">
        <v>17534360</v>
      </c>
      <c r="D104" s="13" t="s">
        <v>116</v>
      </c>
      <c r="E104" s="16">
        <v>45861.7848842593</v>
      </c>
      <c r="F104" s="3">
        <v>1745.41</v>
      </c>
      <c r="G104" s="3">
        <v>0</v>
      </c>
      <c r="H104" s="3">
        <v>1745.41</v>
      </c>
      <c r="I104" s="3">
        <v>153.68</v>
      </c>
      <c r="J104" s="3">
        <v>0</v>
      </c>
      <c r="K104" s="3">
        <v>153.68</v>
      </c>
      <c r="L104" s="3">
        <v>320.23</v>
      </c>
      <c r="M104" s="3">
        <v>4163</v>
      </c>
      <c r="N104" s="3">
        <v>1.54</v>
      </c>
      <c r="O104" s="3">
        <v>20</v>
      </c>
      <c r="P104" s="3" t="s">
        <v>41</v>
      </c>
      <c r="Q104" s="3" t="s">
        <v>33</v>
      </c>
      <c r="R104" s="3" t="s">
        <v>34</v>
      </c>
      <c r="S104" s="3">
        <v>0</v>
      </c>
      <c r="T104" s="3">
        <v>0</v>
      </c>
      <c r="U104" s="3">
        <v>0</v>
      </c>
      <c r="V104" s="3" t="s">
        <v>35</v>
      </c>
      <c r="W104" s="3" t="s">
        <v>35</v>
      </c>
      <c r="X104" s="3" t="s">
        <v>35</v>
      </c>
      <c r="Y104" s="3" t="s">
        <v>35</v>
      </c>
      <c r="Z104" s="3" t="s">
        <v>35</v>
      </c>
      <c r="AA104" s="3" t="s">
        <v>35</v>
      </c>
    </row>
    <row r="105" s="3" customFormat="1" spans="1:27">
      <c r="A105" s="3" t="s">
        <v>112</v>
      </c>
      <c r="B105" s="3" t="s">
        <v>30</v>
      </c>
      <c r="C105" s="3">
        <v>21305071</v>
      </c>
      <c r="D105" s="13" t="s">
        <v>117</v>
      </c>
      <c r="E105" s="16">
        <v>46066.3220949074</v>
      </c>
      <c r="F105" s="3">
        <v>770.54</v>
      </c>
      <c r="G105" s="3">
        <v>0</v>
      </c>
      <c r="H105" s="3">
        <v>770.54</v>
      </c>
      <c r="I105" s="3">
        <v>-71.03</v>
      </c>
      <c r="J105" s="3">
        <v>0</v>
      </c>
      <c r="K105" s="3">
        <v>-71.03</v>
      </c>
      <c r="L105" s="3">
        <v>212.08</v>
      </c>
      <c r="M105" s="3">
        <v>2757</v>
      </c>
      <c r="N105" s="3">
        <v>103.77</v>
      </c>
      <c r="O105" s="3">
        <v>1349</v>
      </c>
      <c r="P105" s="3" t="s">
        <v>32</v>
      </c>
      <c r="Q105" s="3" t="s">
        <v>33</v>
      </c>
      <c r="R105" s="3" t="s">
        <v>34</v>
      </c>
      <c r="S105" s="3">
        <v>0</v>
      </c>
      <c r="T105" s="3">
        <v>0</v>
      </c>
      <c r="U105" s="3">
        <v>0</v>
      </c>
      <c r="V105" s="3" t="s">
        <v>35</v>
      </c>
      <c r="W105" s="3" t="s">
        <v>35</v>
      </c>
      <c r="X105" s="3" t="s">
        <v>35</v>
      </c>
      <c r="Y105" s="3" t="s">
        <v>35</v>
      </c>
      <c r="Z105" s="3" t="s">
        <v>35</v>
      </c>
      <c r="AA105" s="3" t="s">
        <v>35</v>
      </c>
    </row>
    <row r="106" s="3" customFormat="1" spans="1:27">
      <c r="A106" s="3" t="s">
        <v>112</v>
      </c>
      <c r="B106" s="3" t="s">
        <v>30</v>
      </c>
      <c r="C106" s="3">
        <v>21896912</v>
      </c>
      <c r="D106" s="13" t="s">
        <v>118</v>
      </c>
      <c r="E106" s="16">
        <v>46095.7722916667</v>
      </c>
      <c r="F106" s="3">
        <v>852.6</v>
      </c>
      <c r="G106" s="3">
        <v>1.85</v>
      </c>
      <c r="H106" s="3">
        <v>850.75</v>
      </c>
      <c r="I106" s="3">
        <v>-8.78</v>
      </c>
      <c r="J106" s="3">
        <v>1.7</v>
      </c>
      <c r="K106" s="3">
        <v>-10.48</v>
      </c>
      <c r="L106" s="3">
        <v>171.92</v>
      </c>
      <c r="M106" s="3">
        <v>2235</v>
      </c>
      <c r="N106" s="3">
        <v>171.92</v>
      </c>
      <c r="O106" s="3">
        <v>2235</v>
      </c>
      <c r="P106" s="3" t="s">
        <v>32</v>
      </c>
      <c r="Q106" s="3" t="s">
        <v>33</v>
      </c>
      <c r="R106" s="3" t="s">
        <v>34</v>
      </c>
      <c r="S106" s="3">
        <v>0</v>
      </c>
      <c r="T106" s="3">
        <v>0</v>
      </c>
      <c r="U106" s="3">
        <v>0</v>
      </c>
      <c r="V106" s="3" t="s">
        <v>35</v>
      </c>
      <c r="W106" s="3" t="s">
        <v>35</v>
      </c>
      <c r="X106" s="3" t="s">
        <v>35</v>
      </c>
      <c r="Y106" s="3" t="s">
        <v>35</v>
      </c>
      <c r="Z106" s="3" t="s">
        <v>35</v>
      </c>
      <c r="AA106" s="3" t="s">
        <v>35</v>
      </c>
    </row>
    <row r="107" s="3" customFormat="1" spans="1:27">
      <c r="A107" s="3" t="s">
        <v>112</v>
      </c>
      <c r="B107" s="3" t="s">
        <v>30</v>
      </c>
      <c r="C107" s="3">
        <v>22557042</v>
      </c>
      <c r="D107" s="13" t="s">
        <v>119</v>
      </c>
      <c r="E107" s="16">
        <v>46135.336875</v>
      </c>
      <c r="F107" s="3">
        <v>296.97</v>
      </c>
      <c r="G107" s="3">
        <v>10.04</v>
      </c>
      <c r="H107" s="3">
        <v>286.92</v>
      </c>
      <c r="I107" s="3">
        <v>28.44</v>
      </c>
      <c r="J107" s="3">
        <v>8.77</v>
      </c>
      <c r="K107" s="3">
        <v>19.67</v>
      </c>
      <c r="L107" s="3">
        <v>128.15</v>
      </c>
      <c r="M107" s="3">
        <v>1666</v>
      </c>
      <c r="N107" s="3">
        <v>128.15</v>
      </c>
      <c r="O107" s="3">
        <v>1666</v>
      </c>
      <c r="P107" s="3" t="s">
        <v>32</v>
      </c>
      <c r="Q107" s="3" t="s">
        <v>33</v>
      </c>
      <c r="R107" s="3" t="s">
        <v>34</v>
      </c>
      <c r="S107" s="3">
        <v>0</v>
      </c>
      <c r="T107" s="3">
        <v>0</v>
      </c>
      <c r="U107" s="3">
        <v>0</v>
      </c>
      <c r="V107" s="3" t="s">
        <v>35</v>
      </c>
      <c r="W107" s="3" t="s">
        <v>35</v>
      </c>
      <c r="X107" s="3" t="s">
        <v>35</v>
      </c>
      <c r="Y107" s="3" t="s">
        <v>35</v>
      </c>
      <c r="Z107" s="3" t="s">
        <v>35</v>
      </c>
      <c r="AA107" s="3" t="s">
        <v>35</v>
      </c>
    </row>
    <row r="108" s="3" customFormat="1" spans="1:27">
      <c r="A108" s="3" t="s">
        <v>112</v>
      </c>
      <c r="B108" s="3" t="s">
        <v>30</v>
      </c>
      <c r="C108" s="3">
        <v>20594860</v>
      </c>
      <c r="D108" s="13" t="s">
        <v>120</v>
      </c>
      <c r="E108" s="16">
        <v>46029.5137037037</v>
      </c>
      <c r="F108" s="3">
        <v>650.87</v>
      </c>
      <c r="G108" s="3">
        <v>3.85</v>
      </c>
      <c r="H108" s="3">
        <v>647.03</v>
      </c>
      <c r="I108" s="3">
        <v>71.12</v>
      </c>
      <c r="J108" s="3">
        <v>3.85</v>
      </c>
      <c r="K108" s="3">
        <v>67.28</v>
      </c>
      <c r="L108" s="3">
        <v>71.15</v>
      </c>
      <c r="M108" s="3">
        <v>925</v>
      </c>
      <c r="N108" s="3">
        <v>12.31</v>
      </c>
      <c r="O108" s="3">
        <v>160</v>
      </c>
      <c r="P108" s="3" t="s">
        <v>32</v>
      </c>
      <c r="Q108" s="3" t="s">
        <v>33</v>
      </c>
      <c r="R108" s="3" t="s">
        <v>34</v>
      </c>
      <c r="S108" s="3">
        <v>0</v>
      </c>
      <c r="T108" s="3">
        <v>0</v>
      </c>
      <c r="U108" s="3">
        <v>0</v>
      </c>
      <c r="V108" s="3" t="s">
        <v>35</v>
      </c>
      <c r="W108" s="3" t="s">
        <v>35</v>
      </c>
      <c r="X108" s="3" t="s">
        <v>35</v>
      </c>
      <c r="Y108" s="3" t="s">
        <v>35</v>
      </c>
      <c r="Z108" s="3" t="s">
        <v>35</v>
      </c>
      <c r="AA108" s="3" t="s">
        <v>35</v>
      </c>
    </row>
    <row r="109" s="3" customFormat="1" spans="1:27">
      <c r="A109" s="3" t="s">
        <v>112</v>
      </c>
      <c r="B109" s="3" t="s">
        <v>30</v>
      </c>
      <c r="C109" s="3">
        <v>19371962</v>
      </c>
      <c r="D109" s="13" t="s">
        <v>121</v>
      </c>
      <c r="E109" s="16">
        <v>45971.461087963</v>
      </c>
      <c r="F109" s="3">
        <v>910.65</v>
      </c>
      <c r="G109" s="3">
        <v>0.15</v>
      </c>
      <c r="H109" s="3">
        <v>910.49</v>
      </c>
      <c r="I109" s="3">
        <v>51.58</v>
      </c>
      <c r="J109" s="3">
        <v>0.15</v>
      </c>
      <c r="K109" s="3">
        <v>51.43</v>
      </c>
      <c r="L109" s="3">
        <v>109.69</v>
      </c>
      <c r="M109" s="3">
        <v>1426</v>
      </c>
      <c r="N109" s="3">
        <v>0.38</v>
      </c>
      <c r="O109" s="3">
        <v>5</v>
      </c>
      <c r="P109" s="3" t="s">
        <v>32</v>
      </c>
      <c r="Q109" s="3" t="s">
        <v>33</v>
      </c>
      <c r="R109" s="3" t="s">
        <v>34</v>
      </c>
      <c r="S109" s="3">
        <v>0</v>
      </c>
      <c r="T109" s="3">
        <v>0</v>
      </c>
      <c r="U109" s="3">
        <v>0</v>
      </c>
      <c r="V109" s="3" t="s">
        <v>35</v>
      </c>
      <c r="W109" s="3" t="s">
        <v>35</v>
      </c>
      <c r="X109" s="3" t="s">
        <v>35</v>
      </c>
      <c r="Y109" s="3" t="s">
        <v>35</v>
      </c>
      <c r="Z109" s="3" t="s">
        <v>35</v>
      </c>
      <c r="AA109" s="3" t="s">
        <v>35</v>
      </c>
    </row>
    <row r="110" s="3" customFormat="1" spans="1:27">
      <c r="A110" s="3" t="s">
        <v>112</v>
      </c>
      <c r="B110" s="3" t="s">
        <v>30</v>
      </c>
      <c r="C110" s="3">
        <v>17525512</v>
      </c>
      <c r="D110" s="13" t="s">
        <v>122</v>
      </c>
      <c r="E110" s="16">
        <v>45861.1896527778</v>
      </c>
      <c r="F110" s="3">
        <v>133.29</v>
      </c>
      <c r="G110" s="3">
        <v>0</v>
      </c>
      <c r="H110" s="3">
        <v>133.29</v>
      </c>
      <c r="I110" s="3">
        <v>15.21</v>
      </c>
      <c r="J110" s="3">
        <v>0</v>
      </c>
      <c r="K110" s="3">
        <v>15.21</v>
      </c>
      <c r="L110" s="3">
        <v>51.92</v>
      </c>
      <c r="M110" s="3">
        <v>675</v>
      </c>
      <c r="N110" s="3">
        <v>24.62</v>
      </c>
      <c r="O110" s="3">
        <v>320</v>
      </c>
      <c r="P110" s="3" t="s">
        <v>32</v>
      </c>
      <c r="Q110" s="3" t="s">
        <v>33</v>
      </c>
      <c r="R110" s="3" t="s">
        <v>34</v>
      </c>
      <c r="S110" s="3">
        <v>0</v>
      </c>
      <c r="T110" s="3">
        <v>0</v>
      </c>
      <c r="U110" s="3">
        <v>0</v>
      </c>
      <c r="V110" s="3" t="s">
        <v>35</v>
      </c>
      <c r="W110" s="3" t="s">
        <v>35</v>
      </c>
      <c r="X110" s="3" t="s">
        <v>35</v>
      </c>
      <c r="Y110" s="3" t="s">
        <v>35</v>
      </c>
      <c r="Z110" s="3" t="s">
        <v>35</v>
      </c>
      <c r="AA110" s="3" t="s">
        <v>35</v>
      </c>
    </row>
    <row r="111" s="3" customFormat="1" spans="1:27">
      <c r="A111" s="3" t="s">
        <v>112</v>
      </c>
      <c r="B111" s="3" t="s">
        <v>30</v>
      </c>
      <c r="C111" s="3">
        <v>10634700</v>
      </c>
      <c r="D111" s="13" t="s">
        <v>123</v>
      </c>
      <c r="E111" s="16">
        <v>45179.0210763889</v>
      </c>
      <c r="F111" s="3">
        <v>6511.04</v>
      </c>
      <c r="G111" s="3">
        <v>0.08</v>
      </c>
      <c r="H111" s="3">
        <v>6510.96</v>
      </c>
      <c r="I111" s="3">
        <v>429.22</v>
      </c>
      <c r="J111" s="3">
        <v>-0.61</v>
      </c>
      <c r="K111" s="3">
        <v>429.83</v>
      </c>
      <c r="L111" s="3">
        <v>1527.62</v>
      </c>
      <c r="M111" s="3">
        <v>19859</v>
      </c>
      <c r="N111" s="3">
        <v>1.15</v>
      </c>
      <c r="O111" s="3">
        <v>15</v>
      </c>
      <c r="P111" s="3" t="s">
        <v>32</v>
      </c>
      <c r="Q111" s="3" t="s">
        <v>42</v>
      </c>
      <c r="R111" s="3" t="s">
        <v>34</v>
      </c>
      <c r="S111" s="3">
        <v>0</v>
      </c>
      <c r="T111" s="3">
        <v>0</v>
      </c>
      <c r="U111" s="3">
        <v>0</v>
      </c>
      <c r="V111" s="3" t="s">
        <v>35</v>
      </c>
      <c r="W111" s="3" t="s">
        <v>35</v>
      </c>
      <c r="X111" s="3" t="s">
        <v>35</v>
      </c>
      <c r="Y111" s="3" t="s">
        <v>35</v>
      </c>
      <c r="Z111" s="3" t="s">
        <v>35</v>
      </c>
      <c r="AA111" s="3" t="s">
        <v>35</v>
      </c>
    </row>
    <row r="112" s="3" customFormat="1" spans="1:27">
      <c r="A112" s="3" t="s">
        <v>112</v>
      </c>
      <c r="B112" s="3" t="s">
        <v>30</v>
      </c>
      <c r="C112" s="3">
        <v>16715920</v>
      </c>
      <c r="D112" s="13" t="s">
        <v>124</v>
      </c>
      <c r="E112" s="16">
        <v>45795.602037037</v>
      </c>
      <c r="F112" s="3">
        <v>25450.95</v>
      </c>
      <c r="G112" s="3">
        <v>453.2</v>
      </c>
      <c r="H112" s="3">
        <v>24997.76</v>
      </c>
      <c r="I112" s="3">
        <v>932.76</v>
      </c>
      <c r="J112" s="3">
        <v>68.23</v>
      </c>
      <c r="K112" s="3">
        <v>864.53</v>
      </c>
      <c r="L112" s="3">
        <v>3097.31</v>
      </c>
      <c r="M112" s="3">
        <v>40265</v>
      </c>
      <c r="N112" s="3">
        <v>759.15</v>
      </c>
      <c r="O112" s="3">
        <v>9869</v>
      </c>
      <c r="P112" s="3" t="s">
        <v>41</v>
      </c>
      <c r="Q112" s="3" t="s">
        <v>42</v>
      </c>
      <c r="R112" s="3" t="s">
        <v>34</v>
      </c>
      <c r="S112" s="3">
        <v>0</v>
      </c>
      <c r="T112" s="3">
        <v>0</v>
      </c>
      <c r="U112" s="3">
        <v>0</v>
      </c>
      <c r="V112" s="3" t="s">
        <v>35</v>
      </c>
      <c r="W112" s="3" t="s">
        <v>35</v>
      </c>
      <c r="X112" s="3" t="s">
        <v>35</v>
      </c>
      <c r="Y112" s="3" t="s">
        <v>35</v>
      </c>
      <c r="Z112" s="3" t="s">
        <v>35</v>
      </c>
      <c r="AA112" s="3" t="s">
        <v>35</v>
      </c>
    </row>
    <row r="113" s="3" customFormat="1" spans="1:27">
      <c r="A113" s="3" t="s">
        <v>112</v>
      </c>
      <c r="B113" s="3" t="s">
        <v>30</v>
      </c>
      <c r="C113" s="3">
        <v>22033622</v>
      </c>
      <c r="D113" s="13" t="s">
        <v>125</v>
      </c>
      <c r="E113" s="16">
        <v>46103.7772685185</v>
      </c>
      <c r="F113" s="3">
        <v>274.99</v>
      </c>
      <c r="G113" s="3">
        <v>4.08</v>
      </c>
      <c r="H113" s="3">
        <v>270.92</v>
      </c>
      <c r="I113" s="3">
        <v>28.94</v>
      </c>
      <c r="J113" s="3">
        <v>4.08</v>
      </c>
      <c r="K113" s="3">
        <v>24.87</v>
      </c>
      <c r="L113" s="3">
        <v>85.92</v>
      </c>
      <c r="M113" s="3">
        <v>1117</v>
      </c>
      <c r="N113" s="3">
        <v>85.92</v>
      </c>
      <c r="O113" s="3">
        <v>1117</v>
      </c>
      <c r="P113" s="3" t="s">
        <v>32</v>
      </c>
      <c r="Q113" s="3" t="s">
        <v>33</v>
      </c>
      <c r="R113" s="3" t="s">
        <v>34</v>
      </c>
      <c r="S113" s="3">
        <v>0</v>
      </c>
      <c r="T113" s="3">
        <v>0</v>
      </c>
      <c r="U113" s="3">
        <v>0</v>
      </c>
      <c r="V113" s="3" t="s">
        <v>35</v>
      </c>
      <c r="W113" s="3" t="s">
        <v>35</v>
      </c>
      <c r="X113" s="3" t="s">
        <v>35</v>
      </c>
      <c r="Y113" s="3" t="s">
        <v>35</v>
      </c>
      <c r="Z113" s="3" t="s">
        <v>35</v>
      </c>
      <c r="AA113" s="3" t="s">
        <v>35</v>
      </c>
    </row>
    <row r="114" s="3" customFormat="1" spans="1:27">
      <c r="A114" s="3" t="s">
        <v>112</v>
      </c>
      <c r="B114" s="3" t="s">
        <v>30</v>
      </c>
      <c r="C114" s="3">
        <v>19012501</v>
      </c>
      <c r="D114" s="13" t="s">
        <v>126</v>
      </c>
      <c r="E114" s="16">
        <v>45948.8641203704</v>
      </c>
      <c r="F114" s="3">
        <v>1883.84</v>
      </c>
      <c r="G114" s="3">
        <v>2.69</v>
      </c>
      <c r="H114" s="3">
        <v>1881.15</v>
      </c>
      <c r="I114" s="3">
        <v>2.16</v>
      </c>
      <c r="J114" s="3">
        <v>1.61</v>
      </c>
      <c r="K114" s="3">
        <v>0.55</v>
      </c>
      <c r="L114" s="3">
        <v>191.92</v>
      </c>
      <c r="M114" s="3">
        <v>2495</v>
      </c>
      <c r="N114" s="3">
        <v>1.15</v>
      </c>
      <c r="O114" s="3">
        <v>15</v>
      </c>
      <c r="P114" s="3" t="s">
        <v>32</v>
      </c>
      <c r="Q114" s="3" t="s">
        <v>33</v>
      </c>
      <c r="R114" s="3" t="s">
        <v>34</v>
      </c>
      <c r="S114" s="3">
        <v>0</v>
      </c>
      <c r="T114" s="3">
        <v>0</v>
      </c>
      <c r="U114" s="3">
        <v>0</v>
      </c>
      <c r="V114" s="3" t="s">
        <v>35</v>
      </c>
      <c r="W114" s="3" t="s">
        <v>35</v>
      </c>
      <c r="X114" s="3" t="s">
        <v>35</v>
      </c>
      <c r="Y114" s="3" t="s">
        <v>35</v>
      </c>
      <c r="Z114" s="3" t="s">
        <v>35</v>
      </c>
      <c r="AA114" s="3" t="s">
        <v>35</v>
      </c>
    </row>
    <row r="115" s="3" customFormat="1" spans="1:27">
      <c r="A115" s="3" t="s">
        <v>112</v>
      </c>
      <c r="B115" s="3" t="s">
        <v>30</v>
      </c>
      <c r="C115" s="3">
        <v>20961621</v>
      </c>
      <c r="D115" s="13" t="s">
        <v>127</v>
      </c>
      <c r="E115" s="16">
        <v>46047.4379861111</v>
      </c>
      <c r="F115" s="3">
        <v>327.53</v>
      </c>
      <c r="G115" s="3">
        <v>0</v>
      </c>
      <c r="H115" s="3">
        <v>327.53</v>
      </c>
      <c r="I115" s="3">
        <v>20.21</v>
      </c>
      <c r="J115" s="3">
        <v>0</v>
      </c>
      <c r="K115" s="3">
        <v>20.21</v>
      </c>
      <c r="L115" s="3">
        <v>117.62</v>
      </c>
      <c r="M115" s="3">
        <v>1529</v>
      </c>
      <c r="N115" s="3">
        <v>39.77</v>
      </c>
      <c r="O115" s="3">
        <v>517</v>
      </c>
      <c r="P115" s="3" t="s">
        <v>41</v>
      </c>
      <c r="Q115" s="3" t="s">
        <v>33</v>
      </c>
      <c r="R115" s="3" t="s">
        <v>34</v>
      </c>
      <c r="S115" s="3">
        <v>0</v>
      </c>
      <c r="T115" s="3">
        <v>0</v>
      </c>
      <c r="U115" s="3">
        <v>0</v>
      </c>
      <c r="V115" s="3" t="s">
        <v>35</v>
      </c>
      <c r="W115" s="3" t="s">
        <v>35</v>
      </c>
      <c r="X115" s="3" t="s">
        <v>35</v>
      </c>
      <c r="Y115" s="3" t="s">
        <v>35</v>
      </c>
      <c r="Z115" s="3" t="s">
        <v>35</v>
      </c>
      <c r="AA115" s="3" t="s">
        <v>35</v>
      </c>
    </row>
    <row r="116" s="3" customFormat="1" spans="1:27">
      <c r="A116" s="3" t="s">
        <v>112</v>
      </c>
      <c r="B116" s="3" t="s">
        <v>30</v>
      </c>
      <c r="C116" s="3">
        <v>22616452</v>
      </c>
      <c r="D116" s="13" t="s">
        <v>128</v>
      </c>
      <c r="E116" s="16">
        <v>46138.7082986111</v>
      </c>
      <c r="F116" s="3">
        <v>6406.42</v>
      </c>
      <c r="G116" s="3">
        <v>34.08</v>
      </c>
      <c r="H116" s="3">
        <v>6372.34</v>
      </c>
      <c r="I116" s="3">
        <v>359.25</v>
      </c>
      <c r="J116" s="3">
        <v>25.19</v>
      </c>
      <c r="K116" s="3">
        <v>334.06</v>
      </c>
      <c r="L116" s="3">
        <v>359.62</v>
      </c>
      <c r="M116" s="3">
        <v>4675</v>
      </c>
      <c r="N116" s="3">
        <v>359.62</v>
      </c>
      <c r="O116" s="3">
        <v>4675</v>
      </c>
      <c r="P116" s="3" t="s">
        <v>41</v>
      </c>
      <c r="Q116" s="3" t="s">
        <v>33</v>
      </c>
      <c r="R116" s="3" t="s">
        <v>34</v>
      </c>
      <c r="S116" s="3">
        <v>0</v>
      </c>
      <c r="T116" s="3">
        <v>0</v>
      </c>
      <c r="U116" s="3">
        <v>0</v>
      </c>
      <c r="V116" s="3" t="s">
        <v>35</v>
      </c>
      <c r="W116" s="3" t="s">
        <v>35</v>
      </c>
      <c r="X116" s="3" t="s">
        <v>35</v>
      </c>
      <c r="Y116" s="3" t="s">
        <v>35</v>
      </c>
      <c r="Z116" s="3" t="s">
        <v>35</v>
      </c>
      <c r="AA116" s="3" t="s">
        <v>35</v>
      </c>
    </row>
    <row r="117" s="3" customFormat="1" spans="1:27">
      <c r="A117" s="3" t="s">
        <v>112</v>
      </c>
      <c r="B117" s="3" t="s">
        <v>30</v>
      </c>
      <c r="C117" s="3">
        <v>15945840</v>
      </c>
      <c r="D117" s="13" t="s">
        <v>129</v>
      </c>
      <c r="E117" s="16">
        <v>45719.93125</v>
      </c>
      <c r="F117" s="3">
        <v>484.95</v>
      </c>
      <c r="G117" s="3">
        <v>155.02</v>
      </c>
      <c r="H117" s="3">
        <v>329.93</v>
      </c>
      <c r="I117" s="3">
        <v>-6.07</v>
      </c>
      <c r="J117" s="3">
        <v>12.16</v>
      </c>
      <c r="K117" s="3">
        <v>-18.24</v>
      </c>
      <c r="L117" s="3">
        <v>166.77</v>
      </c>
      <c r="M117" s="3">
        <v>2168</v>
      </c>
      <c r="N117" s="3">
        <v>14.77</v>
      </c>
      <c r="O117" s="3">
        <v>192</v>
      </c>
      <c r="P117" s="3" t="s">
        <v>61</v>
      </c>
      <c r="Q117" s="3" t="s">
        <v>33</v>
      </c>
      <c r="R117" s="3" t="s">
        <v>34</v>
      </c>
      <c r="S117" s="3">
        <v>120</v>
      </c>
      <c r="T117" s="3">
        <v>0</v>
      </c>
      <c r="U117" s="3">
        <v>0</v>
      </c>
      <c r="V117" s="3" t="s">
        <v>35</v>
      </c>
      <c r="W117" s="3" t="s">
        <v>35</v>
      </c>
      <c r="X117" s="3" t="s">
        <v>35</v>
      </c>
      <c r="Y117" s="3" t="s">
        <v>35</v>
      </c>
      <c r="Z117" s="3" t="s">
        <v>35</v>
      </c>
      <c r="AA117" s="3" t="s">
        <v>35</v>
      </c>
    </row>
    <row r="118" s="3" customFormat="1" spans="1:27">
      <c r="A118" s="3" t="s">
        <v>112</v>
      </c>
      <c r="B118" s="3" t="s">
        <v>30</v>
      </c>
      <c r="C118" s="3">
        <v>22535861</v>
      </c>
      <c r="D118" s="13" t="s">
        <v>130</v>
      </c>
      <c r="E118" s="16">
        <v>46133.7065509259</v>
      </c>
      <c r="F118" s="3">
        <v>251.96</v>
      </c>
      <c r="G118" s="3">
        <v>0</v>
      </c>
      <c r="H118" s="3">
        <v>251.96</v>
      </c>
      <c r="I118" s="3">
        <v>14.65</v>
      </c>
      <c r="J118" s="3">
        <v>0</v>
      </c>
      <c r="K118" s="3">
        <v>14.65</v>
      </c>
      <c r="L118" s="3">
        <v>82.62</v>
      </c>
      <c r="M118" s="3">
        <v>1074</v>
      </c>
      <c r="N118" s="3">
        <v>82.62</v>
      </c>
      <c r="O118" s="3">
        <v>1074</v>
      </c>
      <c r="P118" s="3" t="s">
        <v>32</v>
      </c>
      <c r="Q118" s="3" t="s">
        <v>33</v>
      </c>
      <c r="R118" s="3" t="s">
        <v>34</v>
      </c>
      <c r="S118" s="3">
        <v>0</v>
      </c>
      <c r="T118" s="3">
        <v>0</v>
      </c>
      <c r="U118" s="3">
        <v>0</v>
      </c>
      <c r="V118" s="3" t="s">
        <v>35</v>
      </c>
      <c r="W118" s="3" t="s">
        <v>35</v>
      </c>
      <c r="X118" s="3" t="s">
        <v>35</v>
      </c>
      <c r="Y118" s="3" t="s">
        <v>35</v>
      </c>
      <c r="Z118" s="3" t="s">
        <v>35</v>
      </c>
      <c r="AA118" s="3" t="s">
        <v>35</v>
      </c>
    </row>
    <row r="119" s="3" customFormat="1" spans="1:27">
      <c r="A119" s="3" t="s">
        <v>112</v>
      </c>
      <c r="B119" s="3" t="s">
        <v>30</v>
      </c>
      <c r="C119" s="3">
        <v>21005141</v>
      </c>
      <c r="D119" s="13" t="s">
        <v>131</v>
      </c>
      <c r="E119" s="16">
        <v>46050.2423611111</v>
      </c>
      <c r="F119" s="3">
        <v>471.58</v>
      </c>
      <c r="G119" s="3">
        <v>0</v>
      </c>
      <c r="H119" s="3">
        <v>471.58</v>
      </c>
      <c r="I119" s="3">
        <v>-40.01</v>
      </c>
      <c r="J119" s="3">
        <v>0</v>
      </c>
      <c r="K119" s="3">
        <v>-40.01</v>
      </c>
      <c r="L119" s="3">
        <v>129.23</v>
      </c>
      <c r="M119" s="3">
        <v>1680</v>
      </c>
      <c r="N119" s="3">
        <v>30.77</v>
      </c>
      <c r="O119" s="3">
        <v>400</v>
      </c>
      <c r="P119" s="3" t="s">
        <v>32</v>
      </c>
      <c r="Q119" s="3" t="s">
        <v>33</v>
      </c>
      <c r="R119" s="3" t="s">
        <v>34</v>
      </c>
      <c r="S119" s="3">
        <v>0</v>
      </c>
      <c r="T119" s="3">
        <v>0</v>
      </c>
      <c r="U119" s="3">
        <v>0</v>
      </c>
      <c r="V119" s="3" t="s">
        <v>35</v>
      </c>
      <c r="W119" s="3" t="s">
        <v>35</v>
      </c>
      <c r="X119" s="3" t="s">
        <v>35</v>
      </c>
      <c r="Y119" s="3" t="s">
        <v>35</v>
      </c>
      <c r="Z119" s="3" t="s">
        <v>35</v>
      </c>
      <c r="AA119" s="3" t="s">
        <v>35</v>
      </c>
    </row>
    <row r="120" s="3" customFormat="1" spans="1:27">
      <c r="A120" s="3" t="s">
        <v>112</v>
      </c>
      <c r="B120" s="3" t="s">
        <v>30</v>
      </c>
      <c r="C120" s="3">
        <v>16758691</v>
      </c>
      <c r="D120" s="13" t="s">
        <v>132</v>
      </c>
      <c r="E120" s="16">
        <v>45799.852974537</v>
      </c>
      <c r="F120" s="3">
        <v>1295.13</v>
      </c>
      <c r="G120" s="3">
        <v>0</v>
      </c>
      <c r="H120" s="3">
        <v>1295.13</v>
      </c>
      <c r="I120" s="3">
        <v>225.77</v>
      </c>
      <c r="J120" s="3">
        <v>0</v>
      </c>
      <c r="K120" s="3">
        <v>225.77</v>
      </c>
      <c r="L120" s="3">
        <v>495.77</v>
      </c>
      <c r="M120" s="3">
        <v>6445</v>
      </c>
      <c r="N120" s="3">
        <v>329.62</v>
      </c>
      <c r="O120" s="3">
        <v>4285</v>
      </c>
      <c r="P120" s="3" t="s">
        <v>32</v>
      </c>
      <c r="Q120" s="3" t="s">
        <v>33</v>
      </c>
      <c r="R120" s="3" t="s">
        <v>34</v>
      </c>
      <c r="S120" s="3">
        <v>0</v>
      </c>
      <c r="T120" s="3">
        <v>0</v>
      </c>
      <c r="U120" s="3">
        <v>0</v>
      </c>
      <c r="V120" s="3" t="s">
        <v>35</v>
      </c>
      <c r="W120" s="3" t="s">
        <v>35</v>
      </c>
      <c r="X120" s="3" t="s">
        <v>35</v>
      </c>
      <c r="Y120" s="3" t="s">
        <v>35</v>
      </c>
      <c r="Z120" s="3" t="s">
        <v>35</v>
      </c>
      <c r="AA120" s="3" t="s">
        <v>35</v>
      </c>
    </row>
    <row r="121" s="3" customFormat="1" spans="1:27">
      <c r="A121" s="3" t="s">
        <v>112</v>
      </c>
      <c r="B121" s="3" t="s">
        <v>30</v>
      </c>
      <c r="C121" s="3">
        <v>5407732</v>
      </c>
      <c r="D121" s="13" t="s">
        <v>133</v>
      </c>
      <c r="E121" s="16">
        <v>44468.5345601852</v>
      </c>
      <c r="F121" s="3">
        <v>907</v>
      </c>
      <c r="G121" s="3">
        <v>533.69</v>
      </c>
      <c r="H121" s="3">
        <v>373.31</v>
      </c>
      <c r="I121" s="3">
        <v>333.59</v>
      </c>
      <c r="J121" s="3">
        <v>322.77</v>
      </c>
      <c r="K121" s="3">
        <v>10.82</v>
      </c>
      <c r="L121" s="3">
        <v>515.92</v>
      </c>
      <c r="M121" s="3">
        <v>6707</v>
      </c>
      <c r="N121" s="3">
        <v>210.38</v>
      </c>
      <c r="O121" s="3">
        <v>2735</v>
      </c>
      <c r="P121" s="3" t="s">
        <v>61</v>
      </c>
      <c r="Q121" s="3" t="s">
        <v>33</v>
      </c>
      <c r="R121" s="3" t="s">
        <v>34</v>
      </c>
      <c r="S121" s="3">
        <v>120</v>
      </c>
      <c r="T121" s="3">
        <v>0</v>
      </c>
      <c r="U121" s="3">
        <v>0</v>
      </c>
      <c r="V121" s="3" t="s">
        <v>35</v>
      </c>
      <c r="W121" s="3" t="s">
        <v>35</v>
      </c>
      <c r="X121" s="3" t="s">
        <v>35</v>
      </c>
      <c r="Y121" s="3" t="s">
        <v>35</v>
      </c>
      <c r="Z121" s="3" t="s">
        <v>35</v>
      </c>
      <c r="AA121" s="3" t="s">
        <v>35</v>
      </c>
    </row>
    <row r="122" s="3" customFormat="1" spans="1:27">
      <c r="A122" s="3" t="s">
        <v>112</v>
      </c>
      <c r="B122" s="3" t="s">
        <v>30</v>
      </c>
      <c r="C122" s="3">
        <v>21211651</v>
      </c>
      <c r="D122" s="13" t="s">
        <v>134</v>
      </c>
      <c r="E122" s="16">
        <v>46061.4649305556</v>
      </c>
      <c r="F122" s="3">
        <v>370.43</v>
      </c>
      <c r="G122" s="3">
        <v>0.31</v>
      </c>
      <c r="H122" s="3">
        <v>370.12</v>
      </c>
      <c r="I122" s="3">
        <v>31.52</v>
      </c>
      <c r="J122" s="3">
        <v>0.31</v>
      </c>
      <c r="K122" s="3">
        <v>31.21</v>
      </c>
      <c r="L122" s="3">
        <v>66.15</v>
      </c>
      <c r="M122" s="3">
        <v>860</v>
      </c>
      <c r="N122" s="3">
        <v>3.85</v>
      </c>
      <c r="O122" s="3">
        <v>50</v>
      </c>
      <c r="P122" s="3" t="s">
        <v>32</v>
      </c>
      <c r="Q122" s="3" t="s">
        <v>33</v>
      </c>
      <c r="R122" s="3" t="s">
        <v>34</v>
      </c>
      <c r="S122" s="3">
        <v>0</v>
      </c>
      <c r="T122" s="3">
        <v>0</v>
      </c>
      <c r="U122" s="3">
        <v>0</v>
      </c>
      <c r="V122" s="3" t="s">
        <v>35</v>
      </c>
      <c r="W122" s="3" t="s">
        <v>35</v>
      </c>
      <c r="X122" s="3" t="s">
        <v>35</v>
      </c>
      <c r="Y122" s="3" t="s">
        <v>35</v>
      </c>
      <c r="Z122" s="3" t="s">
        <v>35</v>
      </c>
      <c r="AA122" s="3" t="s">
        <v>35</v>
      </c>
    </row>
    <row r="123" s="3" customFormat="1" spans="1:27">
      <c r="A123" s="3" t="s">
        <v>112</v>
      </c>
      <c r="B123" s="3" t="s">
        <v>30</v>
      </c>
      <c r="C123" s="3">
        <v>3650431</v>
      </c>
      <c r="D123" s="13" t="s">
        <v>135</v>
      </c>
      <c r="E123" s="16">
        <v>44253.996412037</v>
      </c>
      <c r="F123" s="3">
        <v>7982.32</v>
      </c>
      <c r="G123" s="3">
        <v>6.62</v>
      </c>
      <c r="H123" s="3">
        <v>7975.7</v>
      </c>
      <c r="I123" s="3">
        <v>319.01</v>
      </c>
      <c r="J123" s="3">
        <v>6.62</v>
      </c>
      <c r="K123" s="3">
        <v>312.39</v>
      </c>
      <c r="L123" s="3">
        <v>1952.08</v>
      </c>
      <c r="M123" s="3">
        <v>25377</v>
      </c>
      <c r="N123" s="3">
        <v>799.46</v>
      </c>
      <c r="O123" s="3">
        <v>10393</v>
      </c>
      <c r="P123" s="3" t="s">
        <v>32</v>
      </c>
      <c r="Q123" s="3" t="s">
        <v>42</v>
      </c>
      <c r="R123" s="3" t="s">
        <v>34</v>
      </c>
      <c r="S123" s="3">
        <v>0</v>
      </c>
      <c r="T123" s="3">
        <v>0</v>
      </c>
      <c r="U123" s="3">
        <v>0</v>
      </c>
      <c r="V123" s="3" t="s">
        <v>35</v>
      </c>
      <c r="W123" s="3" t="s">
        <v>35</v>
      </c>
      <c r="X123" s="3" t="s">
        <v>35</v>
      </c>
      <c r="Y123" s="3" t="s">
        <v>35</v>
      </c>
      <c r="Z123" s="3" t="s">
        <v>35</v>
      </c>
      <c r="AA123" s="3" t="s">
        <v>35</v>
      </c>
    </row>
    <row r="124" s="3" customFormat="1" spans="1:27">
      <c r="A124" s="3" t="s">
        <v>112</v>
      </c>
      <c r="B124" s="3" t="s">
        <v>30</v>
      </c>
      <c r="C124" s="3">
        <v>21971540</v>
      </c>
      <c r="D124" s="13" t="s">
        <v>136</v>
      </c>
      <c r="E124" s="16">
        <v>46100.4075810185</v>
      </c>
      <c r="F124" s="3">
        <v>541.66</v>
      </c>
      <c r="G124" s="3">
        <v>0</v>
      </c>
      <c r="H124" s="3">
        <v>541.66</v>
      </c>
      <c r="I124" s="3">
        <v>11.82</v>
      </c>
      <c r="J124" s="3">
        <v>0</v>
      </c>
      <c r="K124" s="3">
        <v>11.82</v>
      </c>
      <c r="L124" s="3">
        <v>54.38</v>
      </c>
      <c r="M124" s="3">
        <v>707</v>
      </c>
      <c r="N124" s="3">
        <v>54.38</v>
      </c>
      <c r="O124" s="3">
        <v>707</v>
      </c>
      <c r="P124" s="3" t="s">
        <v>41</v>
      </c>
      <c r="Q124" s="3" t="s">
        <v>33</v>
      </c>
      <c r="R124" s="3" t="s">
        <v>34</v>
      </c>
      <c r="S124" s="3">
        <v>0</v>
      </c>
      <c r="T124" s="3">
        <v>0</v>
      </c>
      <c r="U124" s="3">
        <v>0</v>
      </c>
      <c r="V124" s="3" t="s">
        <v>35</v>
      </c>
      <c r="W124" s="3" t="s">
        <v>35</v>
      </c>
      <c r="X124" s="3" t="s">
        <v>35</v>
      </c>
      <c r="Y124" s="3" t="s">
        <v>35</v>
      </c>
      <c r="Z124" s="3" t="s">
        <v>35</v>
      </c>
      <c r="AA124" s="3" t="s">
        <v>35</v>
      </c>
    </row>
    <row r="125" s="3" customFormat="1" spans="1:27">
      <c r="A125" s="3" t="s">
        <v>112</v>
      </c>
      <c r="B125" s="3" t="s">
        <v>30</v>
      </c>
      <c r="C125" s="3">
        <v>17424642</v>
      </c>
      <c r="D125" s="13" t="s">
        <v>137</v>
      </c>
      <c r="E125" s="16">
        <v>45854.6454513889</v>
      </c>
      <c r="F125" s="3">
        <v>2672.4</v>
      </c>
      <c r="G125" s="3">
        <v>0</v>
      </c>
      <c r="H125" s="3">
        <v>2672.4</v>
      </c>
      <c r="I125" s="3">
        <v>145.6</v>
      </c>
      <c r="J125" s="3">
        <v>0</v>
      </c>
      <c r="K125" s="3">
        <v>145.6</v>
      </c>
      <c r="L125" s="3">
        <v>965.77</v>
      </c>
      <c r="M125" s="3">
        <v>12555</v>
      </c>
      <c r="N125" s="3">
        <v>30.77</v>
      </c>
      <c r="O125" s="3">
        <v>400</v>
      </c>
      <c r="P125" s="3" t="s">
        <v>41</v>
      </c>
      <c r="Q125" s="3" t="s">
        <v>33</v>
      </c>
      <c r="R125" s="3" t="s">
        <v>34</v>
      </c>
      <c r="S125" s="3">
        <v>0</v>
      </c>
      <c r="T125" s="3">
        <v>0</v>
      </c>
      <c r="U125" s="3">
        <v>0</v>
      </c>
      <c r="V125" s="3" t="s">
        <v>35</v>
      </c>
      <c r="W125" s="3" t="s">
        <v>35</v>
      </c>
      <c r="X125" s="3" t="s">
        <v>35</v>
      </c>
      <c r="Y125" s="3" t="s">
        <v>35</v>
      </c>
      <c r="Z125" s="3" t="s">
        <v>35</v>
      </c>
      <c r="AA125" s="3" t="s">
        <v>35</v>
      </c>
    </row>
    <row r="126" s="3" customFormat="1" spans="1:27">
      <c r="A126" s="3" t="s">
        <v>112</v>
      </c>
      <c r="B126" s="3" t="s">
        <v>30</v>
      </c>
      <c r="C126" s="3">
        <v>21915890</v>
      </c>
      <c r="D126" s="13" t="s">
        <v>138</v>
      </c>
      <c r="E126" s="16">
        <v>46096.8819560185</v>
      </c>
      <c r="F126" s="3">
        <v>650.77</v>
      </c>
      <c r="G126" s="3">
        <v>0</v>
      </c>
      <c r="H126" s="3">
        <v>650.77</v>
      </c>
      <c r="I126" s="3">
        <v>35.13</v>
      </c>
      <c r="J126" s="3">
        <v>0</v>
      </c>
      <c r="K126" s="3">
        <v>35.13</v>
      </c>
      <c r="L126" s="3">
        <v>101</v>
      </c>
      <c r="M126" s="3">
        <v>1313</v>
      </c>
      <c r="N126" s="3">
        <v>101</v>
      </c>
      <c r="O126" s="3">
        <v>1313</v>
      </c>
      <c r="P126" s="3" t="s">
        <v>32</v>
      </c>
      <c r="Q126" s="3" t="s">
        <v>33</v>
      </c>
      <c r="R126" s="3" t="s">
        <v>34</v>
      </c>
      <c r="S126" s="3">
        <v>0</v>
      </c>
      <c r="T126" s="3">
        <v>0</v>
      </c>
      <c r="U126" s="3">
        <v>0</v>
      </c>
      <c r="V126" s="3" t="s">
        <v>35</v>
      </c>
      <c r="W126" s="3" t="s">
        <v>35</v>
      </c>
      <c r="X126" s="3" t="s">
        <v>35</v>
      </c>
      <c r="Y126" s="3" t="s">
        <v>35</v>
      </c>
      <c r="Z126" s="3" t="s">
        <v>35</v>
      </c>
      <c r="AA126" s="3" t="s">
        <v>35</v>
      </c>
    </row>
    <row r="127" s="3" customFormat="1" spans="1:27">
      <c r="A127" s="3" t="s">
        <v>112</v>
      </c>
      <c r="B127" s="3" t="s">
        <v>30</v>
      </c>
      <c r="C127" s="3">
        <v>20219321</v>
      </c>
      <c r="D127" s="13" t="s">
        <v>139</v>
      </c>
      <c r="E127" s="16">
        <v>46010.9548148148</v>
      </c>
      <c r="F127" s="3">
        <v>988.59</v>
      </c>
      <c r="G127" s="3">
        <v>20.85</v>
      </c>
      <c r="H127" s="3">
        <v>967.74</v>
      </c>
      <c r="I127" s="3">
        <v>-28.61</v>
      </c>
      <c r="J127" s="3">
        <v>-6.08</v>
      </c>
      <c r="K127" s="3">
        <v>-22.53</v>
      </c>
      <c r="L127" s="3">
        <v>264.69</v>
      </c>
      <c r="M127" s="3">
        <v>3441</v>
      </c>
      <c r="N127" s="3">
        <v>43.15</v>
      </c>
      <c r="O127" s="3">
        <v>561</v>
      </c>
      <c r="P127" s="3" t="s">
        <v>32</v>
      </c>
      <c r="Q127" s="3" t="s">
        <v>33</v>
      </c>
      <c r="R127" s="3" t="s">
        <v>34</v>
      </c>
      <c r="S127" s="3">
        <v>0</v>
      </c>
      <c r="T127" s="3">
        <v>0</v>
      </c>
      <c r="U127" s="3">
        <v>0</v>
      </c>
      <c r="V127" s="3" t="s">
        <v>35</v>
      </c>
      <c r="W127" s="3" t="s">
        <v>35</v>
      </c>
      <c r="X127" s="3" t="s">
        <v>35</v>
      </c>
      <c r="Y127" s="3" t="s">
        <v>35</v>
      </c>
      <c r="Z127" s="3" t="s">
        <v>35</v>
      </c>
      <c r="AA127" s="3" t="s">
        <v>35</v>
      </c>
    </row>
    <row r="128" s="3" customFormat="1" spans="1:27">
      <c r="A128" s="3" t="s">
        <v>112</v>
      </c>
      <c r="B128" s="3" t="s">
        <v>30</v>
      </c>
      <c r="C128" s="3">
        <v>21065631</v>
      </c>
      <c r="D128" s="13" t="s">
        <v>140</v>
      </c>
      <c r="E128" s="16">
        <v>46053.5852430556</v>
      </c>
      <c r="F128" s="3">
        <v>5418.19</v>
      </c>
      <c r="G128" s="3">
        <v>0</v>
      </c>
      <c r="H128" s="3">
        <v>5418.19</v>
      </c>
      <c r="I128" s="3">
        <v>521.47</v>
      </c>
      <c r="J128" s="3">
        <v>-0.28</v>
      </c>
      <c r="K128" s="3">
        <v>521.74</v>
      </c>
      <c r="L128" s="3">
        <v>1092.69</v>
      </c>
      <c r="M128" s="3">
        <v>14205</v>
      </c>
      <c r="N128" s="3">
        <v>675.15</v>
      </c>
      <c r="O128" s="3">
        <v>8777</v>
      </c>
      <c r="P128" s="3" t="s">
        <v>41</v>
      </c>
      <c r="Q128" s="3" t="s">
        <v>42</v>
      </c>
      <c r="R128" s="3" t="s">
        <v>34</v>
      </c>
      <c r="S128" s="3">
        <v>0</v>
      </c>
      <c r="T128" s="3">
        <v>0</v>
      </c>
      <c r="U128" s="3">
        <v>0</v>
      </c>
      <c r="V128" s="3" t="s">
        <v>35</v>
      </c>
      <c r="W128" s="3" t="s">
        <v>35</v>
      </c>
      <c r="X128" s="3" t="s">
        <v>35</v>
      </c>
      <c r="Y128" s="3" t="s">
        <v>35</v>
      </c>
      <c r="Z128" s="3" t="s">
        <v>35</v>
      </c>
      <c r="AA128" s="3" t="s">
        <v>35</v>
      </c>
    </row>
    <row r="129" s="3" customFormat="1" spans="1:27">
      <c r="A129" s="3" t="s">
        <v>112</v>
      </c>
      <c r="B129" s="3" t="s">
        <v>30</v>
      </c>
      <c r="C129" s="3">
        <v>8992591</v>
      </c>
      <c r="D129" s="13" t="s">
        <v>141</v>
      </c>
      <c r="E129" s="16">
        <v>44871.6138425926</v>
      </c>
      <c r="F129" s="3">
        <v>596.99</v>
      </c>
      <c r="G129" s="3">
        <v>16.8</v>
      </c>
      <c r="H129" s="3">
        <v>580.19</v>
      </c>
      <c r="I129" s="3">
        <v>40.68</v>
      </c>
      <c r="J129" s="3">
        <v>16.26</v>
      </c>
      <c r="K129" s="3">
        <v>24.42</v>
      </c>
      <c r="L129" s="3">
        <v>176</v>
      </c>
      <c r="M129" s="3">
        <v>2288</v>
      </c>
      <c r="N129" s="3">
        <v>30.77</v>
      </c>
      <c r="O129" s="3">
        <v>400</v>
      </c>
      <c r="P129" s="3" t="s">
        <v>41</v>
      </c>
      <c r="Q129" s="3" t="s">
        <v>33</v>
      </c>
      <c r="R129" s="3" t="s">
        <v>34</v>
      </c>
      <c r="S129" s="3">
        <v>0</v>
      </c>
      <c r="T129" s="3">
        <v>0</v>
      </c>
      <c r="U129" s="3">
        <v>0</v>
      </c>
      <c r="V129" s="3" t="s">
        <v>35</v>
      </c>
      <c r="W129" s="3" t="s">
        <v>35</v>
      </c>
      <c r="X129" s="3" t="s">
        <v>35</v>
      </c>
      <c r="Y129" s="3" t="s">
        <v>35</v>
      </c>
      <c r="Z129" s="3" t="s">
        <v>35</v>
      </c>
      <c r="AA129" s="3" t="s">
        <v>35</v>
      </c>
    </row>
    <row r="130" s="3" customFormat="1" spans="1:27">
      <c r="A130" s="3" t="s">
        <v>112</v>
      </c>
      <c r="B130" s="3" t="s">
        <v>30</v>
      </c>
      <c r="C130" s="3">
        <v>21772010</v>
      </c>
      <c r="D130" s="13" t="s">
        <v>142</v>
      </c>
      <c r="E130" s="16">
        <v>46089.4547916667</v>
      </c>
      <c r="F130" s="3">
        <v>721.54</v>
      </c>
      <c r="G130" s="3">
        <v>0</v>
      </c>
      <c r="H130" s="3">
        <v>721.54</v>
      </c>
      <c r="I130" s="3">
        <v>56.06</v>
      </c>
      <c r="J130" s="3">
        <v>0</v>
      </c>
      <c r="K130" s="3">
        <v>56.06</v>
      </c>
      <c r="L130" s="3">
        <v>56.08</v>
      </c>
      <c r="M130" s="3">
        <v>729</v>
      </c>
      <c r="N130" s="3">
        <v>56.08</v>
      </c>
      <c r="O130" s="3">
        <v>729</v>
      </c>
      <c r="P130" s="3" t="s">
        <v>32</v>
      </c>
      <c r="Q130" s="3" t="s">
        <v>33</v>
      </c>
      <c r="R130" s="3" t="s">
        <v>34</v>
      </c>
      <c r="S130" s="3">
        <v>0</v>
      </c>
      <c r="T130" s="3">
        <v>0</v>
      </c>
      <c r="U130" s="3">
        <v>0</v>
      </c>
      <c r="V130" s="3" t="s">
        <v>35</v>
      </c>
      <c r="W130" s="3" t="s">
        <v>35</v>
      </c>
      <c r="X130" s="3" t="s">
        <v>35</v>
      </c>
      <c r="Y130" s="3" t="s">
        <v>35</v>
      </c>
      <c r="Z130" s="3" t="s">
        <v>35</v>
      </c>
      <c r="AA130" s="3" t="s">
        <v>35</v>
      </c>
    </row>
    <row r="131" s="3" customFormat="1" spans="1:27">
      <c r="A131" s="3" t="s">
        <v>112</v>
      </c>
      <c r="B131" s="3" t="s">
        <v>30</v>
      </c>
      <c r="C131" s="3">
        <v>19660251</v>
      </c>
      <c r="D131" s="13" t="s">
        <v>143</v>
      </c>
      <c r="E131" s="16">
        <v>45984.3841435185</v>
      </c>
      <c r="F131" s="3">
        <v>7538.25</v>
      </c>
      <c r="G131" s="3">
        <v>1.23</v>
      </c>
      <c r="H131" s="3">
        <v>7537.02</v>
      </c>
      <c r="I131" s="3">
        <v>205.36</v>
      </c>
      <c r="J131" s="3">
        <v>1.23</v>
      </c>
      <c r="K131" s="3">
        <v>204.17</v>
      </c>
      <c r="L131" s="3">
        <v>1092.62</v>
      </c>
      <c r="M131" s="3">
        <v>14204</v>
      </c>
      <c r="N131" s="3">
        <v>677.69</v>
      </c>
      <c r="O131" s="3">
        <v>8810</v>
      </c>
      <c r="P131" s="3" t="s">
        <v>32</v>
      </c>
      <c r="Q131" s="3" t="s">
        <v>42</v>
      </c>
      <c r="R131" s="3" t="s">
        <v>34</v>
      </c>
      <c r="S131" s="3">
        <v>0</v>
      </c>
      <c r="T131" s="3">
        <v>0</v>
      </c>
      <c r="U131" s="3">
        <v>0</v>
      </c>
      <c r="V131" s="3" t="s">
        <v>35</v>
      </c>
      <c r="W131" s="3" t="s">
        <v>35</v>
      </c>
      <c r="X131" s="3" t="s">
        <v>35</v>
      </c>
      <c r="Y131" s="3" t="s">
        <v>35</v>
      </c>
      <c r="Z131" s="3" t="s">
        <v>35</v>
      </c>
      <c r="AA131" s="3" t="s">
        <v>35</v>
      </c>
    </row>
    <row r="132" s="3" customFormat="1" spans="1:27">
      <c r="A132" s="3" t="s">
        <v>112</v>
      </c>
      <c r="B132" s="3" t="s">
        <v>30</v>
      </c>
      <c r="C132" s="3">
        <v>18294781</v>
      </c>
      <c r="D132" s="13" t="s">
        <v>144</v>
      </c>
      <c r="E132" s="16">
        <v>45903.5051851852</v>
      </c>
      <c r="F132" s="3">
        <v>16353.02</v>
      </c>
      <c r="G132" s="3">
        <v>0</v>
      </c>
      <c r="H132" s="3">
        <v>16353.02</v>
      </c>
      <c r="I132" s="3">
        <v>462.89</v>
      </c>
      <c r="J132" s="3">
        <v>-0.14</v>
      </c>
      <c r="K132" s="3">
        <v>463.03</v>
      </c>
      <c r="L132" s="3">
        <v>2660.77</v>
      </c>
      <c r="M132" s="3">
        <v>34590</v>
      </c>
      <c r="N132" s="3">
        <v>2660.77</v>
      </c>
      <c r="O132" s="3">
        <v>34590</v>
      </c>
      <c r="P132" s="3" t="s">
        <v>41</v>
      </c>
      <c r="Q132" s="3" t="s">
        <v>42</v>
      </c>
      <c r="R132" s="3" t="s">
        <v>34</v>
      </c>
      <c r="S132" s="3">
        <v>0</v>
      </c>
      <c r="T132" s="3">
        <v>0</v>
      </c>
      <c r="U132" s="3">
        <v>0</v>
      </c>
      <c r="V132" s="3" t="s">
        <v>35</v>
      </c>
      <c r="W132" s="3" t="s">
        <v>35</v>
      </c>
      <c r="X132" s="3" t="s">
        <v>35</v>
      </c>
      <c r="Y132" s="3" t="s">
        <v>35</v>
      </c>
      <c r="Z132" s="3" t="s">
        <v>35</v>
      </c>
      <c r="AA132" s="3" t="s">
        <v>35</v>
      </c>
    </row>
    <row r="133" s="3" customFormat="1" spans="1:27">
      <c r="A133" s="3" t="s">
        <v>145</v>
      </c>
      <c r="B133" s="3" t="s">
        <v>30</v>
      </c>
      <c r="C133" s="3">
        <v>5048000</v>
      </c>
      <c r="D133" s="13">
        <v>233201683310</v>
      </c>
      <c r="E133" s="16">
        <v>44389.2734722222</v>
      </c>
      <c r="F133" s="3">
        <v>679.54</v>
      </c>
      <c r="G133" s="3">
        <v>1.31</v>
      </c>
      <c r="H133" s="3">
        <v>678.23</v>
      </c>
      <c r="I133" s="3">
        <v>-10.91</v>
      </c>
      <c r="J133" s="3">
        <v>1.31</v>
      </c>
      <c r="K133" s="3">
        <v>-12.22</v>
      </c>
      <c r="L133" s="3">
        <v>65.92</v>
      </c>
      <c r="M133" s="3">
        <v>857</v>
      </c>
      <c r="N133" s="3">
        <v>58.23</v>
      </c>
      <c r="O133" s="3">
        <v>756.99</v>
      </c>
      <c r="P133" s="3" t="s">
        <v>41</v>
      </c>
      <c r="Q133" s="3" t="s">
        <v>33</v>
      </c>
      <c r="R133" s="3" t="s">
        <v>146</v>
      </c>
      <c r="S133" s="3">
        <v>0</v>
      </c>
      <c r="T133" s="3">
        <v>0</v>
      </c>
      <c r="U133" s="3">
        <v>0</v>
      </c>
      <c r="V133" s="3" t="s">
        <v>35</v>
      </c>
      <c r="W133" s="3" t="s">
        <v>35</v>
      </c>
      <c r="X133" s="3" t="s">
        <v>35</v>
      </c>
      <c r="Y133" s="3" t="s">
        <v>35</v>
      </c>
      <c r="Z133" s="3" t="s">
        <v>35</v>
      </c>
      <c r="AA133" s="3" t="s">
        <v>35</v>
      </c>
    </row>
    <row r="134" s="3" customFormat="1" spans="1:27">
      <c r="A134" s="3" t="s">
        <v>145</v>
      </c>
      <c r="B134" s="3" t="s">
        <v>30</v>
      </c>
      <c r="C134" s="3">
        <v>22742231</v>
      </c>
      <c r="D134" s="13">
        <v>233201775602</v>
      </c>
      <c r="E134" s="16">
        <v>46148.1133564815</v>
      </c>
      <c r="F134" s="3">
        <v>363.04</v>
      </c>
      <c r="G134" s="3">
        <v>0</v>
      </c>
      <c r="H134" s="3">
        <v>363.04</v>
      </c>
      <c r="I134" s="3">
        <v>46.83</v>
      </c>
      <c r="J134" s="3">
        <v>-0.17</v>
      </c>
      <c r="K134" s="3">
        <v>47</v>
      </c>
      <c r="L134" s="3">
        <v>112.92</v>
      </c>
      <c r="M134" s="3">
        <v>1468</v>
      </c>
      <c r="N134" s="3">
        <v>112.92</v>
      </c>
      <c r="O134" s="3">
        <v>1467.96</v>
      </c>
      <c r="P134" s="3" t="s">
        <v>41</v>
      </c>
      <c r="Q134" s="3" t="s">
        <v>33</v>
      </c>
      <c r="R134" s="3" t="s">
        <v>146</v>
      </c>
      <c r="S134" s="3">
        <v>0</v>
      </c>
      <c r="T134" s="3">
        <v>0</v>
      </c>
      <c r="U134" s="3">
        <v>0</v>
      </c>
      <c r="V134" s="3" t="s">
        <v>35</v>
      </c>
      <c r="W134" s="3" t="s">
        <v>35</v>
      </c>
      <c r="X134" s="3" t="s">
        <v>35</v>
      </c>
      <c r="Y134" s="3" t="s">
        <v>35</v>
      </c>
      <c r="Z134" s="3" t="s">
        <v>35</v>
      </c>
      <c r="AA134" s="3" t="s">
        <v>35</v>
      </c>
    </row>
    <row r="135" s="3" customFormat="1" spans="1:27">
      <c r="A135" s="3" t="s">
        <v>145</v>
      </c>
      <c r="B135" s="3" t="s">
        <v>30</v>
      </c>
      <c r="C135" s="3">
        <v>17577170</v>
      </c>
      <c r="D135" s="13">
        <v>233207394944</v>
      </c>
      <c r="E135" s="16">
        <v>45863.7105324074</v>
      </c>
      <c r="F135" s="3">
        <v>8101.79</v>
      </c>
      <c r="G135" s="3">
        <v>0</v>
      </c>
      <c r="H135" s="3">
        <v>8101.79</v>
      </c>
      <c r="I135" s="3">
        <v>40.46</v>
      </c>
      <c r="J135" s="3">
        <v>0</v>
      </c>
      <c r="K135" s="3">
        <v>40.46</v>
      </c>
      <c r="L135" s="3">
        <v>1418.69</v>
      </c>
      <c r="M135" s="3">
        <v>18443</v>
      </c>
      <c r="N135" s="3">
        <v>603.54</v>
      </c>
      <c r="O135" s="3">
        <v>7846.02</v>
      </c>
      <c r="P135" s="3" t="s">
        <v>41</v>
      </c>
      <c r="Q135" s="3" t="s">
        <v>42</v>
      </c>
      <c r="R135" s="3" t="s">
        <v>146</v>
      </c>
      <c r="S135" s="3">
        <v>0</v>
      </c>
      <c r="T135" s="3">
        <v>0</v>
      </c>
      <c r="U135" s="3">
        <v>0</v>
      </c>
      <c r="V135" s="3" t="s">
        <v>35</v>
      </c>
      <c r="W135" s="3" t="s">
        <v>35</v>
      </c>
      <c r="X135" s="3" t="s">
        <v>35</v>
      </c>
      <c r="Y135" s="3" t="s">
        <v>35</v>
      </c>
      <c r="Z135" s="3" t="s">
        <v>35</v>
      </c>
      <c r="AA135" s="3" t="s">
        <v>35</v>
      </c>
    </row>
    <row r="136" s="3" customFormat="1" spans="1:27">
      <c r="A136" s="3" t="s">
        <v>145</v>
      </c>
      <c r="B136" s="3" t="s">
        <v>30</v>
      </c>
      <c r="C136" s="3">
        <v>16634140</v>
      </c>
      <c r="D136" s="13">
        <v>233209260780</v>
      </c>
      <c r="E136" s="16">
        <v>45786.6618171296</v>
      </c>
      <c r="F136" s="3">
        <v>7410.92</v>
      </c>
      <c r="G136" s="3">
        <v>1.08</v>
      </c>
      <c r="H136" s="3">
        <v>7409.85</v>
      </c>
      <c r="I136" s="3">
        <v>336.59</v>
      </c>
      <c r="J136" s="3">
        <v>-0.16</v>
      </c>
      <c r="K136" s="3">
        <v>336.75</v>
      </c>
      <c r="L136" s="3">
        <v>725.31</v>
      </c>
      <c r="M136" s="3">
        <v>9429</v>
      </c>
      <c r="N136" s="3">
        <v>1450.62</v>
      </c>
      <c r="O136" s="3">
        <v>18858.06</v>
      </c>
      <c r="P136" s="3" t="s">
        <v>41</v>
      </c>
      <c r="Q136" s="3" t="s">
        <v>33</v>
      </c>
      <c r="R136" s="3" t="s">
        <v>146</v>
      </c>
      <c r="S136" s="3">
        <v>0</v>
      </c>
      <c r="T136" s="3">
        <v>0</v>
      </c>
      <c r="U136" s="3">
        <v>0</v>
      </c>
      <c r="V136" s="3" t="s">
        <v>35</v>
      </c>
      <c r="W136" s="3" t="s">
        <v>35</v>
      </c>
      <c r="X136" s="3" t="s">
        <v>35</v>
      </c>
      <c r="Y136" s="3" t="s">
        <v>35</v>
      </c>
      <c r="Z136" s="3" t="s">
        <v>35</v>
      </c>
      <c r="AA136" s="3" t="s">
        <v>35</v>
      </c>
    </row>
    <row r="137" s="3" customFormat="1" spans="1:27">
      <c r="A137" s="3" t="s">
        <v>145</v>
      </c>
      <c r="B137" s="3" t="s">
        <v>30</v>
      </c>
      <c r="C137" s="3">
        <v>19614452</v>
      </c>
      <c r="D137" s="13">
        <v>233242720495</v>
      </c>
      <c r="E137" s="16">
        <v>45982.2324305556</v>
      </c>
      <c r="F137" s="3">
        <v>290.68</v>
      </c>
      <c r="G137" s="3">
        <v>0</v>
      </c>
      <c r="H137" s="3">
        <v>290.68</v>
      </c>
      <c r="I137" s="3">
        <v>27.82</v>
      </c>
      <c r="J137" s="3">
        <v>0</v>
      </c>
      <c r="K137" s="3">
        <v>27.82</v>
      </c>
      <c r="L137" s="3">
        <v>58.62</v>
      </c>
      <c r="M137" s="3">
        <v>762</v>
      </c>
      <c r="N137" s="3">
        <v>58.62</v>
      </c>
      <c r="O137" s="3">
        <v>762.06</v>
      </c>
      <c r="P137" s="3" t="s">
        <v>32</v>
      </c>
      <c r="Q137" s="3" t="s">
        <v>33</v>
      </c>
      <c r="R137" s="3" t="s">
        <v>146</v>
      </c>
      <c r="S137" s="3">
        <v>0</v>
      </c>
      <c r="T137" s="3">
        <v>0</v>
      </c>
      <c r="U137" s="3">
        <v>0</v>
      </c>
      <c r="V137" s="3" t="s">
        <v>35</v>
      </c>
      <c r="W137" s="3" t="s">
        <v>35</v>
      </c>
      <c r="X137" s="3" t="s">
        <v>35</v>
      </c>
      <c r="Y137" s="3" t="s">
        <v>35</v>
      </c>
      <c r="Z137" s="3" t="s">
        <v>35</v>
      </c>
      <c r="AA137" s="3" t="s">
        <v>35</v>
      </c>
    </row>
    <row r="138" s="3" customFormat="1" spans="1:27">
      <c r="A138" s="3" t="s">
        <v>145</v>
      </c>
      <c r="B138" s="3" t="s">
        <v>30</v>
      </c>
      <c r="C138" s="3">
        <v>22846240</v>
      </c>
      <c r="D138" s="13">
        <v>233243016610</v>
      </c>
      <c r="E138" s="16">
        <v>46155.4651967593</v>
      </c>
      <c r="F138" s="3">
        <v>815.73</v>
      </c>
      <c r="G138" s="3">
        <v>0</v>
      </c>
      <c r="H138" s="3">
        <v>815.73</v>
      </c>
      <c r="I138" s="3">
        <v>254.2</v>
      </c>
      <c r="J138" s="3">
        <v>0</v>
      </c>
      <c r="K138" s="3">
        <v>254.2</v>
      </c>
      <c r="L138" s="3">
        <v>408.08</v>
      </c>
      <c r="M138" s="3">
        <v>5305</v>
      </c>
      <c r="N138" s="3">
        <v>408.08</v>
      </c>
      <c r="O138" s="3">
        <v>5305.04</v>
      </c>
      <c r="P138" s="3" t="s">
        <v>41</v>
      </c>
      <c r="Q138" s="3" t="s">
        <v>33</v>
      </c>
      <c r="R138" s="3" t="s">
        <v>146</v>
      </c>
      <c r="S138" s="3">
        <v>0</v>
      </c>
      <c r="T138" s="3">
        <v>0</v>
      </c>
      <c r="U138" s="3">
        <v>0</v>
      </c>
      <c r="V138" s="3" t="s">
        <v>35</v>
      </c>
      <c r="W138" s="3" t="s">
        <v>35</v>
      </c>
      <c r="X138" s="3" t="s">
        <v>35</v>
      </c>
      <c r="Y138" s="3" t="s">
        <v>35</v>
      </c>
      <c r="Z138" s="3" t="s">
        <v>35</v>
      </c>
      <c r="AA138" s="3" t="s">
        <v>35</v>
      </c>
    </row>
    <row r="139" s="3" customFormat="1" spans="1:27">
      <c r="A139" s="3" t="s">
        <v>145</v>
      </c>
      <c r="B139" s="3" t="s">
        <v>30</v>
      </c>
      <c r="C139" s="3">
        <v>11448881</v>
      </c>
      <c r="D139" s="13">
        <v>233243243365</v>
      </c>
      <c r="E139" s="16">
        <v>45253.5205208333</v>
      </c>
      <c r="F139" s="3">
        <v>53237.08</v>
      </c>
      <c r="G139" s="3">
        <v>6.29</v>
      </c>
      <c r="H139" s="3">
        <v>53230.78</v>
      </c>
      <c r="I139" s="3">
        <v>2653.82</v>
      </c>
      <c r="J139" s="3">
        <v>6.29</v>
      </c>
      <c r="K139" s="3">
        <v>2647.53</v>
      </c>
      <c r="L139" s="3">
        <v>6053.23</v>
      </c>
      <c r="M139" s="3">
        <v>78692</v>
      </c>
      <c r="N139" s="3">
        <v>988.69</v>
      </c>
      <c r="O139" s="3">
        <v>12852.97</v>
      </c>
      <c r="P139" s="3" t="s">
        <v>41</v>
      </c>
      <c r="Q139" s="3" t="s">
        <v>42</v>
      </c>
      <c r="R139" s="3" t="s">
        <v>146</v>
      </c>
      <c r="S139" s="3">
        <v>0</v>
      </c>
      <c r="T139" s="3">
        <v>0</v>
      </c>
      <c r="U139" s="3">
        <v>1</v>
      </c>
      <c r="V139" s="3">
        <v>1</v>
      </c>
      <c r="W139" s="3" t="s">
        <v>35</v>
      </c>
      <c r="X139" s="3" t="s">
        <v>35</v>
      </c>
      <c r="Y139" s="3" t="s">
        <v>35</v>
      </c>
      <c r="Z139" s="3" t="s">
        <v>35</v>
      </c>
      <c r="AA139" s="3" t="s">
        <v>35</v>
      </c>
    </row>
    <row r="140" s="3" customFormat="1" spans="1:27">
      <c r="A140" s="3" t="s">
        <v>145</v>
      </c>
      <c r="B140" s="3" t="s">
        <v>30</v>
      </c>
      <c r="C140" s="3">
        <v>18935441</v>
      </c>
      <c r="D140" s="13">
        <v>233244893284</v>
      </c>
      <c r="E140" s="16">
        <v>45944.0608101852</v>
      </c>
      <c r="F140" s="3">
        <v>4491.57</v>
      </c>
      <c r="G140" s="3">
        <v>3.86</v>
      </c>
      <c r="H140" s="3">
        <v>4487.71</v>
      </c>
      <c r="I140" s="3">
        <v>-78.01</v>
      </c>
      <c r="J140" s="3">
        <v>3.86</v>
      </c>
      <c r="K140" s="3">
        <v>-81.88</v>
      </c>
      <c r="L140" s="3">
        <v>1759.08</v>
      </c>
      <c r="M140" s="3">
        <v>22868</v>
      </c>
      <c r="N140" s="3">
        <v>1707.15</v>
      </c>
      <c r="O140" s="3">
        <v>22192.95</v>
      </c>
      <c r="P140" s="3" t="s">
        <v>41</v>
      </c>
      <c r="Q140" s="3" t="s">
        <v>42</v>
      </c>
      <c r="R140" s="3" t="s">
        <v>146</v>
      </c>
      <c r="S140" s="3">
        <v>0</v>
      </c>
      <c r="T140" s="3">
        <v>0</v>
      </c>
      <c r="U140" s="3">
        <v>0</v>
      </c>
      <c r="V140" s="3" t="s">
        <v>35</v>
      </c>
      <c r="W140" s="3" t="s">
        <v>35</v>
      </c>
      <c r="X140" s="3" t="s">
        <v>35</v>
      </c>
      <c r="Y140" s="3" t="s">
        <v>35</v>
      </c>
      <c r="Z140" s="3" t="s">
        <v>35</v>
      </c>
      <c r="AA140" s="3" t="s">
        <v>35</v>
      </c>
    </row>
    <row r="141" s="3" customFormat="1" spans="1:27">
      <c r="A141" s="3" t="s">
        <v>145</v>
      </c>
      <c r="B141" s="3" t="s">
        <v>30</v>
      </c>
      <c r="C141" s="3">
        <v>17945461</v>
      </c>
      <c r="D141" s="13">
        <v>233245294616</v>
      </c>
      <c r="E141" s="16">
        <v>45884.3127662037</v>
      </c>
      <c r="F141" s="3">
        <v>136.6</v>
      </c>
      <c r="G141" s="3">
        <v>0</v>
      </c>
      <c r="H141" s="3">
        <v>136.6</v>
      </c>
      <c r="I141" s="3">
        <v>0.2</v>
      </c>
      <c r="J141" s="3">
        <v>-0.21</v>
      </c>
      <c r="K141" s="3">
        <v>0.42</v>
      </c>
      <c r="L141" s="3">
        <v>82.15</v>
      </c>
      <c r="M141" s="3">
        <v>1068</v>
      </c>
      <c r="N141" s="3">
        <v>14.92</v>
      </c>
      <c r="O141" s="3">
        <v>193.96</v>
      </c>
      <c r="P141" s="3" t="s">
        <v>32</v>
      </c>
      <c r="Q141" s="3" t="s">
        <v>33</v>
      </c>
      <c r="R141" s="3" t="s">
        <v>146</v>
      </c>
      <c r="S141" s="3">
        <v>0</v>
      </c>
      <c r="T141" s="3">
        <v>0</v>
      </c>
      <c r="U141" s="3">
        <v>0</v>
      </c>
      <c r="V141" s="3" t="s">
        <v>35</v>
      </c>
      <c r="W141" s="3" t="s">
        <v>35</v>
      </c>
      <c r="X141" s="3" t="s">
        <v>35</v>
      </c>
      <c r="Y141" s="3" t="s">
        <v>35</v>
      </c>
      <c r="Z141" s="3" t="s">
        <v>35</v>
      </c>
      <c r="AA141" s="3" t="s">
        <v>35</v>
      </c>
    </row>
    <row r="142" s="3" customFormat="1" spans="1:27">
      <c r="A142" s="3" t="s">
        <v>145</v>
      </c>
      <c r="B142" s="3" t="s">
        <v>30</v>
      </c>
      <c r="C142" s="3">
        <v>19631921</v>
      </c>
      <c r="D142" s="13">
        <v>233245616781</v>
      </c>
      <c r="E142" s="16">
        <v>45982.8903240741</v>
      </c>
      <c r="F142" s="3">
        <v>264.55</v>
      </c>
      <c r="G142" s="3">
        <v>11</v>
      </c>
      <c r="H142" s="3">
        <v>253.55</v>
      </c>
      <c r="I142" s="3">
        <v>13.51</v>
      </c>
      <c r="J142" s="3">
        <v>3.75</v>
      </c>
      <c r="K142" s="3">
        <v>9.76</v>
      </c>
      <c r="L142" s="3">
        <v>78.31</v>
      </c>
      <c r="M142" s="3">
        <v>1018</v>
      </c>
      <c r="N142" s="3">
        <v>25.38</v>
      </c>
      <c r="O142" s="3">
        <v>329.94</v>
      </c>
      <c r="P142" s="3" t="s">
        <v>32</v>
      </c>
      <c r="Q142" s="3" t="s">
        <v>33</v>
      </c>
      <c r="R142" s="3" t="s">
        <v>146</v>
      </c>
      <c r="S142" s="3">
        <v>0</v>
      </c>
      <c r="T142" s="3">
        <v>0</v>
      </c>
      <c r="U142" s="3">
        <v>0</v>
      </c>
      <c r="V142" s="3" t="s">
        <v>35</v>
      </c>
      <c r="W142" s="3" t="s">
        <v>35</v>
      </c>
      <c r="X142" s="3" t="s">
        <v>35</v>
      </c>
      <c r="Y142" s="3" t="s">
        <v>35</v>
      </c>
      <c r="Z142" s="3" t="s">
        <v>35</v>
      </c>
      <c r="AA142" s="3" t="s">
        <v>35</v>
      </c>
    </row>
    <row r="143" s="3" customFormat="1" spans="1:27">
      <c r="A143" s="3" t="s">
        <v>145</v>
      </c>
      <c r="B143" s="3" t="s">
        <v>30</v>
      </c>
      <c r="C143" s="3">
        <v>19766812</v>
      </c>
      <c r="D143" s="13">
        <v>233247657338</v>
      </c>
      <c r="E143" s="16">
        <v>45989.4212037037</v>
      </c>
      <c r="F143" s="3">
        <v>2705.57</v>
      </c>
      <c r="G143" s="3">
        <v>3.62</v>
      </c>
      <c r="H143" s="3">
        <v>2701.96</v>
      </c>
      <c r="I143" s="3">
        <v>-226.12</v>
      </c>
      <c r="J143" s="3">
        <v>3.53</v>
      </c>
      <c r="K143" s="3">
        <v>-229.65</v>
      </c>
      <c r="L143" s="3">
        <v>905.38</v>
      </c>
      <c r="M143" s="3">
        <v>11770</v>
      </c>
      <c r="N143" s="3">
        <v>0</v>
      </c>
      <c r="O143" s="3">
        <v>0</v>
      </c>
      <c r="P143" s="3" t="s">
        <v>32</v>
      </c>
      <c r="Q143" s="3" t="s">
        <v>33</v>
      </c>
      <c r="R143" s="3" t="s">
        <v>146</v>
      </c>
      <c r="S143" s="3">
        <v>0</v>
      </c>
      <c r="T143" s="3">
        <v>0</v>
      </c>
      <c r="U143" s="3">
        <v>0</v>
      </c>
      <c r="V143" s="3" t="s">
        <v>35</v>
      </c>
      <c r="W143" s="3" t="s">
        <v>35</v>
      </c>
      <c r="X143" s="3" t="s">
        <v>35</v>
      </c>
      <c r="Y143" s="3" t="s">
        <v>35</v>
      </c>
      <c r="Z143" s="3" t="s">
        <v>35</v>
      </c>
      <c r="AA143" s="3" t="s">
        <v>35</v>
      </c>
    </row>
    <row r="144" s="3" customFormat="1" spans="1:27">
      <c r="A144" s="3" t="s">
        <v>145</v>
      </c>
      <c r="B144" s="3" t="s">
        <v>30</v>
      </c>
      <c r="C144" s="3">
        <v>22679150</v>
      </c>
      <c r="D144" s="13">
        <v>233247904073</v>
      </c>
      <c r="E144" s="16">
        <v>46142.8920601852</v>
      </c>
      <c r="F144" s="3">
        <v>849</v>
      </c>
      <c r="G144" s="3">
        <v>0</v>
      </c>
      <c r="H144" s="3">
        <v>849</v>
      </c>
      <c r="I144" s="3">
        <v>39.69</v>
      </c>
      <c r="J144" s="3">
        <v>0</v>
      </c>
      <c r="K144" s="3">
        <v>39.69</v>
      </c>
      <c r="L144" s="3">
        <v>162.85</v>
      </c>
      <c r="M144" s="3">
        <v>2117</v>
      </c>
      <c r="N144" s="3">
        <v>162.85</v>
      </c>
      <c r="O144" s="3">
        <v>2117.05</v>
      </c>
      <c r="P144" s="3" t="s">
        <v>32</v>
      </c>
      <c r="Q144" s="3" t="s">
        <v>33</v>
      </c>
      <c r="R144" s="3" t="s">
        <v>146</v>
      </c>
      <c r="S144" s="3">
        <v>0</v>
      </c>
      <c r="T144" s="3">
        <v>0</v>
      </c>
      <c r="U144" s="3">
        <v>0</v>
      </c>
      <c r="V144" s="3" t="s">
        <v>35</v>
      </c>
      <c r="W144" s="3" t="s">
        <v>35</v>
      </c>
      <c r="X144" s="3" t="s">
        <v>35</v>
      </c>
      <c r="Y144" s="3" t="s">
        <v>35</v>
      </c>
      <c r="Z144" s="3" t="s">
        <v>35</v>
      </c>
      <c r="AA144" s="3" t="s">
        <v>35</v>
      </c>
    </row>
    <row r="145" s="3" customFormat="1" spans="1:27">
      <c r="A145" s="3" t="s">
        <v>145</v>
      </c>
      <c r="B145" s="3" t="s">
        <v>30</v>
      </c>
      <c r="C145" s="3">
        <v>20788561</v>
      </c>
      <c r="D145" s="13">
        <v>233256634713</v>
      </c>
      <c r="E145" s="16">
        <v>46038.510775463</v>
      </c>
      <c r="F145" s="3">
        <v>654.61</v>
      </c>
      <c r="G145" s="3">
        <v>2.69</v>
      </c>
      <c r="H145" s="3">
        <v>651.92</v>
      </c>
      <c r="I145" s="3">
        <v>33.38</v>
      </c>
      <c r="J145" s="3">
        <v>2.69</v>
      </c>
      <c r="K145" s="3">
        <v>30.69</v>
      </c>
      <c r="L145" s="3">
        <v>88.69</v>
      </c>
      <c r="M145" s="3">
        <v>1153</v>
      </c>
      <c r="N145" s="3">
        <v>0</v>
      </c>
      <c r="O145" s="3">
        <v>0</v>
      </c>
      <c r="P145" s="3" t="s">
        <v>41</v>
      </c>
      <c r="Q145" s="3" t="s">
        <v>33</v>
      </c>
      <c r="R145" s="3" t="s">
        <v>146</v>
      </c>
      <c r="S145" s="3">
        <v>0</v>
      </c>
      <c r="T145" s="3">
        <v>0</v>
      </c>
      <c r="U145" s="3">
        <v>0</v>
      </c>
      <c r="V145" s="3" t="s">
        <v>35</v>
      </c>
      <c r="W145" s="3" t="s">
        <v>35</v>
      </c>
      <c r="X145" s="3" t="s">
        <v>35</v>
      </c>
      <c r="Y145" s="3" t="s">
        <v>35</v>
      </c>
      <c r="Z145" s="3" t="s">
        <v>35</v>
      </c>
      <c r="AA145" s="3" t="s">
        <v>35</v>
      </c>
    </row>
    <row r="146" s="3" customFormat="1" spans="1:27">
      <c r="A146" s="3" t="s">
        <v>145</v>
      </c>
      <c r="B146" s="3" t="s">
        <v>30</v>
      </c>
      <c r="C146" s="3">
        <v>18467342</v>
      </c>
      <c r="D146" s="13">
        <v>233275324742</v>
      </c>
      <c r="E146" s="16">
        <v>45913.7696527778</v>
      </c>
      <c r="F146" s="3">
        <v>1628.01</v>
      </c>
      <c r="G146" s="3">
        <v>1.54</v>
      </c>
      <c r="H146" s="3">
        <v>1626.48</v>
      </c>
      <c r="I146" s="3">
        <v>67.11</v>
      </c>
      <c r="J146" s="3">
        <v>1.34</v>
      </c>
      <c r="K146" s="3">
        <v>65.78</v>
      </c>
      <c r="L146" s="3">
        <v>268.54</v>
      </c>
      <c r="M146" s="3">
        <v>3491</v>
      </c>
      <c r="N146" s="3">
        <v>0</v>
      </c>
      <c r="O146" s="3">
        <v>0</v>
      </c>
      <c r="P146" s="3" t="s">
        <v>41</v>
      </c>
      <c r="Q146" s="3" t="s">
        <v>33</v>
      </c>
      <c r="R146" s="3" t="s">
        <v>146</v>
      </c>
      <c r="S146" s="3">
        <v>0</v>
      </c>
      <c r="T146" s="3">
        <v>0</v>
      </c>
      <c r="U146" s="3">
        <v>0</v>
      </c>
      <c r="V146" s="3" t="s">
        <v>35</v>
      </c>
      <c r="W146" s="3" t="s">
        <v>35</v>
      </c>
      <c r="X146" s="3" t="s">
        <v>35</v>
      </c>
      <c r="Y146" s="3" t="s">
        <v>35</v>
      </c>
      <c r="Z146" s="3" t="s">
        <v>35</v>
      </c>
      <c r="AA146" s="3" t="s">
        <v>35</v>
      </c>
    </row>
    <row r="147" s="3" customFormat="1" spans="1:27">
      <c r="A147" s="3" t="s">
        <v>145</v>
      </c>
      <c r="B147" s="3" t="s">
        <v>30</v>
      </c>
      <c r="C147" s="3">
        <v>17052492</v>
      </c>
      <c r="D147" s="13">
        <v>233503441168</v>
      </c>
      <c r="E147" s="16">
        <v>45826.7431944444</v>
      </c>
      <c r="F147" s="3">
        <v>176.96</v>
      </c>
      <c r="G147" s="3">
        <v>0</v>
      </c>
      <c r="H147" s="3">
        <v>176.96</v>
      </c>
      <c r="I147" s="3">
        <v>80.92</v>
      </c>
      <c r="J147" s="3">
        <v>0</v>
      </c>
      <c r="K147" s="3">
        <v>80.92</v>
      </c>
      <c r="L147" s="3">
        <v>80.92</v>
      </c>
      <c r="M147" s="3">
        <v>1052</v>
      </c>
      <c r="N147" s="3">
        <v>0</v>
      </c>
      <c r="O147" s="3">
        <v>0</v>
      </c>
      <c r="P147" s="3" t="s">
        <v>41</v>
      </c>
      <c r="Q147" s="3" t="s">
        <v>33</v>
      </c>
      <c r="R147" s="3" t="s">
        <v>146</v>
      </c>
      <c r="S147" s="3">
        <v>0</v>
      </c>
      <c r="T147" s="3">
        <v>0</v>
      </c>
      <c r="U147" s="3">
        <v>0</v>
      </c>
      <c r="V147" s="3" t="s">
        <v>35</v>
      </c>
      <c r="W147" s="3" t="s">
        <v>35</v>
      </c>
      <c r="X147" s="3" t="s">
        <v>35</v>
      </c>
      <c r="Y147" s="3" t="s">
        <v>35</v>
      </c>
      <c r="Z147" s="3" t="s">
        <v>35</v>
      </c>
      <c r="AA147" s="3" t="s">
        <v>35</v>
      </c>
    </row>
    <row r="148" s="3" customFormat="1" spans="1:27">
      <c r="A148" s="3" t="s">
        <v>145</v>
      </c>
      <c r="B148" s="3" t="s">
        <v>30</v>
      </c>
      <c r="C148" s="3">
        <v>17523041</v>
      </c>
      <c r="D148" s="13">
        <v>233504756403</v>
      </c>
      <c r="E148" s="16">
        <v>45860.8709027778</v>
      </c>
      <c r="F148" s="3">
        <v>2023.17</v>
      </c>
      <c r="G148" s="3">
        <v>0</v>
      </c>
      <c r="H148" s="3">
        <v>2023.17</v>
      </c>
      <c r="I148" s="3">
        <v>60.05</v>
      </c>
      <c r="J148" s="3">
        <v>0</v>
      </c>
      <c r="K148" s="3">
        <v>60.05</v>
      </c>
      <c r="L148" s="3">
        <v>253.15</v>
      </c>
      <c r="M148" s="3">
        <v>3291</v>
      </c>
      <c r="N148" s="3">
        <v>245.85</v>
      </c>
      <c r="O148" s="3">
        <v>3196.05</v>
      </c>
      <c r="P148" s="3" t="s">
        <v>32</v>
      </c>
      <c r="Q148" s="3" t="s">
        <v>33</v>
      </c>
      <c r="R148" s="3" t="s">
        <v>146</v>
      </c>
      <c r="S148" s="3">
        <v>0</v>
      </c>
      <c r="T148" s="3">
        <v>0</v>
      </c>
      <c r="U148" s="3">
        <v>0</v>
      </c>
      <c r="V148" s="3" t="s">
        <v>35</v>
      </c>
      <c r="W148" s="3" t="s">
        <v>35</v>
      </c>
      <c r="X148" s="3" t="s">
        <v>35</v>
      </c>
      <c r="Y148" s="3" t="s">
        <v>35</v>
      </c>
      <c r="Z148" s="3" t="s">
        <v>35</v>
      </c>
      <c r="AA148" s="3" t="s">
        <v>35</v>
      </c>
    </row>
    <row r="149" s="3" customFormat="1" spans="1:27">
      <c r="A149" s="3" t="s">
        <v>145</v>
      </c>
      <c r="B149" s="3" t="s">
        <v>30</v>
      </c>
      <c r="C149" s="3">
        <v>21170082</v>
      </c>
      <c r="D149" s="13">
        <v>233530490066</v>
      </c>
      <c r="E149" s="16">
        <v>46059.0553472222</v>
      </c>
      <c r="F149" s="3">
        <v>1570.56</v>
      </c>
      <c r="G149" s="3">
        <v>46.45</v>
      </c>
      <c r="H149" s="3">
        <v>1524.11</v>
      </c>
      <c r="I149" s="3">
        <v>105.62</v>
      </c>
      <c r="J149" s="3">
        <v>15.93</v>
      </c>
      <c r="K149" s="3">
        <v>89.69</v>
      </c>
      <c r="L149" s="3">
        <v>596.85</v>
      </c>
      <c r="M149" s="3">
        <v>7759</v>
      </c>
      <c r="N149" s="3">
        <v>524.77</v>
      </c>
      <c r="O149" s="3">
        <v>6822.01</v>
      </c>
      <c r="P149" s="3" t="s">
        <v>41</v>
      </c>
      <c r="Q149" s="3" t="s">
        <v>33</v>
      </c>
      <c r="R149" s="3" t="s">
        <v>146</v>
      </c>
      <c r="S149" s="3">
        <v>0</v>
      </c>
      <c r="T149" s="3">
        <v>0</v>
      </c>
      <c r="U149" s="3">
        <v>0</v>
      </c>
      <c r="V149" s="3" t="s">
        <v>35</v>
      </c>
      <c r="W149" s="3" t="s">
        <v>35</v>
      </c>
      <c r="X149" s="3" t="s">
        <v>35</v>
      </c>
      <c r="Y149" s="3" t="s">
        <v>35</v>
      </c>
      <c r="Z149" s="3" t="s">
        <v>35</v>
      </c>
      <c r="AA149" s="3" t="s">
        <v>35</v>
      </c>
    </row>
    <row r="150" s="3" customFormat="1" spans="1:27">
      <c r="A150" s="3" t="s">
        <v>145</v>
      </c>
      <c r="B150" s="3" t="s">
        <v>30</v>
      </c>
      <c r="C150" s="3">
        <v>17359491</v>
      </c>
      <c r="D150" s="13">
        <v>233531263528</v>
      </c>
      <c r="E150" s="16">
        <v>45849.257337963</v>
      </c>
      <c r="F150" s="3">
        <v>528.77</v>
      </c>
      <c r="G150" s="3">
        <v>0</v>
      </c>
      <c r="H150" s="3">
        <v>528.77</v>
      </c>
      <c r="I150" s="3">
        <v>68.61</v>
      </c>
      <c r="J150" s="3">
        <v>0</v>
      </c>
      <c r="K150" s="3">
        <v>68.61</v>
      </c>
      <c r="L150" s="3">
        <v>212.46</v>
      </c>
      <c r="M150" s="3">
        <v>2762</v>
      </c>
      <c r="N150" s="3">
        <v>21.69</v>
      </c>
      <c r="O150" s="3">
        <v>281.97</v>
      </c>
      <c r="P150" s="3" t="s">
        <v>32</v>
      </c>
      <c r="Q150" s="3" t="s">
        <v>33</v>
      </c>
      <c r="R150" s="3" t="s">
        <v>146</v>
      </c>
      <c r="S150" s="3">
        <v>0</v>
      </c>
      <c r="T150" s="3">
        <v>0</v>
      </c>
      <c r="U150" s="3">
        <v>0</v>
      </c>
      <c r="V150" s="3" t="s">
        <v>35</v>
      </c>
      <c r="W150" s="3" t="s">
        <v>35</v>
      </c>
      <c r="X150" s="3" t="s">
        <v>35</v>
      </c>
      <c r="Y150" s="3" t="s">
        <v>35</v>
      </c>
      <c r="Z150" s="3" t="s">
        <v>35</v>
      </c>
      <c r="AA150" s="3" t="s">
        <v>35</v>
      </c>
    </row>
    <row r="151" s="3" customFormat="1" spans="1:27">
      <c r="A151" s="3" t="s">
        <v>145</v>
      </c>
      <c r="B151" s="3" t="s">
        <v>30</v>
      </c>
      <c r="C151" s="3">
        <v>18736972</v>
      </c>
      <c r="D151" s="13">
        <v>233531781196</v>
      </c>
      <c r="E151" s="16">
        <v>45931.0746412037</v>
      </c>
      <c r="F151" s="3">
        <v>15743.49</v>
      </c>
      <c r="G151" s="3">
        <v>0.23</v>
      </c>
      <c r="H151" s="3">
        <v>15743.26</v>
      </c>
      <c r="I151" s="3">
        <v>844.06</v>
      </c>
      <c r="J151" s="3">
        <v>0.14</v>
      </c>
      <c r="K151" s="3">
        <v>843.92</v>
      </c>
      <c r="L151" s="3">
        <v>2297</v>
      </c>
      <c r="M151" s="3">
        <v>29861</v>
      </c>
      <c r="N151" s="3">
        <v>2269.23</v>
      </c>
      <c r="O151" s="3">
        <v>29499.99</v>
      </c>
      <c r="P151" s="3" t="s">
        <v>32</v>
      </c>
      <c r="Q151" s="3" t="s">
        <v>42</v>
      </c>
      <c r="R151" s="3" t="s">
        <v>146</v>
      </c>
      <c r="S151" s="3">
        <v>0</v>
      </c>
      <c r="T151" s="3">
        <v>0</v>
      </c>
      <c r="U151" s="3">
        <v>0</v>
      </c>
      <c r="V151" s="3" t="s">
        <v>35</v>
      </c>
      <c r="W151" s="3" t="s">
        <v>35</v>
      </c>
      <c r="X151" s="3" t="s">
        <v>35</v>
      </c>
      <c r="Y151" s="3" t="s">
        <v>35</v>
      </c>
      <c r="Z151" s="3" t="s">
        <v>35</v>
      </c>
      <c r="AA151" s="3" t="s">
        <v>35</v>
      </c>
    </row>
    <row r="152" s="3" customFormat="1" spans="1:27">
      <c r="A152" s="3" t="s">
        <v>145</v>
      </c>
      <c r="B152" s="3" t="s">
        <v>30</v>
      </c>
      <c r="C152" s="3">
        <v>19036941</v>
      </c>
      <c r="D152" s="13">
        <v>233532653605</v>
      </c>
      <c r="E152" s="16">
        <v>45950.8210069444</v>
      </c>
      <c r="F152" s="3">
        <v>679.48</v>
      </c>
      <c r="G152" s="3">
        <v>0.8</v>
      </c>
      <c r="H152" s="3">
        <v>678.68</v>
      </c>
      <c r="I152" s="3">
        <v>107.74</v>
      </c>
      <c r="J152" s="3">
        <v>0.8</v>
      </c>
      <c r="K152" s="3">
        <v>106.94</v>
      </c>
      <c r="L152" s="3">
        <v>324.77</v>
      </c>
      <c r="M152" s="3">
        <v>4222</v>
      </c>
      <c r="N152" s="3">
        <v>48.15</v>
      </c>
      <c r="O152" s="3">
        <v>625.95</v>
      </c>
      <c r="P152" s="3" t="s">
        <v>32</v>
      </c>
      <c r="Q152" s="3" t="s">
        <v>33</v>
      </c>
      <c r="R152" s="3" t="s">
        <v>146</v>
      </c>
      <c r="S152" s="3">
        <v>0</v>
      </c>
      <c r="T152" s="3">
        <v>0</v>
      </c>
      <c r="U152" s="3">
        <v>0</v>
      </c>
      <c r="V152" s="3" t="s">
        <v>35</v>
      </c>
      <c r="W152" s="3" t="s">
        <v>35</v>
      </c>
      <c r="X152" s="3" t="s">
        <v>35</v>
      </c>
      <c r="Y152" s="3" t="s">
        <v>35</v>
      </c>
      <c r="Z152" s="3" t="s">
        <v>35</v>
      </c>
      <c r="AA152" s="3" t="s">
        <v>35</v>
      </c>
    </row>
    <row r="153" s="3" customFormat="1" spans="1:27">
      <c r="A153" s="3" t="s">
        <v>145</v>
      </c>
      <c r="B153" s="3" t="s">
        <v>30</v>
      </c>
      <c r="C153" s="3">
        <v>13565280</v>
      </c>
      <c r="D153" s="13">
        <v>233533085845</v>
      </c>
      <c r="E153" s="16">
        <v>45536.7958449074</v>
      </c>
      <c r="F153" s="3">
        <v>431.15</v>
      </c>
      <c r="G153" s="3">
        <v>0</v>
      </c>
      <c r="H153" s="3">
        <v>431.15</v>
      </c>
      <c r="I153" s="3">
        <v>142.39</v>
      </c>
      <c r="J153" s="3">
        <v>0</v>
      </c>
      <c r="K153" s="3">
        <v>142.39</v>
      </c>
      <c r="L153" s="3">
        <v>142.31</v>
      </c>
      <c r="M153" s="3">
        <v>1850</v>
      </c>
      <c r="N153" s="3">
        <v>53.85</v>
      </c>
      <c r="O153" s="3">
        <v>700.05</v>
      </c>
      <c r="P153" s="3" t="s">
        <v>41</v>
      </c>
      <c r="Q153" s="3" t="s">
        <v>33</v>
      </c>
      <c r="R153" s="3" t="s">
        <v>146</v>
      </c>
      <c r="S153" s="3">
        <v>0</v>
      </c>
      <c r="T153" s="3">
        <v>0</v>
      </c>
      <c r="U153" s="3">
        <v>0</v>
      </c>
      <c r="V153" s="3" t="s">
        <v>35</v>
      </c>
      <c r="W153" s="3" t="s">
        <v>35</v>
      </c>
      <c r="X153" s="3" t="s">
        <v>35</v>
      </c>
      <c r="Y153" s="3" t="s">
        <v>35</v>
      </c>
      <c r="Z153" s="3" t="s">
        <v>35</v>
      </c>
      <c r="AA153" s="3" t="s">
        <v>35</v>
      </c>
    </row>
    <row r="154" s="3" customFormat="1" spans="1:27">
      <c r="A154" s="3" t="s">
        <v>145</v>
      </c>
      <c r="B154" s="3" t="s">
        <v>30</v>
      </c>
      <c r="C154" s="3">
        <v>18143571</v>
      </c>
      <c r="D154" s="13">
        <v>233535064720</v>
      </c>
      <c r="E154" s="16">
        <v>45894.8973148148</v>
      </c>
      <c r="F154" s="3">
        <v>6425.55</v>
      </c>
      <c r="G154" s="3">
        <v>2.83</v>
      </c>
      <c r="H154" s="3">
        <v>6422.71</v>
      </c>
      <c r="I154" s="3">
        <v>-324.31</v>
      </c>
      <c r="J154" s="3">
        <v>-3.12</v>
      </c>
      <c r="K154" s="3">
        <v>-321.19</v>
      </c>
      <c r="L154" s="3">
        <v>904</v>
      </c>
      <c r="M154" s="3">
        <v>11752</v>
      </c>
      <c r="N154" s="3">
        <v>442.54</v>
      </c>
      <c r="O154" s="3">
        <v>5753.02</v>
      </c>
      <c r="P154" s="3" t="s">
        <v>41</v>
      </c>
      <c r="Q154" s="3" t="s">
        <v>33</v>
      </c>
      <c r="R154" s="3" t="s">
        <v>146</v>
      </c>
      <c r="S154" s="3">
        <v>0</v>
      </c>
      <c r="T154" s="3">
        <v>0</v>
      </c>
      <c r="U154" s="3">
        <v>0</v>
      </c>
      <c r="V154" s="3" t="s">
        <v>35</v>
      </c>
      <c r="W154" s="3" t="s">
        <v>35</v>
      </c>
      <c r="X154" s="3" t="s">
        <v>35</v>
      </c>
      <c r="Y154" s="3" t="s">
        <v>35</v>
      </c>
      <c r="Z154" s="3" t="s">
        <v>35</v>
      </c>
      <c r="AA154" s="3" t="s">
        <v>35</v>
      </c>
    </row>
    <row r="155" s="3" customFormat="1" spans="1:27">
      <c r="A155" s="3" t="s">
        <v>145</v>
      </c>
      <c r="B155" s="3" t="s">
        <v>30</v>
      </c>
      <c r="C155" s="3">
        <v>13189232</v>
      </c>
      <c r="D155" s="13">
        <v>233540993379</v>
      </c>
      <c r="E155" s="16">
        <v>45462.5964467593</v>
      </c>
      <c r="F155" s="3">
        <v>546.55</v>
      </c>
      <c r="G155" s="3">
        <v>29.67</v>
      </c>
      <c r="H155" s="3">
        <v>516.88</v>
      </c>
      <c r="I155" s="3">
        <v>46.24</v>
      </c>
      <c r="J155" s="3">
        <v>13.42</v>
      </c>
      <c r="K155" s="3">
        <v>32.82</v>
      </c>
      <c r="L155" s="3">
        <v>160.38</v>
      </c>
      <c r="M155" s="3">
        <v>2085</v>
      </c>
      <c r="N155" s="3">
        <v>0</v>
      </c>
      <c r="O155" s="3">
        <v>0</v>
      </c>
      <c r="P155" s="3" t="s">
        <v>41</v>
      </c>
      <c r="Q155" s="3" t="s">
        <v>33</v>
      </c>
      <c r="R155" s="3" t="s">
        <v>146</v>
      </c>
      <c r="S155" s="3">
        <v>0</v>
      </c>
      <c r="T155" s="3">
        <v>0</v>
      </c>
      <c r="U155" s="3">
        <v>0</v>
      </c>
      <c r="V155" s="3" t="s">
        <v>35</v>
      </c>
      <c r="W155" s="3" t="s">
        <v>35</v>
      </c>
      <c r="X155" s="3" t="s">
        <v>35</v>
      </c>
      <c r="Y155" s="3" t="s">
        <v>35</v>
      </c>
      <c r="Z155" s="3" t="s">
        <v>35</v>
      </c>
      <c r="AA155" s="3" t="s">
        <v>35</v>
      </c>
    </row>
    <row r="156" s="3" customFormat="1" spans="1:27">
      <c r="A156" s="3" t="s">
        <v>145</v>
      </c>
      <c r="B156" s="3" t="s">
        <v>30</v>
      </c>
      <c r="C156" s="3">
        <v>20919950</v>
      </c>
      <c r="D156" s="13">
        <v>233542704167</v>
      </c>
      <c r="E156" s="16">
        <v>46044.8299189815</v>
      </c>
      <c r="F156" s="3">
        <v>1990.99</v>
      </c>
      <c r="G156" s="3">
        <v>0</v>
      </c>
      <c r="H156" s="3">
        <v>1990.99</v>
      </c>
      <c r="I156" s="3">
        <v>-132.78</v>
      </c>
      <c r="J156" s="3">
        <v>0</v>
      </c>
      <c r="K156" s="3">
        <v>-132.78</v>
      </c>
      <c r="L156" s="3">
        <v>815.46</v>
      </c>
      <c r="M156" s="3">
        <v>10601</v>
      </c>
      <c r="N156" s="3">
        <v>649.85</v>
      </c>
      <c r="O156" s="3">
        <v>8448.05</v>
      </c>
      <c r="P156" s="3" t="s">
        <v>32</v>
      </c>
      <c r="Q156" s="3" t="s">
        <v>33</v>
      </c>
      <c r="R156" s="3" t="s">
        <v>146</v>
      </c>
      <c r="S156" s="3">
        <v>0</v>
      </c>
      <c r="T156" s="3">
        <v>0</v>
      </c>
      <c r="U156" s="3">
        <v>0</v>
      </c>
      <c r="V156" s="3" t="s">
        <v>35</v>
      </c>
      <c r="W156" s="3" t="s">
        <v>35</v>
      </c>
      <c r="X156" s="3" t="s">
        <v>35</v>
      </c>
      <c r="Y156" s="3" t="s">
        <v>35</v>
      </c>
      <c r="Z156" s="3" t="s">
        <v>35</v>
      </c>
      <c r="AA156" s="3" t="s">
        <v>35</v>
      </c>
    </row>
    <row r="157" s="3" customFormat="1" spans="1:27">
      <c r="A157" s="3" t="s">
        <v>145</v>
      </c>
      <c r="B157" s="3" t="s">
        <v>30</v>
      </c>
      <c r="C157" s="3">
        <v>3908442</v>
      </c>
      <c r="D157" s="13">
        <v>233543173589</v>
      </c>
      <c r="E157" s="16">
        <v>44278.4353125</v>
      </c>
      <c r="F157" s="3">
        <v>23660.93</v>
      </c>
      <c r="G157" s="3">
        <v>11.54</v>
      </c>
      <c r="H157" s="3">
        <v>23649.39</v>
      </c>
      <c r="I157" s="3">
        <v>2556.14</v>
      </c>
      <c r="J157" s="3">
        <v>11.54</v>
      </c>
      <c r="K157" s="3">
        <v>2544.6</v>
      </c>
      <c r="L157" s="3">
        <v>2933.08</v>
      </c>
      <c r="M157" s="3">
        <v>38130</v>
      </c>
      <c r="N157" s="3">
        <v>2448.46</v>
      </c>
      <c r="O157" s="3">
        <v>31829.98</v>
      </c>
      <c r="P157" s="3" t="s">
        <v>32</v>
      </c>
      <c r="Q157" s="3" t="s">
        <v>42</v>
      </c>
      <c r="R157" s="3" t="s">
        <v>146</v>
      </c>
      <c r="S157" s="3">
        <v>0</v>
      </c>
      <c r="T157" s="3">
        <v>0</v>
      </c>
      <c r="U157" s="3">
        <v>0</v>
      </c>
      <c r="V157" s="3" t="s">
        <v>35</v>
      </c>
      <c r="W157" s="3" t="s">
        <v>35</v>
      </c>
      <c r="X157" s="3" t="s">
        <v>35</v>
      </c>
      <c r="Y157" s="3" t="s">
        <v>35</v>
      </c>
      <c r="Z157" s="3" t="s">
        <v>35</v>
      </c>
      <c r="AA157" s="3" t="s">
        <v>35</v>
      </c>
    </row>
    <row r="158" s="3" customFormat="1" spans="1:27">
      <c r="A158" s="3" t="s">
        <v>145</v>
      </c>
      <c r="B158" s="3" t="s">
        <v>30</v>
      </c>
      <c r="C158" s="3">
        <v>18953440</v>
      </c>
      <c r="D158" s="13">
        <v>233546147982</v>
      </c>
      <c r="E158" s="16">
        <v>45945.5499768518</v>
      </c>
      <c r="F158" s="3">
        <v>19405.22</v>
      </c>
      <c r="G158" s="3">
        <v>0</v>
      </c>
      <c r="H158" s="3">
        <v>19405.22</v>
      </c>
      <c r="I158" s="3">
        <v>1294.55</v>
      </c>
      <c r="J158" s="3">
        <v>0</v>
      </c>
      <c r="K158" s="3">
        <v>1294.55</v>
      </c>
      <c r="L158" s="3">
        <v>1604.23</v>
      </c>
      <c r="M158" s="3">
        <v>20855</v>
      </c>
      <c r="N158" s="3">
        <v>271.85</v>
      </c>
      <c r="O158" s="3">
        <v>3534.05</v>
      </c>
      <c r="P158" s="3" t="s">
        <v>41</v>
      </c>
      <c r="Q158" s="3" t="s">
        <v>42</v>
      </c>
      <c r="R158" s="3" t="s">
        <v>146</v>
      </c>
      <c r="S158" s="3">
        <v>0</v>
      </c>
      <c r="T158" s="3">
        <v>0</v>
      </c>
      <c r="U158" s="3">
        <v>0</v>
      </c>
      <c r="V158" s="3" t="s">
        <v>35</v>
      </c>
      <c r="W158" s="3" t="s">
        <v>35</v>
      </c>
      <c r="X158" s="3" t="s">
        <v>35</v>
      </c>
      <c r="Y158" s="3" t="s">
        <v>35</v>
      </c>
      <c r="Z158" s="3" t="s">
        <v>35</v>
      </c>
      <c r="AA158" s="3" t="s">
        <v>35</v>
      </c>
    </row>
    <row r="159" s="3" customFormat="1" spans="1:27">
      <c r="A159" s="3" t="s">
        <v>145</v>
      </c>
      <c r="B159" s="3" t="s">
        <v>30</v>
      </c>
      <c r="C159" s="3">
        <v>22440490</v>
      </c>
      <c r="D159" s="13">
        <v>233547316813</v>
      </c>
      <c r="E159" s="16">
        <v>46127.6290856482</v>
      </c>
      <c r="F159" s="3">
        <v>598.83</v>
      </c>
      <c r="G159" s="3">
        <v>0</v>
      </c>
      <c r="H159" s="3">
        <v>598.83</v>
      </c>
      <c r="I159" s="3">
        <v>29.74</v>
      </c>
      <c r="J159" s="3">
        <v>0</v>
      </c>
      <c r="K159" s="3">
        <v>29.74</v>
      </c>
      <c r="L159" s="3">
        <v>109.69</v>
      </c>
      <c r="M159" s="3">
        <v>1426</v>
      </c>
      <c r="N159" s="3">
        <v>109.69</v>
      </c>
      <c r="O159" s="3">
        <v>1425.97</v>
      </c>
      <c r="P159" s="3" t="s">
        <v>41</v>
      </c>
      <c r="Q159" s="3" t="s">
        <v>33</v>
      </c>
      <c r="R159" s="3" t="s">
        <v>146</v>
      </c>
      <c r="S159" s="3">
        <v>0</v>
      </c>
      <c r="T159" s="3">
        <v>0</v>
      </c>
      <c r="U159" s="3">
        <v>0</v>
      </c>
      <c r="V159" s="3" t="s">
        <v>35</v>
      </c>
      <c r="W159" s="3" t="s">
        <v>35</v>
      </c>
      <c r="X159" s="3" t="s">
        <v>35</v>
      </c>
      <c r="Y159" s="3" t="s">
        <v>35</v>
      </c>
      <c r="Z159" s="3" t="s">
        <v>35</v>
      </c>
      <c r="AA159" s="3" t="s">
        <v>35</v>
      </c>
    </row>
    <row r="160" s="3" customFormat="1" spans="1:27">
      <c r="A160" s="3" t="s">
        <v>145</v>
      </c>
      <c r="B160" s="3" t="s">
        <v>30</v>
      </c>
      <c r="C160" s="3">
        <v>22625030</v>
      </c>
      <c r="D160" s="13">
        <v>233549811433</v>
      </c>
      <c r="E160" s="16">
        <v>46139.4676041667</v>
      </c>
      <c r="F160" s="3">
        <v>439.85</v>
      </c>
      <c r="G160" s="3">
        <v>0</v>
      </c>
      <c r="H160" s="3">
        <v>439.85</v>
      </c>
      <c r="I160" s="3">
        <v>19.06</v>
      </c>
      <c r="J160" s="3">
        <v>0</v>
      </c>
      <c r="K160" s="3">
        <v>19.06</v>
      </c>
      <c r="L160" s="3">
        <v>122.92</v>
      </c>
      <c r="M160" s="3">
        <v>1598</v>
      </c>
      <c r="N160" s="3">
        <v>122.92</v>
      </c>
      <c r="O160" s="3">
        <v>1597.96</v>
      </c>
      <c r="P160" s="3" t="s">
        <v>41</v>
      </c>
      <c r="Q160" s="3" t="s">
        <v>33</v>
      </c>
      <c r="R160" s="3" t="s">
        <v>146</v>
      </c>
      <c r="S160" s="3">
        <v>0</v>
      </c>
      <c r="T160" s="3">
        <v>0</v>
      </c>
      <c r="U160" s="3">
        <v>0</v>
      </c>
      <c r="V160" s="3" t="s">
        <v>35</v>
      </c>
      <c r="W160" s="3" t="s">
        <v>35</v>
      </c>
      <c r="X160" s="3" t="s">
        <v>35</v>
      </c>
      <c r="Y160" s="3" t="s">
        <v>35</v>
      </c>
      <c r="Z160" s="3" t="s">
        <v>35</v>
      </c>
      <c r="AA160" s="3" t="s">
        <v>35</v>
      </c>
    </row>
    <row r="161" s="3" customFormat="1" spans="1:27">
      <c r="A161" s="3" t="s">
        <v>145</v>
      </c>
      <c r="B161" s="3" t="s">
        <v>30</v>
      </c>
      <c r="C161" s="3">
        <v>20077511</v>
      </c>
      <c r="D161" s="13">
        <v>233550974187</v>
      </c>
      <c r="E161" s="16">
        <v>46003.9132986111</v>
      </c>
      <c r="F161" s="3">
        <v>571.81</v>
      </c>
      <c r="G161" s="3">
        <v>227.54</v>
      </c>
      <c r="H161" s="3">
        <v>344.27</v>
      </c>
      <c r="I161" s="3">
        <v>227.5</v>
      </c>
      <c r="J161" s="3">
        <v>187</v>
      </c>
      <c r="K161" s="3">
        <v>40.5</v>
      </c>
      <c r="L161" s="3">
        <v>253.08</v>
      </c>
      <c r="M161" s="3">
        <v>3290</v>
      </c>
      <c r="N161" s="3">
        <v>45.23</v>
      </c>
      <c r="O161" s="3">
        <v>587.99</v>
      </c>
      <c r="P161" s="3" t="s">
        <v>61</v>
      </c>
      <c r="Q161" s="3" t="s">
        <v>33</v>
      </c>
      <c r="R161" s="3" t="s">
        <v>146</v>
      </c>
      <c r="S161" s="3">
        <v>120</v>
      </c>
      <c r="T161" s="3">
        <v>0</v>
      </c>
      <c r="U161" s="3">
        <v>0</v>
      </c>
      <c r="V161" s="3" t="s">
        <v>35</v>
      </c>
      <c r="W161" s="3" t="s">
        <v>35</v>
      </c>
      <c r="X161" s="3" t="s">
        <v>35</v>
      </c>
      <c r="Y161" s="3" t="s">
        <v>35</v>
      </c>
      <c r="Z161" s="3" t="s">
        <v>35</v>
      </c>
      <c r="AA161" s="3" t="s">
        <v>35</v>
      </c>
    </row>
    <row r="162" s="3" customFormat="1" spans="1:27">
      <c r="A162" s="3" t="s">
        <v>145</v>
      </c>
      <c r="B162" s="3" t="s">
        <v>30</v>
      </c>
      <c r="C162" s="3">
        <v>19903561</v>
      </c>
      <c r="D162" s="13">
        <v>233551567423</v>
      </c>
      <c r="E162" s="16">
        <v>45995.7615509259</v>
      </c>
      <c r="F162" s="3">
        <v>8940.97</v>
      </c>
      <c r="G162" s="3">
        <v>0.08</v>
      </c>
      <c r="H162" s="3">
        <v>8940.89</v>
      </c>
      <c r="I162" s="3">
        <v>365.74</v>
      </c>
      <c r="J162" s="3">
        <v>0.08</v>
      </c>
      <c r="K162" s="3">
        <v>365.67</v>
      </c>
      <c r="L162" s="3">
        <v>1661.08</v>
      </c>
      <c r="M162" s="3">
        <v>21594</v>
      </c>
      <c r="N162" s="3">
        <v>460.54</v>
      </c>
      <c r="O162" s="3">
        <v>5987.02</v>
      </c>
      <c r="P162" s="3" t="s">
        <v>32</v>
      </c>
      <c r="Q162" s="3" t="s">
        <v>42</v>
      </c>
      <c r="R162" s="3" t="s">
        <v>146</v>
      </c>
      <c r="S162" s="3">
        <v>0</v>
      </c>
      <c r="T162" s="3">
        <v>0</v>
      </c>
      <c r="U162" s="3">
        <v>0</v>
      </c>
      <c r="V162" s="3" t="s">
        <v>35</v>
      </c>
      <c r="W162" s="3" t="s">
        <v>35</v>
      </c>
      <c r="X162" s="3" t="s">
        <v>35</v>
      </c>
      <c r="Y162" s="3" t="s">
        <v>35</v>
      </c>
      <c r="Z162" s="3" t="s">
        <v>35</v>
      </c>
      <c r="AA162" s="3" t="s">
        <v>35</v>
      </c>
    </row>
    <row r="163" s="3" customFormat="1" spans="1:27">
      <c r="A163" s="3" t="s">
        <v>145</v>
      </c>
      <c r="B163" s="3" t="s">
        <v>30</v>
      </c>
      <c r="C163" s="3">
        <v>21568702</v>
      </c>
      <c r="D163" s="13">
        <v>233551914847</v>
      </c>
      <c r="E163" s="16">
        <v>46079.5660300926</v>
      </c>
      <c r="F163" s="3">
        <v>1751.18</v>
      </c>
      <c r="G163" s="3">
        <v>0</v>
      </c>
      <c r="H163" s="3">
        <v>1751.18</v>
      </c>
      <c r="I163" s="3">
        <v>235.99</v>
      </c>
      <c r="J163" s="3">
        <v>0</v>
      </c>
      <c r="K163" s="3">
        <v>235.99</v>
      </c>
      <c r="L163" s="3">
        <v>422.38</v>
      </c>
      <c r="M163" s="3">
        <v>5491</v>
      </c>
      <c r="N163" s="3">
        <v>413.85</v>
      </c>
      <c r="O163" s="3">
        <v>5380.05</v>
      </c>
      <c r="P163" s="3" t="s">
        <v>32</v>
      </c>
      <c r="Q163" s="3" t="s">
        <v>33</v>
      </c>
      <c r="R163" s="3" t="s">
        <v>146</v>
      </c>
      <c r="S163" s="3">
        <v>0</v>
      </c>
      <c r="T163" s="3">
        <v>0</v>
      </c>
      <c r="U163" s="3">
        <v>0</v>
      </c>
      <c r="V163" s="3" t="s">
        <v>35</v>
      </c>
      <c r="W163" s="3" t="s">
        <v>35</v>
      </c>
      <c r="X163" s="3" t="s">
        <v>35</v>
      </c>
      <c r="Y163" s="3" t="s">
        <v>35</v>
      </c>
      <c r="Z163" s="3" t="s">
        <v>35</v>
      </c>
      <c r="AA163" s="3" t="s">
        <v>35</v>
      </c>
    </row>
    <row r="164" s="3" customFormat="1" spans="1:27">
      <c r="A164" s="3" t="s">
        <v>145</v>
      </c>
      <c r="B164" s="3" t="s">
        <v>30</v>
      </c>
      <c r="C164" s="3">
        <v>21736632</v>
      </c>
      <c r="D164" s="13">
        <v>233553902578</v>
      </c>
      <c r="E164" s="16">
        <v>46087.5427662037</v>
      </c>
      <c r="F164" s="3">
        <v>578.98</v>
      </c>
      <c r="G164" s="3">
        <v>0</v>
      </c>
      <c r="H164" s="3">
        <v>578.98</v>
      </c>
      <c r="I164" s="3">
        <v>-58.15</v>
      </c>
      <c r="J164" s="3">
        <v>0</v>
      </c>
      <c r="K164" s="3">
        <v>-58.15</v>
      </c>
      <c r="L164" s="3">
        <v>189.08</v>
      </c>
      <c r="M164" s="3">
        <v>2458</v>
      </c>
      <c r="N164" s="3">
        <v>189.08</v>
      </c>
      <c r="O164" s="3">
        <v>2458.04</v>
      </c>
      <c r="P164" s="3" t="s">
        <v>41</v>
      </c>
      <c r="Q164" s="3" t="s">
        <v>33</v>
      </c>
      <c r="R164" s="3" t="s">
        <v>146</v>
      </c>
      <c r="S164" s="3">
        <v>0</v>
      </c>
      <c r="T164" s="3">
        <v>0</v>
      </c>
      <c r="U164" s="3">
        <v>0</v>
      </c>
      <c r="V164" s="3" t="s">
        <v>35</v>
      </c>
      <c r="W164" s="3" t="s">
        <v>35</v>
      </c>
      <c r="X164" s="3" t="s">
        <v>35</v>
      </c>
      <c r="Y164" s="3" t="s">
        <v>35</v>
      </c>
      <c r="Z164" s="3" t="s">
        <v>35</v>
      </c>
      <c r="AA164" s="3" t="s">
        <v>35</v>
      </c>
    </row>
    <row r="165" s="3" customFormat="1" spans="1:27">
      <c r="A165" s="3" t="s">
        <v>145</v>
      </c>
      <c r="B165" s="3" t="s">
        <v>30</v>
      </c>
      <c r="C165" s="3">
        <v>21157261</v>
      </c>
      <c r="D165" s="13">
        <v>233555683159</v>
      </c>
      <c r="E165" s="16">
        <v>46058.4946643518</v>
      </c>
      <c r="F165" s="3">
        <v>748.68</v>
      </c>
      <c r="G165" s="3">
        <v>3.23</v>
      </c>
      <c r="H165" s="3">
        <v>745.44</v>
      </c>
      <c r="I165" s="3">
        <v>21.23</v>
      </c>
      <c r="J165" s="3">
        <v>-2.76</v>
      </c>
      <c r="K165" s="3">
        <v>23.98</v>
      </c>
      <c r="L165" s="3">
        <v>268.38</v>
      </c>
      <c r="M165" s="3">
        <v>3489</v>
      </c>
      <c r="N165" s="3">
        <v>258.46</v>
      </c>
      <c r="O165" s="3">
        <v>3359.98</v>
      </c>
      <c r="P165" s="3" t="s">
        <v>41</v>
      </c>
      <c r="Q165" s="3" t="s">
        <v>33</v>
      </c>
      <c r="R165" s="3" t="s">
        <v>146</v>
      </c>
      <c r="S165" s="3">
        <v>0</v>
      </c>
      <c r="T165" s="3">
        <v>0</v>
      </c>
      <c r="U165" s="3">
        <v>0</v>
      </c>
      <c r="V165" s="3" t="s">
        <v>35</v>
      </c>
      <c r="W165" s="3" t="s">
        <v>35</v>
      </c>
      <c r="X165" s="3" t="s">
        <v>35</v>
      </c>
      <c r="Y165" s="3" t="s">
        <v>35</v>
      </c>
      <c r="Z165" s="3" t="s">
        <v>35</v>
      </c>
      <c r="AA165" s="3" t="s">
        <v>35</v>
      </c>
    </row>
    <row r="166" s="3" customFormat="1" spans="1:27">
      <c r="A166" s="3" t="s">
        <v>145</v>
      </c>
      <c r="B166" s="3" t="s">
        <v>30</v>
      </c>
      <c r="C166" s="3">
        <v>10027490</v>
      </c>
      <c r="D166" s="13">
        <v>233555706110</v>
      </c>
      <c r="E166" s="16">
        <v>45075.505150463</v>
      </c>
      <c r="F166" s="3">
        <v>184.19</v>
      </c>
      <c r="G166" s="3">
        <v>0</v>
      </c>
      <c r="H166" s="3">
        <v>184.19</v>
      </c>
      <c r="I166" s="3">
        <v>14.54</v>
      </c>
      <c r="J166" s="3">
        <v>0</v>
      </c>
      <c r="K166" s="3">
        <v>14.54</v>
      </c>
      <c r="L166" s="3">
        <v>57.69</v>
      </c>
      <c r="M166" s="3">
        <v>750</v>
      </c>
      <c r="N166" s="3">
        <v>57.69</v>
      </c>
      <c r="O166" s="3">
        <v>749.97</v>
      </c>
      <c r="P166" s="3" t="s">
        <v>32</v>
      </c>
      <c r="Q166" s="3" t="s">
        <v>33</v>
      </c>
      <c r="R166" s="3" t="s">
        <v>146</v>
      </c>
      <c r="S166" s="3">
        <v>0</v>
      </c>
      <c r="T166" s="3">
        <v>0</v>
      </c>
      <c r="U166" s="3">
        <v>0</v>
      </c>
      <c r="V166" s="3" t="s">
        <v>35</v>
      </c>
      <c r="W166" s="3" t="s">
        <v>35</v>
      </c>
      <c r="X166" s="3" t="s">
        <v>35</v>
      </c>
      <c r="Y166" s="3" t="s">
        <v>35</v>
      </c>
      <c r="Z166" s="3" t="s">
        <v>35</v>
      </c>
      <c r="AA166" s="3" t="s">
        <v>35</v>
      </c>
    </row>
    <row r="167" s="3" customFormat="1" spans="1:27">
      <c r="A167" s="3" t="s">
        <v>145</v>
      </c>
      <c r="B167" s="3" t="s">
        <v>30</v>
      </c>
      <c r="C167" s="3">
        <v>9623671</v>
      </c>
      <c r="D167" s="13">
        <v>233556387444</v>
      </c>
      <c r="E167" s="16">
        <v>45006.1160763889</v>
      </c>
      <c r="F167" s="3">
        <v>1010.31</v>
      </c>
      <c r="G167" s="3">
        <v>17.08</v>
      </c>
      <c r="H167" s="3">
        <v>993.23</v>
      </c>
      <c r="I167" s="3">
        <v>185.33</v>
      </c>
      <c r="J167" s="3">
        <v>16.6</v>
      </c>
      <c r="K167" s="3">
        <v>168.73</v>
      </c>
      <c r="L167" s="3">
        <v>531.77</v>
      </c>
      <c r="M167" s="3">
        <v>6913</v>
      </c>
      <c r="N167" s="3">
        <v>91.62</v>
      </c>
      <c r="O167" s="3">
        <v>1191.06</v>
      </c>
      <c r="P167" s="3" t="s">
        <v>32</v>
      </c>
      <c r="Q167" s="3" t="s">
        <v>33</v>
      </c>
      <c r="R167" s="3" t="s">
        <v>146</v>
      </c>
      <c r="S167" s="3">
        <v>0</v>
      </c>
      <c r="T167" s="3">
        <v>0</v>
      </c>
      <c r="U167" s="3">
        <v>0</v>
      </c>
      <c r="V167" s="3" t="s">
        <v>35</v>
      </c>
      <c r="W167" s="3" t="s">
        <v>35</v>
      </c>
      <c r="X167" s="3" t="s">
        <v>35</v>
      </c>
      <c r="Y167" s="3" t="s">
        <v>35</v>
      </c>
      <c r="Z167" s="3" t="s">
        <v>35</v>
      </c>
      <c r="AA167" s="3" t="s">
        <v>35</v>
      </c>
    </row>
    <row r="168" s="3" customFormat="1" spans="1:27">
      <c r="A168" s="3" t="s">
        <v>145</v>
      </c>
      <c r="B168" s="3" t="s">
        <v>30</v>
      </c>
      <c r="C168" s="3">
        <v>9321750</v>
      </c>
      <c r="D168" s="13">
        <v>233591225910</v>
      </c>
      <c r="E168" s="16">
        <v>44931.1656481481</v>
      </c>
      <c r="F168" s="3">
        <v>3594.28</v>
      </c>
      <c r="G168" s="3">
        <v>58.56</v>
      </c>
      <c r="H168" s="3">
        <v>3535.72</v>
      </c>
      <c r="I168" s="3">
        <v>65.07</v>
      </c>
      <c r="J168" s="3">
        <v>51.36</v>
      </c>
      <c r="K168" s="3">
        <v>13.72</v>
      </c>
      <c r="L168" s="3">
        <v>362.15</v>
      </c>
      <c r="M168" s="3">
        <v>4708</v>
      </c>
      <c r="N168" s="3">
        <v>6.85</v>
      </c>
      <c r="O168" s="3">
        <v>89.05</v>
      </c>
      <c r="P168" s="3" t="s">
        <v>32</v>
      </c>
      <c r="Q168" s="3" t="s">
        <v>33</v>
      </c>
      <c r="R168" s="3" t="s">
        <v>146</v>
      </c>
      <c r="S168" s="3">
        <v>0</v>
      </c>
      <c r="T168" s="3">
        <v>0</v>
      </c>
      <c r="U168" s="3">
        <v>0</v>
      </c>
      <c r="V168" s="3" t="s">
        <v>35</v>
      </c>
      <c r="W168" s="3" t="s">
        <v>35</v>
      </c>
      <c r="X168" s="3" t="s">
        <v>35</v>
      </c>
      <c r="Y168" s="3" t="s">
        <v>35</v>
      </c>
      <c r="Z168" s="3" t="s">
        <v>35</v>
      </c>
      <c r="AA168" s="3" t="s">
        <v>35</v>
      </c>
    </row>
    <row r="169" s="3" customFormat="1" spans="1:27">
      <c r="A169" s="3" t="s">
        <v>145</v>
      </c>
      <c r="B169" s="3" t="s">
        <v>30</v>
      </c>
      <c r="C169" s="3">
        <v>9431962</v>
      </c>
      <c r="D169" s="13">
        <v>233594828331</v>
      </c>
      <c r="E169" s="16">
        <v>44958.5136111111</v>
      </c>
      <c r="F169" s="3">
        <v>797.58</v>
      </c>
      <c r="G169" s="3">
        <v>1.92</v>
      </c>
      <c r="H169" s="3">
        <v>795.65</v>
      </c>
      <c r="I169" s="3">
        <v>59.26</v>
      </c>
      <c r="J169" s="3">
        <v>-1.94</v>
      </c>
      <c r="K169" s="3">
        <v>61.2</v>
      </c>
      <c r="L169" s="3">
        <v>178.15</v>
      </c>
      <c r="M169" s="3">
        <v>2316</v>
      </c>
      <c r="N169" s="3">
        <v>178.15</v>
      </c>
      <c r="O169" s="3">
        <v>2315.95</v>
      </c>
      <c r="P169" s="3" t="s">
        <v>41</v>
      </c>
      <c r="Q169" s="3" t="s">
        <v>33</v>
      </c>
      <c r="R169" s="3" t="s">
        <v>146</v>
      </c>
      <c r="S169" s="3">
        <v>0</v>
      </c>
      <c r="T169" s="3">
        <v>0</v>
      </c>
      <c r="U169" s="3">
        <v>0</v>
      </c>
      <c r="V169" s="3" t="s">
        <v>35</v>
      </c>
      <c r="W169" s="3" t="s">
        <v>35</v>
      </c>
      <c r="X169" s="3" t="s">
        <v>35</v>
      </c>
      <c r="Y169" s="3" t="s">
        <v>35</v>
      </c>
      <c r="Z169" s="3" t="s">
        <v>35</v>
      </c>
      <c r="AA169" s="3" t="s">
        <v>35</v>
      </c>
    </row>
    <row r="170" s="3" customFormat="1" spans="1:27">
      <c r="A170" s="3" t="s">
        <v>145</v>
      </c>
      <c r="B170" s="3" t="s">
        <v>30</v>
      </c>
      <c r="C170" s="3">
        <v>19778282</v>
      </c>
      <c r="D170" s="13">
        <v>233599686769</v>
      </c>
      <c r="E170" s="16">
        <v>45989.9216319445</v>
      </c>
      <c r="F170" s="3">
        <v>559.07</v>
      </c>
      <c r="G170" s="3">
        <v>14.69</v>
      </c>
      <c r="H170" s="3">
        <v>544.38</v>
      </c>
      <c r="I170" s="3">
        <v>20.79</v>
      </c>
      <c r="J170" s="3">
        <v>13.52</v>
      </c>
      <c r="K170" s="3">
        <v>7.27</v>
      </c>
      <c r="L170" s="3">
        <v>100.31</v>
      </c>
      <c r="M170" s="3">
        <v>1304</v>
      </c>
      <c r="N170" s="3">
        <v>0</v>
      </c>
      <c r="O170" s="3">
        <v>0</v>
      </c>
      <c r="P170" s="3" t="s">
        <v>32</v>
      </c>
      <c r="Q170" s="3" t="s">
        <v>33</v>
      </c>
      <c r="R170" s="3" t="s">
        <v>146</v>
      </c>
      <c r="S170" s="3">
        <v>0</v>
      </c>
      <c r="T170" s="3">
        <v>0</v>
      </c>
      <c r="U170" s="3">
        <v>0</v>
      </c>
      <c r="V170" s="3" t="s">
        <v>35</v>
      </c>
      <c r="W170" s="3" t="s">
        <v>35</v>
      </c>
      <c r="X170" s="3" t="s">
        <v>35</v>
      </c>
      <c r="Y170" s="3" t="s">
        <v>35</v>
      </c>
      <c r="Z170" s="3" t="s">
        <v>35</v>
      </c>
      <c r="AA170" s="3" t="s">
        <v>35</v>
      </c>
    </row>
  </sheetData>
  <autoFilter xmlns:etc="http://www.wps.cn/officeDocument/2017/etCustomData" ref="A1:AC170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92"/>
  <sheetViews>
    <sheetView topLeftCell="F161" workbookViewId="0">
      <selection activeCell="R2" sqref="R2:R192"/>
    </sheetView>
  </sheetViews>
  <sheetFormatPr defaultColWidth="9" defaultRowHeight="13.5"/>
  <cols>
    <col min="1" max="1" width="11.9557522123894" customWidth="1"/>
    <col min="3" max="3" width="9.53097345132743"/>
    <col min="4" max="4" width="18.3893805309735" style="12"/>
    <col min="5" max="5" width="21.787610619469"/>
    <col min="6" max="6" width="10.5309734513274"/>
    <col min="8" max="9" width="10.5309734513274"/>
    <col min="11" max="11" width="10.5309734513274"/>
  </cols>
  <sheetData>
    <row r="1" s="3" customFormat="1" spans="1:29">
      <c r="A1" s="3" t="s">
        <v>0</v>
      </c>
      <c r="B1" s="3" t="s">
        <v>1</v>
      </c>
      <c r="C1" s="3" t="s">
        <v>2</v>
      </c>
      <c r="D1" s="1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="3" customFormat="1" spans="1:29">
      <c r="A2" s="3" t="s">
        <v>29</v>
      </c>
      <c r="B2" s="3" t="s">
        <v>30</v>
      </c>
      <c r="C2" s="3">
        <v>22400003</v>
      </c>
      <c r="D2" s="13" t="s">
        <v>147</v>
      </c>
      <c r="E2" s="16">
        <v>46124.9025578704</v>
      </c>
      <c r="F2" s="3">
        <v>1191.41</v>
      </c>
      <c r="G2" s="3">
        <v>0</v>
      </c>
      <c r="H2" s="3">
        <v>1191.41</v>
      </c>
      <c r="I2" s="3">
        <v>125.54</v>
      </c>
      <c r="J2" s="3">
        <v>-0.14</v>
      </c>
      <c r="K2" s="3">
        <v>125.67</v>
      </c>
      <c r="L2" s="3">
        <v>194.08</v>
      </c>
      <c r="M2" s="3">
        <v>2523</v>
      </c>
      <c r="N2" s="3">
        <v>194.08</v>
      </c>
      <c r="O2" s="3">
        <v>2523</v>
      </c>
      <c r="P2" s="3" t="s">
        <v>41</v>
      </c>
      <c r="Q2" s="3" t="s">
        <v>33</v>
      </c>
      <c r="R2" s="3" t="s">
        <v>148</v>
      </c>
      <c r="S2" s="3">
        <v>0</v>
      </c>
      <c r="T2" s="3">
        <v>126</v>
      </c>
      <c r="U2" s="3">
        <v>0</v>
      </c>
      <c r="V2" s="3" t="s">
        <v>35</v>
      </c>
      <c r="W2" s="3" t="s">
        <v>35</v>
      </c>
      <c r="X2" s="3" t="s">
        <v>35</v>
      </c>
      <c r="Y2" s="3" t="s">
        <v>35</v>
      </c>
      <c r="Z2" s="3" t="s">
        <v>35</v>
      </c>
      <c r="AA2" s="3" t="s">
        <v>35</v>
      </c>
      <c r="AB2" s="3" t="s">
        <v>36</v>
      </c>
      <c r="AC2" s="3" t="s">
        <v>37</v>
      </c>
    </row>
    <row r="3" s="3" customFormat="1" spans="1:29">
      <c r="A3" s="3" t="s">
        <v>29</v>
      </c>
      <c r="B3" s="3" t="s">
        <v>30</v>
      </c>
      <c r="C3" s="3">
        <v>18111154</v>
      </c>
      <c r="D3" s="13" t="s">
        <v>149</v>
      </c>
      <c r="E3" s="16">
        <v>45892.9093287037</v>
      </c>
      <c r="F3" s="3">
        <v>729.72</v>
      </c>
      <c r="G3" s="3">
        <v>0</v>
      </c>
      <c r="H3" s="3">
        <v>729.72</v>
      </c>
      <c r="I3" s="3">
        <v>0.93</v>
      </c>
      <c r="J3" s="3">
        <v>0</v>
      </c>
      <c r="K3" s="3">
        <v>0.93</v>
      </c>
      <c r="L3" s="3">
        <v>375.46</v>
      </c>
      <c r="M3" s="3">
        <v>4881</v>
      </c>
      <c r="N3" s="3">
        <v>237.77</v>
      </c>
      <c r="O3" s="3">
        <v>3091</v>
      </c>
      <c r="P3" s="3" t="s">
        <v>41</v>
      </c>
      <c r="Q3" s="3" t="s">
        <v>33</v>
      </c>
      <c r="R3" s="3" t="s">
        <v>148</v>
      </c>
      <c r="S3" s="3">
        <v>0</v>
      </c>
      <c r="T3" s="3">
        <v>155</v>
      </c>
      <c r="U3" s="3">
        <v>0</v>
      </c>
      <c r="V3" s="3" t="s">
        <v>35</v>
      </c>
      <c r="W3" s="3" t="s">
        <v>35</v>
      </c>
      <c r="X3" s="3" t="s">
        <v>35</v>
      </c>
      <c r="Y3" s="3" t="s">
        <v>35</v>
      </c>
      <c r="Z3" s="3" t="s">
        <v>35</v>
      </c>
      <c r="AA3" s="3" t="s">
        <v>35</v>
      </c>
      <c r="AB3" s="3" t="s">
        <v>36</v>
      </c>
      <c r="AC3" s="3" t="s">
        <v>37</v>
      </c>
    </row>
    <row r="4" s="3" customFormat="1" spans="1:29">
      <c r="A4" s="3" t="s">
        <v>29</v>
      </c>
      <c r="B4" s="3" t="s">
        <v>30</v>
      </c>
      <c r="C4" s="3">
        <v>11300113</v>
      </c>
      <c r="D4" s="13" t="s">
        <v>150</v>
      </c>
      <c r="E4" s="16">
        <v>45243.5074189815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115.38</v>
      </c>
      <c r="M4" s="3">
        <v>1500</v>
      </c>
      <c r="N4" s="3">
        <v>0</v>
      </c>
      <c r="O4" s="3">
        <v>0</v>
      </c>
      <c r="P4" s="3" t="s">
        <v>39</v>
      </c>
      <c r="Q4" s="3" t="s">
        <v>33</v>
      </c>
      <c r="R4" s="3" t="s">
        <v>148</v>
      </c>
      <c r="S4" s="3">
        <v>120</v>
      </c>
      <c r="T4" s="3">
        <v>0</v>
      </c>
      <c r="U4" s="3">
        <v>0</v>
      </c>
      <c r="V4" s="3" t="s">
        <v>35</v>
      </c>
      <c r="W4" s="3" t="s">
        <v>35</v>
      </c>
      <c r="X4" s="3" t="s">
        <v>35</v>
      </c>
      <c r="Y4" s="3" t="s">
        <v>35</v>
      </c>
      <c r="Z4" s="3" t="s">
        <v>35</v>
      </c>
      <c r="AA4" s="3" t="s">
        <v>35</v>
      </c>
      <c r="AB4" s="3" t="s">
        <v>36</v>
      </c>
      <c r="AC4" s="3" t="s">
        <v>37</v>
      </c>
    </row>
    <row r="5" s="3" customFormat="1" spans="1:29">
      <c r="A5" s="3" t="s">
        <v>29</v>
      </c>
      <c r="B5" s="3" t="s">
        <v>30</v>
      </c>
      <c r="C5" s="3">
        <v>22786134</v>
      </c>
      <c r="D5" s="13" t="s">
        <v>151</v>
      </c>
      <c r="E5" s="16">
        <v>46150.5230671296</v>
      </c>
      <c r="F5" s="3">
        <v>4278.66</v>
      </c>
      <c r="G5" s="3">
        <v>0</v>
      </c>
      <c r="H5" s="3">
        <v>4278.66</v>
      </c>
      <c r="I5" s="3">
        <v>371.61</v>
      </c>
      <c r="J5" s="3">
        <v>0</v>
      </c>
      <c r="K5" s="3">
        <v>371.61</v>
      </c>
      <c r="L5" s="3">
        <v>1015</v>
      </c>
      <c r="M5" s="3">
        <v>13195</v>
      </c>
      <c r="N5" s="3">
        <v>1015</v>
      </c>
      <c r="O5" s="3">
        <v>13195</v>
      </c>
      <c r="P5" s="3" t="s">
        <v>41</v>
      </c>
      <c r="Q5" s="3" t="s">
        <v>42</v>
      </c>
      <c r="R5" s="3" t="s">
        <v>148</v>
      </c>
      <c r="S5" s="3">
        <v>0</v>
      </c>
      <c r="T5" s="3">
        <v>660</v>
      </c>
      <c r="U5" s="3">
        <v>0</v>
      </c>
      <c r="V5" s="3" t="s">
        <v>35</v>
      </c>
      <c r="W5" s="3" t="s">
        <v>35</v>
      </c>
      <c r="X5" s="3" t="s">
        <v>35</v>
      </c>
      <c r="Y5" s="3" t="s">
        <v>35</v>
      </c>
      <c r="Z5" s="3" t="s">
        <v>35</v>
      </c>
      <c r="AA5" s="3" t="s">
        <v>35</v>
      </c>
      <c r="AB5" s="3" t="s">
        <v>43</v>
      </c>
      <c r="AC5" s="3" t="s">
        <v>37</v>
      </c>
    </row>
    <row r="6" s="3" customFormat="1" spans="1:29">
      <c r="A6" s="3" t="s">
        <v>29</v>
      </c>
      <c r="B6" s="3" t="s">
        <v>30</v>
      </c>
      <c r="C6" s="3">
        <v>18348573</v>
      </c>
      <c r="D6" s="13" t="s">
        <v>152</v>
      </c>
      <c r="E6" s="16">
        <v>45906.2380092593</v>
      </c>
      <c r="F6" s="3">
        <v>3858.05</v>
      </c>
      <c r="G6" s="3">
        <v>0</v>
      </c>
      <c r="H6" s="3">
        <v>3858.05</v>
      </c>
      <c r="I6" s="3">
        <v>73.49</v>
      </c>
      <c r="J6" s="3">
        <v>0</v>
      </c>
      <c r="K6" s="3">
        <v>73.49</v>
      </c>
      <c r="L6" s="3">
        <v>1966.42</v>
      </c>
      <c r="M6" s="3">
        <v>25563.5</v>
      </c>
      <c r="N6" s="3">
        <v>874.85</v>
      </c>
      <c r="O6" s="3">
        <v>11373</v>
      </c>
      <c r="P6" s="3" t="s">
        <v>32</v>
      </c>
      <c r="Q6" s="3" t="s">
        <v>42</v>
      </c>
      <c r="R6" s="3" t="s">
        <v>148</v>
      </c>
      <c r="S6" s="3">
        <v>0</v>
      </c>
      <c r="T6" s="3">
        <v>569</v>
      </c>
      <c r="U6" s="3">
        <v>0</v>
      </c>
      <c r="V6" s="3" t="s">
        <v>35</v>
      </c>
      <c r="W6" s="3" t="s">
        <v>35</v>
      </c>
      <c r="X6" s="3" t="s">
        <v>35</v>
      </c>
      <c r="Y6" s="3" t="s">
        <v>35</v>
      </c>
      <c r="Z6" s="3" t="s">
        <v>35</v>
      </c>
      <c r="AA6" s="3" t="s">
        <v>35</v>
      </c>
      <c r="AB6" s="3" t="s">
        <v>43</v>
      </c>
      <c r="AC6" s="3" t="s">
        <v>37</v>
      </c>
    </row>
    <row r="7" s="3" customFormat="1" spans="1:29">
      <c r="A7" s="3" t="s">
        <v>29</v>
      </c>
      <c r="B7" s="3" t="s">
        <v>30</v>
      </c>
      <c r="C7" s="3">
        <v>20899433</v>
      </c>
      <c r="D7" s="13" t="s">
        <v>153</v>
      </c>
      <c r="E7" s="16">
        <v>46043.9530555555</v>
      </c>
      <c r="F7" s="3">
        <v>378.82</v>
      </c>
      <c r="G7" s="3">
        <v>0</v>
      </c>
      <c r="H7" s="3">
        <v>377.43</v>
      </c>
      <c r="I7" s="3">
        <v>14.05</v>
      </c>
      <c r="J7" s="3">
        <v>0</v>
      </c>
      <c r="K7" s="3">
        <v>14.05</v>
      </c>
      <c r="L7" s="3">
        <v>66.38</v>
      </c>
      <c r="M7" s="3">
        <v>863</v>
      </c>
      <c r="N7" s="3">
        <v>51</v>
      </c>
      <c r="O7" s="3">
        <v>663</v>
      </c>
      <c r="P7" s="3" t="s">
        <v>32</v>
      </c>
      <c r="Q7" s="3" t="s">
        <v>33</v>
      </c>
      <c r="R7" s="3" t="s">
        <v>148</v>
      </c>
      <c r="S7" s="3">
        <v>0</v>
      </c>
      <c r="T7" s="3">
        <v>33</v>
      </c>
      <c r="U7" s="3">
        <v>0</v>
      </c>
      <c r="V7" s="3" t="s">
        <v>35</v>
      </c>
      <c r="W7" s="3" t="s">
        <v>35</v>
      </c>
      <c r="X7" s="3" t="s">
        <v>35</v>
      </c>
      <c r="Y7" s="3" t="s">
        <v>35</v>
      </c>
      <c r="Z7" s="3" t="s">
        <v>35</v>
      </c>
      <c r="AA7" s="3" t="s">
        <v>35</v>
      </c>
      <c r="AB7" s="3" t="s">
        <v>43</v>
      </c>
      <c r="AC7" s="3" t="s">
        <v>37</v>
      </c>
    </row>
    <row r="8" s="3" customFormat="1" spans="1:29">
      <c r="A8" s="3" t="s">
        <v>29</v>
      </c>
      <c r="B8" s="3" t="s">
        <v>30</v>
      </c>
      <c r="C8" s="3">
        <v>21825435</v>
      </c>
      <c r="D8" s="13" t="s">
        <v>154</v>
      </c>
      <c r="E8" s="16">
        <v>46092.2229050926</v>
      </c>
      <c r="F8" s="3">
        <v>21584.54</v>
      </c>
      <c r="G8" s="3">
        <v>0</v>
      </c>
      <c r="H8" s="3">
        <v>21584.54</v>
      </c>
      <c r="I8" s="3">
        <v>290.18</v>
      </c>
      <c r="J8" s="3">
        <v>0</v>
      </c>
      <c r="K8" s="3">
        <v>290.18</v>
      </c>
      <c r="L8" s="3">
        <v>2253.85</v>
      </c>
      <c r="M8" s="3">
        <v>29300</v>
      </c>
      <c r="N8" s="3">
        <v>2253.85</v>
      </c>
      <c r="O8" s="3">
        <v>29300</v>
      </c>
      <c r="P8" s="3" t="s">
        <v>41</v>
      </c>
      <c r="Q8" s="3" t="s">
        <v>42</v>
      </c>
      <c r="R8" s="3" t="s">
        <v>148</v>
      </c>
      <c r="S8" s="3">
        <v>0</v>
      </c>
      <c r="T8" s="3">
        <v>1465</v>
      </c>
      <c r="U8" s="3">
        <v>0</v>
      </c>
      <c r="V8" s="3" t="s">
        <v>35</v>
      </c>
      <c r="W8" s="3" t="s">
        <v>35</v>
      </c>
      <c r="X8" s="3" t="s">
        <v>35</v>
      </c>
      <c r="Y8" s="3" t="s">
        <v>35</v>
      </c>
      <c r="Z8" s="3" t="s">
        <v>35</v>
      </c>
      <c r="AA8" s="3" t="s">
        <v>35</v>
      </c>
      <c r="AB8" s="3" t="s">
        <v>43</v>
      </c>
      <c r="AC8" s="3" t="s">
        <v>37</v>
      </c>
    </row>
    <row r="9" s="3" customFormat="1" spans="1:29">
      <c r="A9" s="3" t="s">
        <v>29</v>
      </c>
      <c r="B9" s="3" t="s">
        <v>30</v>
      </c>
      <c r="C9" s="3">
        <v>22999645</v>
      </c>
      <c r="D9" s="13" t="s">
        <v>155</v>
      </c>
      <c r="E9" s="16">
        <v>46165.9675</v>
      </c>
      <c r="F9" s="3">
        <v>305.27</v>
      </c>
      <c r="G9" s="3">
        <v>0</v>
      </c>
      <c r="H9" s="3">
        <v>305.27</v>
      </c>
      <c r="I9" s="3">
        <v>80.77</v>
      </c>
      <c r="J9" s="3">
        <v>0</v>
      </c>
      <c r="K9" s="3">
        <v>80.77</v>
      </c>
      <c r="L9" s="3">
        <v>80.77</v>
      </c>
      <c r="M9" s="3">
        <v>1050</v>
      </c>
      <c r="N9" s="3">
        <v>80.77</v>
      </c>
      <c r="O9" s="3">
        <v>1050</v>
      </c>
      <c r="P9" s="3" t="s">
        <v>32</v>
      </c>
      <c r="Q9" s="3" t="s">
        <v>33</v>
      </c>
      <c r="R9" s="3" t="s">
        <v>148</v>
      </c>
      <c r="S9" s="3">
        <v>0</v>
      </c>
      <c r="T9" s="3">
        <v>52</v>
      </c>
      <c r="U9" s="3">
        <v>0</v>
      </c>
      <c r="V9" s="3" t="s">
        <v>35</v>
      </c>
      <c r="W9" s="3" t="s">
        <v>35</v>
      </c>
      <c r="X9" s="3" t="s">
        <v>35</v>
      </c>
      <c r="Y9" s="3" t="s">
        <v>35</v>
      </c>
      <c r="Z9" s="3" t="s">
        <v>35</v>
      </c>
      <c r="AA9" s="3" t="s">
        <v>35</v>
      </c>
      <c r="AB9" s="3" t="s">
        <v>43</v>
      </c>
      <c r="AC9" s="3" t="s">
        <v>37</v>
      </c>
    </row>
    <row r="10" s="3" customFormat="1" spans="1:29">
      <c r="A10" s="3" t="s">
        <v>29</v>
      </c>
      <c r="B10" s="3" t="s">
        <v>30</v>
      </c>
      <c r="C10" s="3">
        <v>19970315</v>
      </c>
      <c r="D10" s="13" t="s">
        <v>156</v>
      </c>
      <c r="E10" s="16">
        <v>45999.3799189815</v>
      </c>
      <c r="F10" s="3">
        <v>173.72</v>
      </c>
      <c r="G10" s="3">
        <v>29.92</v>
      </c>
      <c r="H10" s="3">
        <v>143.8</v>
      </c>
      <c r="I10" s="3">
        <v>44.29</v>
      </c>
      <c r="J10" s="3">
        <v>24.38</v>
      </c>
      <c r="K10" s="3">
        <v>19.91</v>
      </c>
      <c r="L10" s="3">
        <v>82.15</v>
      </c>
      <c r="M10" s="3">
        <v>1068</v>
      </c>
      <c r="N10" s="3">
        <v>48.92</v>
      </c>
      <c r="O10" s="3">
        <v>636</v>
      </c>
      <c r="P10" s="3" t="s">
        <v>61</v>
      </c>
      <c r="Q10" s="3" t="s">
        <v>33</v>
      </c>
      <c r="R10" s="3" t="s">
        <v>148</v>
      </c>
      <c r="S10" s="3">
        <v>120</v>
      </c>
      <c r="T10" s="3">
        <v>16</v>
      </c>
      <c r="U10" s="3">
        <v>0</v>
      </c>
      <c r="V10" s="3" t="s">
        <v>35</v>
      </c>
      <c r="W10" s="3" t="s">
        <v>35</v>
      </c>
      <c r="X10" s="3" t="s">
        <v>35</v>
      </c>
      <c r="Y10" s="3" t="s">
        <v>35</v>
      </c>
      <c r="Z10" s="3" t="s">
        <v>35</v>
      </c>
      <c r="AA10" s="3" t="s">
        <v>35</v>
      </c>
      <c r="AB10" s="3" t="s">
        <v>43</v>
      </c>
      <c r="AC10" s="3" t="s">
        <v>37</v>
      </c>
    </row>
    <row r="11" s="3" customFormat="1" spans="1:29">
      <c r="A11" s="3" t="s">
        <v>29</v>
      </c>
      <c r="B11" s="3" t="s">
        <v>30</v>
      </c>
      <c r="C11" s="3">
        <v>22843754</v>
      </c>
      <c r="D11" s="13" t="s">
        <v>157</v>
      </c>
      <c r="E11" s="16">
        <v>46155.2948148148</v>
      </c>
      <c r="F11" s="3">
        <v>8535.52</v>
      </c>
      <c r="G11" s="3">
        <v>0</v>
      </c>
      <c r="H11" s="3">
        <v>8535.52</v>
      </c>
      <c r="I11" s="3">
        <v>-287.7</v>
      </c>
      <c r="J11" s="3">
        <v>0</v>
      </c>
      <c r="K11" s="3">
        <v>-287.7</v>
      </c>
      <c r="L11" s="3">
        <v>527.69</v>
      </c>
      <c r="M11" s="3">
        <v>6860</v>
      </c>
      <c r="N11" s="3">
        <v>527.69</v>
      </c>
      <c r="O11" s="3">
        <v>6860</v>
      </c>
      <c r="P11" s="3" t="s">
        <v>41</v>
      </c>
      <c r="Q11" s="3" t="s">
        <v>33</v>
      </c>
      <c r="R11" s="3" t="s">
        <v>148</v>
      </c>
      <c r="S11" s="3">
        <v>0</v>
      </c>
      <c r="T11" s="3">
        <v>343</v>
      </c>
      <c r="U11" s="3">
        <v>0</v>
      </c>
      <c r="V11" s="3" t="s">
        <v>35</v>
      </c>
      <c r="W11" s="3" t="s">
        <v>35</v>
      </c>
      <c r="X11" s="3" t="s">
        <v>35</v>
      </c>
      <c r="Y11" s="3" t="s">
        <v>35</v>
      </c>
      <c r="Z11" s="3" t="s">
        <v>35</v>
      </c>
      <c r="AA11" s="3" t="s">
        <v>35</v>
      </c>
      <c r="AB11" s="3" t="s">
        <v>158</v>
      </c>
      <c r="AC11" s="3" t="s">
        <v>159</v>
      </c>
    </row>
    <row r="12" s="3" customFormat="1" spans="1:29">
      <c r="A12" s="3" t="s">
        <v>29</v>
      </c>
      <c r="B12" s="3" t="s">
        <v>30</v>
      </c>
      <c r="C12" s="3">
        <v>19415225</v>
      </c>
      <c r="D12" s="13" t="s">
        <v>160</v>
      </c>
      <c r="E12" s="16">
        <v>45973.8544444444</v>
      </c>
      <c r="F12" s="3">
        <v>177.67</v>
      </c>
      <c r="G12" s="3">
        <v>99.25</v>
      </c>
      <c r="H12" s="3">
        <v>78.42</v>
      </c>
      <c r="I12" s="3">
        <v>62.99</v>
      </c>
      <c r="J12" s="3">
        <v>47.04</v>
      </c>
      <c r="K12" s="3">
        <v>15.95</v>
      </c>
      <c r="L12" s="3">
        <v>127.15</v>
      </c>
      <c r="M12" s="3">
        <v>1653</v>
      </c>
      <c r="N12" s="3">
        <v>14.85</v>
      </c>
      <c r="O12" s="3">
        <v>193</v>
      </c>
      <c r="P12" s="3" t="s">
        <v>61</v>
      </c>
      <c r="Q12" s="3" t="s">
        <v>33</v>
      </c>
      <c r="R12" s="3" t="s">
        <v>148</v>
      </c>
      <c r="S12" s="3">
        <v>120</v>
      </c>
      <c r="T12" s="3">
        <v>5</v>
      </c>
      <c r="U12" s="3">
        <v>0</v>
      </c>
      <c r="V12" s="3" t="s">
        <v>35</v>
      </c>
      <c r="W12" s="3" t="s">
        <v>35</v>
      </c>
      <c r="X12" s="3" t="s">
        <v>35</v>
      </c>
      <c r="Y12" s="3" t="s">
        <v>35</v>
      </c>
      <c r="Z12" s="3" t="s">
        <v>35</v>
      </c>
      <c r="AA12" s="3" t="s">
        <v>35</v>
      </c>
      <c r="AB12" s="3" t="s">
        <v>158</v>
      </c>
      <c r="AC12" s="3" t="s">
        <v>159</v>
      </c>
    </row>
    <row r="13" s="3" customFormat="1" spans="1:29">
      <c r="A13" s="3" t="s">
        <v>29</v>
      </c>
      <c r="B13" s="3" t="s">
        <v>30</v>
      </c>
      <c r="C13" s="3">
        <v>20729693</v>
      </c>
      <c r="D13" s="13" t="s">
        <v>161</v>
      </c>
      <c r="E13" s="16">
        <v>46035.4298726852</v>
      </c>
      <c r="F13" s="3">
        <v>7524.73</v>
      </c>
      <c r="G13" s="3">
        <v>0</v>
      </c>
      <c r="H13" s="3">
        <v>7524.73</v>
      </c>
      <c r="I13" s="3">
        <v>464.14</v>
      </c>
      <c r="J13" s="3">
        <v>0</v>
      </c>
      <c r="K13" s="3">
        <v>464.14</v>
      </c>
      <c r="L13" s="3">
        <v>1941.31</v>
      </c>
      <c r="M13" s="3">
        <v>25237</v>
      </c>
      <c r="N13" s="3">
        <v>1825.92</v>
      </c>
      <c r="O13" s="3">
        <v>23737</v>
      </c>
      <c r="P13" s="3" t="s">
        <v>41</v>
      </c>
      <c r="Q13" s="3" t="s">
        <v>42</v>
      </c>
      <c r="R13" s="3" t="s">
        <v>148</v>
      </c>
      <c r="S13" s="3">
        <v>0</v>
      </c>
      <c r="T13" s="3">
        <v>1187</v>
      </c>
      <c r="U13" s="3">
        <v>0</v>
      </c>
      <c r="V13" s="3" t="s">
        <v>35</v>
      </c>
      <c r="W13" s="3" t="s">
        <v>35</v>
      </c>
      <c r="X13" s="3" t="s">
        <v>35</v>
      </c>
      <c r="Y13" s="3" t="s">
        <v>35</v>
      </c>
      <c r="Z13" s="3" t="s">
        <v>35</v>
      </c>
      <c r="AA13" s="3" t="s">
        <v>35</v>
      </c>
      <c r="AB13" s="3" t="s">
        <v>158</v>
      </c>
      <c r="AC13" s="3" t="s">
        <v>159</v>
      </c>
    </row>
    <row r="14" s="3" customFormat="1" spans="1:29">
      <c r="A14" s="3" t="s">
        <v>29</v>
      </c>
      <c r="B14" s="3" t="s">
        <v>30</v>
      </c>
      <c r="C14" s="3">
        <v>4707205</v>
      </c>
      <c r="D14" s="13" t="s">
        <v>162</v>
      </c>
      <c r="E14" s="16">
        <v>44360.3909259259</v>
      </c>
      <c r="F14" s="3">
        <v>2367.8</v>
      </c>
      <c r="G14" s="3">
        <v>10.92</v>
      </c>
      <c r="H14" s="3">
        <v>2356.41</v>
      </c>
      <c r="I14" s="3">
        <v>192.28</v>
      </c>
      <c r="J14" s="3">
        <v>7.14</v>
      </c>
      <c r="K14" s="3">
        <v>185.15</v>
      </c>
      <c r="L14" s="3">
        <v>378.38</v>
      </c>
      <c r="M14" s="3">
        <v>4919</v>
      </c>
      <c r="N14" s="3">
        <v>0.38</v>
      </c>
      <c r="O14" s="3">
        <v>5</v>
      </c>
      <c r="P14" s="3" t="s">
        <v>32</v>
      </c>
      <c r="Q14" s="3" t="s">
        <v>33</v>
      </c>
      <c r="R14" s="3" t="s">
        <v>148</v>
      </c>
      <c r="S14" s="3">
        <v>0</v>
      </c>
      <c r="T14" s="3">
        <v>0</v>
      </c>
      <c r="U14" s="3">
        <v>0</v>
      </c>
      <c r="V14" s="3" t="s">
        <v>35</v>
      </c>
      <c r="W14" s="3" t="s">
        <v>35</v>
      </c>
      <c r="X14" s="3" t="s">
        <v>35</v>
      </c>
      <c r="Y14" s="3" t="s">
        <v>35</v>
      </c>
      <c r="Z14" s="3" t="s">
        <v>35</v>
      </c>
      <c r="AA14" s="3" t="s">
        <v>35</v>
      </c>
      <c r="AB14" s="3" t="s">
        <v>163</v>
      </c>
      <c r="AC14" s="3" t="s">
        <v>159</v>
      </c>
    </row>
    <row r="15" s="3" customFormat="1" spans="1:29">
      <c r="A15" s="3" t="s">
        <v>29</v>
      </c>
      <c r="B15" s="3" t="s">
        <v>30</v>
      </c>
      <c r="C15" s="3">
        <v>18410664</v>
      </c>
      <c r="D15" s="13" t="s">
        <v>164</v>
      </c>
      <c r="E15" s="16">
        <v>45909.9268981482</v>
      </c>
      <c r="F15" s="3">
        <v>2064.88</v>
      </c>
      <c r="G15" s="3">
        <v>0.15</v>
      </c>
      <c r="H15" s="3">
        <v>2064.72</v>
      </c>
      <c r="I15" s="3">
        <v>125.12</v>
      </c>
      <c r="J15" s="3">
        <v>0.15</v>
      </c>
      <c r="K15" s="3">
        <v>124.97</v>
      </c>
      <c r="L15" s="3">
        <v>286.31</v>
      </c>
      <c r="M15" s="3">
        <v>3722</v>
      </c>
      <c r="N15" s="3">
        <v>91.77</v>
      </c>
      <c r="O15" s="3">
        <v>1193</v>
      </c>
      <c r="P15" s="3" t="s">
        <v>32</v>
      </c>
      <c r="Q15" s="3" t="s">
        <v>33</v>
      </c>
      <c r="R15" s="3" t="s">
        <v>148</v>
      </c>
      <c r="S15" s="3">
        <v>0</v>
      </c>
      <c r="T15" s="3">
        <v>60</v>
      </c>
      <c r="U15" s="3">
        <v>0</v>
      </c>
      <c r="V15" s="3" t="s">
        <v>35</v>
      </c>
      <c r="W15" s="3" t="s">
        <v>35</v>
      </c>
      <c r="X15" s="3" t="s">
        <v>35</v>
      </c>
      <c r="Y15" s="3" t="s">
        <v>35</v>
      </c>
      <c r="Z15" s="3" t="s">
        <v>35</v>
      </c>
      <c r="AA15" s="3" t="s">
        <v>35</v>
      </c>
      <c r="AB15" s="3" t="s">
        <v>48</v>
      </c>
      <c r="AC15" s="3" t="s">
        <v>49</v>
      </c>
    </row>
    <row r="16" s="3" customFormat="1" spans="1:29">
      <c r="A16" s="3" t="s">
        <v>29</v>
      </c>
      <c r="B16" s="3" t="s">
        <v>30</v>
      </c>
      <c r="C16" s="3">
        <v>9010675</v>
      </c>
      <c r="D16" s="13" t="s">
        <v>165</v>
      </c>
      <c r="E16" s="16">
        <v>44875.5058449074</v>
      </c>
      <c r="F16" s="3">
        <v>2923.69</v>
      </c>
      <c r="G16" s="3">
        <v>0</v>
      </c>
      <c r="H16" s="3">
        <v>2923.69</v>
      </c>
      <c r="I16" s="3">
        <v>-28.95</v>
      </c>
      <c r="J16" s="3">
        <v>0</v>
      </c>
      <c r="K16" s="3">
        <v>-28.95</v>
      </c>
      <c r="L16" s="3">
        <v>592.62</v>
      </c>
      <c r="M16" s="3">
        <v>7704</v>
      </c>
      <c r="N16" s="3">
        <v>0</v>
      </c>
      <c r="O16" s="3">
        <v>0</v>
      </c>
      <c r="P16" s="3" t="s">
        <v>32</v>
      </c>
      <c r="Q16" s="3" t="s">
        <v>33</v>
      </c>
      <c r="R16" s="3" t="s">
        <v>148</v>
      </c>
      <c r="S16" s="3">
        <v>0</v>
      </c>
      <c r="T16" s="3">
        <v>0</v>
      </c>
      <c r="U16" s="3">
        <v>0</v>
      </c>
      <c r="V16" s="3" t="s">
        <v>35</v>
      </c>
      <c r="W16" s="3" t="s">
        <v>35</v>
      </c>
      <c r="X16" s="3" t="s">
        <v>35</v>
      </c>
      <c r="Y16" s="3" t="s">
        <v>35</v>
      </c>
      <c r="Z16" s="3" t="s">
        <v>35</v>
      </c>
      <c r="AA16" s="3" t="s">
        <v>35</v>
      </c>
      <c r="AB16" s="3" t="s">
        <v>48</v>
      </c>
      <c r="AC16" s="3" t="s">
        <v>49</v>
      </c>
    </row>
    <row r="17" s="3" customFormat="1" spans="1:29">
      <c r="A17" s="3" t="s">
        <v>29</v>
      </c>
      <c r="B17" s="3" t="s">
        <v>30</v>
      </c>
      <c r="C17" s="3">
        <v>20927865</v>
      </c>
      <c r="D17" s="13" t="s">
        <v>166</v>
      </c>
      <c r="E17" s="16">
        <v>46045.4133564815</v>
      </c>
      <c r="F17" s="3">
        <v>925.41</v>
      </c>
      <c r="G17" s="3">
        <v>0</v>
      </c>
      <c r="H17" s="3">
        <v>925.41</v>
      </c>
      <c r="I17" s="3">
        <v>-45.87</v>
      </c>
      <c r="J17" s="3">
        <v>-0.16</v>
      </c>
      <c r="K17" s="3">
        <v>-45.71</v>
      </c>
      <c r="L17" s="3">
        <v>88.46</v>
      </c>
      <c r="M17" s="3">
        <v>1150</v>
      </c>
      <c r="N17" s="3">
        <v>0</v>
      </c>
      <c r="O17" s="3">
        <v>0</v>
      </c>
      <c r="P17" s="3" t="s">
        <v>41</v>
      </c>
      <c r="Q17" s="3" t="s">
        <v>33</v>
      </c>
      <c r="R17" s="3" t="s">
        <v>148</v>
      </c>
      <c r="S17" s="3">
        <v>0</v>
      </c>
      <c r="T17" s="3">
        <v>0</v>
      </c>
      <c r="U17" s="3">
        <v>0</v>
      </c>
      <c r="V17" s="3" t="s">
        <v>35</v>
      </c>
      <c r="W17" s="3" t="s">
        <v>35</v>
      </c>
      <c r="X17" s="3" t="s">
        <v>35</v>
      </c>
      <c r="Y17" s="3" t="s">
        <v>35</v>
      </c>
      <c r="Z17" s="3" t="s">
        <v>35</v>
      </c>
      <c r="AA17" s="3" t="s">
        <v>35</v>
      </c>
      <c r="AB17" s="3" t="s">
        <v>48</v>
      </c>
      <c r="AC17" s="3" t="s">
        <v>49</v>
      </c>
    </row>
    <row r="18" s="3" customFormat="1" spans="1:29">
      <c r="A18" s="3" t="s">
        <v>29</v>
      </c>
      <c r="B18" s="3" t="s">
        <v>30</v>
      </c>
      <c r="C18" s="3">
        <v>5015133</v>
      </c>
      <c r="D18" s="13" t="s">
        <v>167</v>
      </c>
      <c r="E18" s="16">
        <v>44384.5301851852</v>
      </c>
      <c r="F18" s="3">
        <v>2929.42</v>
      </c>
      <c r="G18" s="3">
        <v>15.46</v>
      </c>
      <c r="H18" s="3">
        <v>2913.96</v>
      </c>
      <c r="I18" s="3">
        <v>190.91</v>
      </c>
      <c r="J18" s="3">
        <v>15.26</v>
      </c>
      <c r="K18" s="3">
        <v>175.65</v>
      </c>
      <c r="L18" s="3">
        <v>332.08</v>
      </c>
      <c r="M18" s="3">
        <v>4317</v>
      </c>
      <c r="N18" s="3">
        <v>0</v>
      </c>
      <c r="O18" s="3">
        <v>0</v>
      </c>
      <c r="P18" s="3" t="s">
        <v>41</v>
      </c>
      <c r="Q18" s="3" t="s">
        <v>33</v>
      </c>
      <c r="R18" s="3" t="s">
        <v>148</v>
      </c>
      <c r="S18" s="3">
        <v>0</v>
      </c>
      <c r="T18" s="3">
        <v>0</v>
      </c>
      <c r="U18" s="3">
        <v>0</v>
      </c>
      <c r="V18" s="3" t="s">
        <v>35</v>
      </c>
      <c r="W18" s="3" t="s">
        <v>35</v>
      </c>
      <c r="X18" s="3" t="s">
        <v>35</v>
      </c>
      <c r="Y18" s="3" t="s">
        <v>35</v>
      </c>
      <c r="Z18" s="3" t="s">
        <v>35</v>
      </c>
      <c r="AA18" s="3" t="s">
        <v>35</v>
      </c>
      <c r="AB18" s="3" t="s">
        <v>48</v>
      </c>
      <c r="AC18" s="3" t="s">
        <v>49</v>
      </c>
    </row>
    <row r="19" s="3" customFormat="1" spans="1:29">
      <c r="A19" s="3" t="s">
        <v>29</v>
      </c>
      <c r="B19" s="3" t="s">
        <v>30</v>
      </c>
      <c r="C19" s="3">
        <v>18777805</v>
      </c>
      <c r="D19" s="13" t="s">
        <v>168</v>
      </c>
      <c r="E19" s="16">
        <v>45933.0314351852</v>
      </c>
      <c r="F19" s="3">
        <v>2549.05</v>
      </c>
      <c r="G19" s="3">
        <v>1.69</v>
      </c>
      <c r="H19" s="3">
        <v>2547.36</v>
      </c>
      <c r="I19" s="3">
        <v>276.94</v>
      </c>
      <c r="J19" s="3">
        <v>1.69</v>
      </c>
      <c r="K19" s="3">
        <v>275.25</v>
      </c>
      <c r="L19" s="3">
        <v>439.08</v>
      </c>
      <c r="M19" s="3">
        <v>5708</v>
      </c>
      <c r="N19" s="3">
        <v>0</v>
      </c>
      <c r="O19" s="3">
        <v>0</v>
      </c>
      <c r="P19" s="3" t="s">
        <v>41</v>
      </c>
      <c r="Q19" s="3" t="s">
        <v>33</v>
      </c>
      <c r="R19" s="3" t="s">
        <v>148</v>
      </c>
      <c r="S19" s="3">
        <v>0</v>
      </c>
      <c r="T19" s="3">
        <v>0</v>
      </c>
      <c r="U19" s="3">
        <v>0</v>
      </c>
      <c r="V19" s="3" t="s">
        <v>35</v>
      </c>
      <c r="W19" s="3" t="s">
        <v>35</v>
      </c>
      <c r="X19" s="3" t="s">
        <v>35</v>
      </c>
      <c r="Y19" s="3" t="s">
        <v>35</v>
      </c>
      <c r="Z19" s="3" t="s">
        <v>35</v>
      </c>
      <c r="AA19" s="3" t="s">
        <v>35</v>
      </c>
      <c r="AB19" s="3" t="s">
        <v>48</v>
      </c>
      <c r="AC19" s="3" t="s">
        <v>49</v>
      </c>
    </row>
    <row r="20" s="3" customFormat="1" spans="1:29">
      <c r="A20" s="3" t="s">
        <v>29</v>
      </c>
      <c r="B20" s="3" t="s">
        <v>30</v>
      </c>
      <c r="C20" s="3">
        <v>21435623</v>
      </c>
      <c r="D20" s="13" t="s">
        <v>169</v>
      </c>
      <c r="E20" s="16">
        <v>46073.0260416667</v>
      </c>
      <c r="F20" s="3">
        <v>1761.74</v>
      </c>
      <c r="G20" s="3">
        <v>0.23</v>
      </c>
      <c r="H20" s="3">
        <v>1761.51</v>
      </c>
      <c r="I20" s="3">
        <v>48.16</v>
      </c>
      <c r="J20" s="3">
        <v>-0.06</v>
      </c>
      <c r="K20" s="3">
        <v>48.22</v>
      </c>
      <c r="L20" s="3">
        <v>355.15</v>
      </c>
      <c r="M20" s="3">
        <v>4617</v>
      </c>
      <c r="N20" s="3">
        <v>349.15</v>
      </c>
      <c r="O20" s="3">
        <v>4539</v>
      </c>
      <c r="P20" s="3" t="s">
        <v>32</v>
      </c>
      <c r="Q20" s="3" t="s">
        <v>33</v>
      </c>
      <c r="R20" s="3" t="s">
        <v>148</v>
      </c>
      <c r="S20" s="3">
        <v>0</v>
      </c>
      <c r="T20" s="3">
        <v>227</v>
      </c>
      <c r="U20" s="3">
        <v>0</v>
      </c>
      <c r="V20" s="3" t="s">
        <v>35</v>
      </c>
      <c r="W20" s="3" t="s">
        <v>35</v>
      </c>
      <c r="X20" s="3" t="s">
        <v>35</v>
      </c>
      <c r="Y20" s="3" t="s">
        <v>35</v>
      </c>
      <c r="Z20" s="3" t="s">
        <v>35</v>
      </c>
      <c r="AA20" s="3" t="s">
        <v>35</v>
      </c>
      <c r="AB20" s="3" t="s">
        <v>48</v>
      </c>
      <c r="AC20" s="3" t="s">
        <v>49</v>
      </c>
    </row>
    <row r="21" s="3" customFormat="1" spans="1:29">
      <c r="A21" s="3" t="s">
        <v>29</v>
      </c>
      <c r="B21" s="3" t="s">
        <v>30</v>
      </c>
      <c r="C21" s="3">
        <v>18495305</v>
      </c>
      <c r="D21" s="13" t="s">
        <v>170</v>
      </c>
      <c r="E21" s="16">
        <v>45915.9280787037</v>
      </c>
      <c r="F21" s="3">
        <v>1302.39</v>
      </c>
      <c r="G21" s="3">
        <v>47.96</v>
      </c>
      <c r="H21" s="3">
        <v>1254.42</v>
      </c>
      <c r="I21" s="3">
        <v>41.29</v>
      </c>
      <c r="J21" s="3">
        <v>47.96</v>
      </c>
      <c r="K21" s="3">
        <v>-6.68</v>
      </c>
      <c r="L21" s="3">
        <v>207.31</v>
      </c>
      <c r="M21" s="3">
        <v>2695</v>
      </c>
      <c r="N21" s="3">
        <v>34.77</v>
      </c>
      <c r="O21" s="3">
        <v>452</v>
      </c>
      <c r="P21" s="3" t="s">
        <v>41</v>
      </c>
      <c r="Q21" s="3" t="s">
        <v>33</v>
      </c>
      <c r="R21" s="3" t="s">
        <v>148</v>
      </c>
      <c r="S21" s="3">
        <v>0</v>
      </c>
      <c r="T21" s="3">
        <v>23</v>
      </c>
      <c r="U21" s="3">
        <v>0</v>
      </c>
      <c r="V21" s="3" t="s">
        <v>35</v>
      </c>
      <c r="W21" s="3" t="s">
        <v>35</v>
      </c>
      <c r="X21" s="3" t="s">
        <v>35</v>
      </c>
      <c r="Y21" s="3" t="s">
        <v>35</v>
      </c>
      <c r="Z21" s="3" t="s">
        <v>35</v>
      </c>
      <c r="AA21" s="3" t="s">
        <v>35</v>
      </c>
      <c r="AB21" s="3" t="s">
        <v>48</v>
      </c>
      <c r="AC21" s="3" t="s">
        <v>49</v>
      </c>
    </row>
    <row r="22" s="3" customFormat="1" spans="1:29">
      <c r="A22" s="3" t="s">
        <v>29</v>
      </c>
      <c r="B22" s="3" t="s">
        <v>30</v>
      </c>
      <c r="C22" s="3">
        <v>20581154</v>
      </c>
      <c r="D22" s="13" t="s">
        <v>171</v>
      </c>
      <c r="E22" s="16">
        <v>46028.7419675926</v>
      </c>
      <c r="F22" s="3">
        <v>7003.39</v>
      </c>
      <c r="G22" s="3">
        <v>0.69</v>
      </c>
      <c r="H22" s="3">
        <v>7002.7</v>
      </c>
      <c r="I22" s="3">
        <v>-279.62</v>
      </c>
      <c r="J22" s="3">
        <v>0.69</v>
      </c>
      <c r="K22" s="3">
        <v>-280.32</v>
      </c>
      <c r="L22" s="3">
        <v>711.85</v>
      </c>
      <c r="M22" s="3">
        <v>9254</v>
      </c>
      <c r="N22" s="3">
        <v>96.77</v>
      </c>
      <c r="O22" s="3">
        <v>1258</v>
      </c>
      <c r="P22" s="3" t="s">
        <v>41</v>
      </c>
      <c r="Q22" s="3" t="s">
        <v>33</v>
      </c>
      <c r="R22" s="3" t="s">
        <v>148</v>
      </c>
      <c r="S22" s="3">
        <v>0</v>
      </c>
      <c r="T22" s="3">
        <v>63</v>
      </c>
      <c r="U22" s="3">
        <v>0</v>
      </c>
      <c r="V22" s="3" t="s">
        <v>35</v>
      </c>
      <c r="W22" s="3" t="s">
        <v>35</v>
      </c>
      <c r="X22" s="3" t="s">
        <v>35</v>
      </c>
      <c r="Y22" s="3" t="s">
        <v>35</v>
      </c>
      <c r="Z22" s="3" t="s">
        <v>35</v>
      </c>
      <c r="AA22" s="3" t="s">
        <v>35</v>
      </c>
      <c r="AB22" s="3" t="s">
        <v>48</v>
      </c>
      <c r="AC22" s="3" t="s">
        <v>49</v>
      </c>
    </row>
    <row r="23" s="3" customFormat="1" spans="1:29">
      <c r="A23" s="3" t="s">
        <v>29</v>
      </c>
      <c r="B23" s="3" t="s">
        <v>30</v>
      </c>
      <c r="C23" s="3">
        <v>22614203</v>
      </c>
      <c r="D23" s="13" t="s">
        <v>172</v>
      </c>
      <c r="E23" s="16">
        <v>46138.569224537</v>
      </c>
      <c r="F23" s="3">
        <v>682.35</v>
      </c>
      <c r="G23" s="3">
        <v>0.08</v>
      </c>
      <c r="H23" s="3">
        <v>682.27</v>
      </c>
      <c r="I23" s="3">
        <v>-11.53</v>
      </c>
      <c r="J23" s="3">
        <v>0.08</v>
      </c>
      <c r="K23" s="3">
        <v>-11.61</v>
      </c>
      <c r="L23" s="3">
        <v>253.85</v>
      </c>
      <c r="M23" s="3">
        <v>3300</v>
      </c>
      <c r="N23" s="3">
        <v>253.85</v>
      </c>
      <c r="O23" s="3">
        <v>3300</v>
      </c>
      <c r="P23" s="3" t="s">
        <v>32</v>
      </c>
      <c r="Q23" s="3" t="s">
        <v>33</v>
      </c>
      <c r="R23" s="3" t="s">
        <v>148</v>
      </c>
      <c r="S23" s="3">
        <v>0</v>
      </c>
      <c r="T23" s="3">
        <v>165</v>
      </c>
      <c r="U23" s="3">
        <v>0</v>
      </c>
      <c r="V23" s="3" t="s">
        <v>35</v>
      </c>
      <c r="W23" s="3" t="s">
        <v>35</v>
      </c>
      <c r="X23" s="3" t="s">
        <v>35</v>
      </c>
      <c r="Y23" s="3" t="s">
        <v>35</v>
      </c>
      <c r="Z23" s="3" t="s">
        <v>35</v>
      </c>
      <c r="AA23" s="3" t="s">
        <v>35</v>
      </c>
      <c r="AB23" s="3" t="s">
        <v>53</v>
      </c>
      <c r="AC23" s="3" t="s">
        <v>49</v>
      </c>
    </row>
    <row r="24" s="3" customFormat="1" spans="1:29">
      <c r="A24" s="3" t="s">
        <v>29</v>
      </c>
      <c r="B24" s="3" t="s">
        <v>30</v>
      </c>
      <c r="C24" s="3">
        <v>17356955</v>
      </c>
      <c r="D24" s="13" t="s">
        <v>173</v>
      </c>
      <c r="E24" s="16">
        <v>45848.9160069444</v>
      </c>
      <c r="F24" s="3">
        <v>354.32</v>
      </c>
      <c r="G24" s="3">
        <v>0.23</v>
      </c>
      <c r="H24" s="3">
        <v>354.09</v>
      </c>
      <c r="I24" s="3">
        <v>15.93</v>
      </c>
      <c r="J24" s="3">
        <v>-0.22</v>
      </c>
      <c r="K24" s="3">
        <v>16.14</v>
      </c>
      <c r="L24" s="3">
        <v>105</v>
      </c>
      <c r="M24" s="3">
        <v>1365</v>
      </c>
      <c r="N24" s="3">
        <v>0</v>
      </c>
      <c r="O24" s="3">
        <v>0</v>
      </c>
      <c r="P24" s="3" t="s">
        <v>41</v>
      </c>
      <c r="Q24" s="3" t="s">
        <v>33</v>
      </c>
      <c r="R24" s="3" t="s">
        <v>148</v>
      </c>
      <c r="S24" s="3">
        <v>0</v>
      </c>
      <c r="T24" s="3">
        <v>0</v>
      </c>
      <c r="U24" s="3">
        <v>0</v>
      </c>
      <c r="V24" s="3" t="s">
        <v>35</v>
      </c>
      <c r="W24" s="3" t="s">
        <v>35</v>
      </c>
      <c r="X24" s="3" t="s">
        <v>35</v>
      </c>
      <c r="Y24" s="3" t="s">
        <v>35</v>
      </c>
      <c r="Z24" s="3" t="s">
        <v>35</v>
      </c>
      <c r="AA24" s="3" t="s">
        <v>35</v>
      </c>
      <c r="AB24" s="3" t="s">
        <v>53</v>
      </c>
      <c r="AC24" s="3" t="s">
        <v>49</v>
      </c>
    </row>
    <row r="25" s="3" customFormat="1" spans="1:29">
      <c r="A25" s="3" t="s">
        <v>29</v>
      </c>
      <c r="B25" s="3" t="s">
        <v>30</v>
      </c>
      <c r="C25" s="3">
        <v>19688255</v>
      </c>
      <c r="D25" s="13" t="s">
        <v>174</v>
      </c>
      <c r="E25" s="16">
        <v>45985.8746064815</v>
      </c>
      <c r="F25" s="3">
        <v>332.29</v>
      </c>
      <c r="G25" s="3">
        <v>0</v>
      </c>
      <c r="H25" s="3">
        <v>332.29</v>
      </c>
      <c r="I25" s="3">
        <v>28.51</v>
      </c>
      <c r="J25" s="3">
        <v>0</v>
      </c>
      <c r="K25" s="3">
        <v>28.51</v>
      </c>
      <c r="L25" s="3">
        <v>173.85</v>
      </c>
      <c r="M25" s="3">
        <v>2260</v>
      </c>
      <c r="N25" s="3">
        <v>86.15</v>
      </c>
      <c r="O25" s="3">
        <v>1120</v>
      </c>
      <c r="P25" s="3" t="s">
        <v>41</v>
      </c>
      <c r="Q25" s="3" t="s">
        <v>33</v>
      </c>
      <c r="R25" s="3" t="s">
        <v>148</v>
      </c>
      <c r="S25" s="3">
        <v>0</v>
      </c>
      <c r="T25" s="3">
        <v>56</v>
      </c>
      <c r="U25" s="3">
        <v>0</v>
      </c>
      <c r="V25" s="3" t="s">
        <v>35</v>
      </c>
      <c r="W25" s="3" t="s">
        <v>35</v>
      </c>
      <c r="X25" s="3" t="s">
        <v>35</v>
      </c>
      <c r="Y25" s="3" t="s">
        <v>35</v>
      </c>
      <c r="Z25" s="3" t="s">
        <v>35</v>
      </c>
      <c r="AA25" s="3" t="s">
        <v>35</v>
      </c>
      <c r="AB25" s="3" t="s">
        <v>53</v>
      </c>
      <c r="AC25" s="3" t="s">
        <v>49</v>
      </c>
    </row>
    <row r="26" s="3" customFormat="1" spans="1:29">
      <c r="A26" s="3" t="s">
        <v>29</v>
      </c>
      <c r="B26" s="3" t="s">
        <v>30</v>
      </c>
      <c r="C26" s="3">
        <v>21679314</v>
      </c>
      <c r="D26" s="13" t="s">
        <v>175</v>
      </c>
      <c r="E26" s="16">
        <v>46084.5606944444</v>
      </c>
      <c r="F26" s="3">
        <v>120.03</v>
      </c>
      <c r="G26" s="3">
        <v>65.65</v>
      </c>
      <c r="H26" s="3">
        <v>54.38</v>
      </c>
      <c r="I26" s="3">
        <v>40.42</v>
      </c>
      <c r="J26" s="3">
        <v>36.07</v>
      </c>
      <c r="K26" s="3">
        <v>4.36</v>
      </c>
      <c r="L26" s="3">
        <v>71.85</v>
      </c>
      <c r="M26" s="3">
        <v>934</v>
      </c>
      <c r="N26" s="3">
        <v>58.46</v>
      </c>
      <c r="O26" s="3">
        <v>760</v>
      </c>
      <c r="P26" s="3" t="s">
        <v>61</v>
      </c>
      <c r="Q26" s="3" t="s">
        <v>33</v>
      </c>
      <c r="R26" s="3" t="s">
        <v>148</v>
      </c>
      <c r="S26" s="3">
        <v>120</v>
      </c>
      <c r="T26" s="3">
        <v>19</v>
      </c>
      <c r="U26" s="3">
        <v>0</v>
      </c>
      <c r="V26" s="3" t="s">
        <v>35</v>
      </c>
      <c r="W26" s="3" t="s">
        <v>35</v>
      </c>
      <c r="X26" s="3" t="s">
        <v>35</v>
      </c>
      <c r="Y26" s="3" t="s">
        <v>35</v>
      </c>
      <c r="Z26" s="3" t="s">
        <v>35</v>
      </c>
      <c r="AA26" s="3" t="s">
        <v>35</v>
      </c>
      <c r="AB26" s="3" t="s">
        <v>53</v>
      </c>
      <c r="AC26" s="3" t="s">
        <v>49</v>
      </c>
    </row>
    <row r="27" s="3" customFormat="1" spans="1:29">
      <c r="A27" s="3" t="s">
        <v>29</v>
      </c>
      <c r="B27" s="3" t="s">
        <v>30</v>
      </c>
      <c r="C27" s="3">
        <v>20838455</v>
      </c>
      <c r="D27" s="13" t="s">
        <v>176</v>
      </c>
      <c r="E27" s="16">
        <v>46040.8630787037</v>
      </c>
      <c r="F27" s="3">
        <v>5623.81</v>
      </c>
      <c r="G27" s="3">
        <v>117.54</v>
      </c>
      <c r="H27" s="3">
        <v>5506.27</v>
      </c>
      <c r="I27" s="3">
        <v>35.12</v>
      </c>
      <c r="J27" s="3">
        <v>76.46</v>
      </c>
      <c r="K27" s="3">
        <v>-41.34</v>
      </c>
      <c r="L27" s="3">
        <v>1055.54</v>
      </c>
      <c r="M27" s="3">
        <v>13722</v>
      </c>
      <c r="N27" s="3">
        <v>705.92</v>
      </c>
      <c r="O27" s="3">
        <v>9177</v>
      </c>
      <c r="P27" s="3" t="s">
        <v>41</v>
      </c>
      <c r="Q27" s="3" t="s">
        <v>42</v>
      </c>
      <c r="R27" s="3" t="s">
        <v>148</v>
      </c>
      <c r="S27" s="3">
        <v>0</v>
      </c>
      <c r="T27" s="3">
        <v>459</v>
      </c>
      <c r="U27" s="3">
        <v>0</v>
      </c>
      <c r="V27" s="3" t="s">
        <v>35</v>
      </c>
      <c r="W27" s="3" t="s">
        <v>35</v>
      </c>
      <c r="X27" s="3" t="s">
        <v>35</v>
      </c>
      <c r="Y27" s="3" t="s">
        <v>35</v>
      </c>
      <c r="Z27" s="3" t="s">
        <v>35</v>
      </c>
      <c r="AA27" s="3" t="s">
        <v>35</v>
      </c>
      <c r="AB27" s="3" t="s">
        <v>58</v>
      </c>
      <c r="AC27" s="3" t="s">
        <v>49</v>
      </c>
    </row>
    <row r="28" s="3" customFormat="1" spans="1:29">
      <c r="A28" s="3" t="s">
        <v>29</v>
      </c>
      <c r="B28" s="3" t="s">
        <v>30</v>
      </c>
      <c r="C28" s="3">
        <v>18878594</v>
      </c>
      <c r="D28" s="13" t="s">
        <v>177</v>
      </c>
      <c r="E28" s="16">
        <v>45939.723900463</v>
      </c>
      <c r="F28" s="3">
        <v>1732.94</v>
      </c>
      <c r="G28" s="3">
        <v>436.28</v>
      </c>
      <c r="H28" s="3">
        <v>1296.66</v>
      </c>
      <c r="I28" s="3">
        <v>-7</v>
      </c>
      <c r="J28" s="3">
        <v>99.21</v>
      </c>
      <c r="K28" s="3">
        <v>-106.21</v>
      </c>
      <c r="L28" s="3">
        <v>794.08</v>
      </c>
      <c r="M28" s="3">
        <v>10323</v>
      </c>
      <c r="N28" s="3">
        <v>109.92</v>
      </c>
      <c r="O28" s="3">
        <v>1429</v>
      </c>
      <c r="P28" s="3" t="s">
        <v>61</v>
      </c>
      <c r="Q28" s="3" t="s">
        <v>33</v>
      </c>
      <c r="R28" s="3" t="s">
        <v>148</v>
      </c>
      <c r="S28" s="3">
        <v>120</v>
      </c>
      <c r="T28" s="3">
        <v>36</v>
      </c>
      <c r="U28" s="3">
        <v>0</v>
      </c>
      <c r="V28" s="3" t="s">
        <v>35</v>
      </c>
      <c r="W28" s="3" t="s">
        <v>35</v>
      </c>
      <c r="X28" s="3" t="s">
        <v>35</v>
      </c>
      <c r="Y28" s="3" t="s">
        <v>35</v>
      </c>
      <c r="Z28" s="3" t="s">
        <v>35</v>
      </c>
      <c r="AA28" s="3" t="s">
        <v>35</v>
      </c>
      <c r="AB28" s="3" t="s">
        <v>58</v>
      </c>
      <c r="AC28" s="3" t="s">
        <v>49</v>
      </c>
    </row>
    <row r="29" s="3" customFormat="1" spans="1:29">
      <c r="A29" s="3" t="s">
        <v>29</v>
      </c>
      <c r="B29" s="3" t="s">
        <v>30</v>
      </c>
      <c r="C29" s="3">
        <v>10733783</v>
      </c>
      <c r="D29" s="13" t="s">
        <v>178</v>
      </c>
      <c r="E29" s="16">
        <v>45189.3302893518</v>
      </c>
      <c r="F29" s="3">
        <v>30.01</v>
      </c>
      <c r="G29" s="3">
        <v>3.85</v>
      </c>
      <c r="H29" s="3">
        <v>26.17</v>
      </c>
      <c r="I29" s="3">
        <v>8.08</v>
      </c>
      <c r="J29" s="3">
        <v>3.85</v>
      </c>
      <c r="K29" s="3">
        <v>4.23</v>
      </c>
      <c r="L29" s="3">
        <v>69</v>
      </c>
      <c r="M29" s="3">
        <v>897</v>
      </c>
      <c r="N29" s="3">
        <v>0.85</v>
      </c>
      <c r="O29" s="3">
        <v>11</v>
      </c>
      <c r="P29" s="3" t="s">
        <v>61</v>
      </c>
      <c r="Q29" s="3" t="s">
        <v>33</v>
      </c>
      <c r="R29" s="3" t="s">
        <v>148</v>
      </c>
      <c r="S29" s="3">
        <v>120</v>
      </c>
      <c r="T29" s="3">
        <v>0</v>
      </c>
      <c r="U29" s="3">
        <v>0</v>
      </c>
      <c r="V29" s="3" t="s">
        <v>35</v>
      </c>
      <c r="W29" s="3" t="s">
        <v>35</v>
      </c>
      <c r="X29" s="3" t="s">
        <v>35</v>
      </c>
      <c r="Y29" s="3" t="s">
        <v>35</v>
      </c>
      <c r="Z29" s="3" t="s">
        <v>35</v>
      </c>
      <c r="AA29" s="3" t="s">
        <v>35</v>
      </c>
      <c r="AB29" s="3" t="s">
        <v>58</v>
      </c>
      <c r="AC29" s="3" t="s">
        <v>49</v>
      </c>
    </row>
    <row r="30" s="3" customFormat="1" spans="1:29">
      <c r="A30" s="3" t="s">
        <v>29</v>
      </c>
      <c r="B30" s="3" t="s">
        <v>30</v>
      </c>
      <c r="C30" s="3">
        <v>22372504</v>
      </c>
      <c r="D30" s="13" t="s">
        <v>179</v>
      </c>
      <c r="E30" s="16">
        <v>46123.427650463</v>
      </c>
      <c r="F30" s="3">
        <v>95.82</v>
      </c>
      <c r="G30" s="3">
        <v>31.85</v>
      </c>
      <c r="H30" s="3">
        <v>63.98</v>
      </c>
      <c r="I30" s="3">
        <v>41.43</v>
      </c>
      <c r="J30" s="3">
        <v>19.4</v>
      </c>
      <c r="K30" s="3">
        <v>22.04</v>
      </c>
      <c r="L30" s="3">
        <v>50.38</v>
      </c>
      <c r="M30" s="3">
        <v>655</v>
      </c>
      <c r="N30" s="3">
        <v>50.38</v>
      </c>
      <c r="O30" s="3">
        <v>655</v>
      </c>
      <c r="P30" s="3" t="s">
        <v>61</v>
      </c>
      <c r="Q30" s="3" t="s">
        <v>33</v>
      </c>
      <c r="R30" s="3" t="s">
        <v>148</v>
      </c>
      <c r="S30" s="3">
        <v>120</v>
      </c>
      <c r="T30" s="3">
        <v>16</v>
      </c>
      <c r="U30" s="3">
        <v>0</v>
      </c>
      <c r="V30" s="3" t="s">
        <v>35</v>
      </c>
      <c r="W30" s="3" t="s">
        <v>35</v>
      </c>
      <c r="X30" s="3" t="s">
        <v>35</v>
      </c>
      <c r="Y30" s="3" t="s">
        <v>35</v>
      </c>
      <c r="Z30" s="3" t="s">
        <v>35</v>
      </c>
      <c r="AA30" s="3" t="s">
        <v>35</v>
      </c>
      <c r="AB30" s="3" t="s">
        <v>58</v>
      </c>
      <c r="AC30" s="3" t="s">
        <v>49</v>
      </c>
    </row>
    <row r="31" s="3" customFormat="1" spans="1:29">
      <c r="A31" s="3" t="s">
        <v>29</v>
      </c>
      <c r="B31" s="3" t="s">
        <v>30</v>
      </c>
      <c r="C31" s="3">
        <v>22313843</v>
      </c>
      <c r="D31" s="13" t="s">
        <v>180</v>
      </c>
      <c r="E31" s="16">
        <v>46120.7059606481</v>
      </c>
      <c r="F31" s="3">
        <v>8570.82</v>
      </c>
      <c r="G31" s="3">
        <v>0</v>
      </c>
      <c r="H31" s="3">
        <v>8570.82</v>
      </c>
      <c r="I31" s="3">
        <v>221.69</v>
      </c>
      <c r="J31" s="3">
        <v>0</v>
      </c>
      <c r="K31" s="3">
        <v>221.69</v>
      </c>
      <c r="L31" s="3">
        <v>1748.31</v>
      </c>
      <c r="M31" s="3">
        <v>22728</v>
      </c>
      <c r="N31" s="3">
        <v>1748.31</v>
      </c>
      <c r="O31" s="3">
        <v>22728</v>
      </c>
      <c r="P31" s="3" t="s">
        <v>41</v>
      </c>
      <c r="Q31" s="3" t="s">
        <v>42</v>
      </c>
      <c r="R31" s="3" t="s">
        <v>148</v>
      </c>
      <c r="S31" s="3">
        <v>0</v>
      </c>
      <c r="T31" s="3">
        <v>1136</v>
      </c>
      <c r="U31" s="3">
        <v>0</v>
      </c>
      <c r="V31" s="3" t="s">
        <v>35</v>
      </c>
      <c r="W31" s="3" t="s">
        <v>35</v>
      </c>
      <c r="X31" s="3" t="s">
        <v>35</v>
      </c>
      <c r="Y31" s="3" t="s">
        <v>35</v>
      </c>
      <c r="Z31" s="3" t="s">
        <v>35</v>
      </c>
      <c r="AA31" s="3" t="s">
        <v>35</v>
      </c>
      <c r="AB31" s="3" t="s">
        <v>58</v>
      </c>
      <c r="AC31" s="3" t="s">
        <v>49</v>
      </c>
    </row>
    <row r="32" s="3" customFormat="1" spans="1:29">
      <c r="A32" s="3" t="s">
        <v>29</v>
      </c>
      <c r="B32" s="3" t="s">
        <v>30</v>
      </c>
      <c r="C32" s="3">
        <v>19561073</v>
      </c>
      <c r="D32" s="13" t="s">
        <v>181</v>
      </c>
      <c r="E32" s="16">
        <v>45980.0564814815</v>
      </c>
      <c r="F32" s="3">
        <v>559.58</v>
      </c>
      <c r="G32" s="3">
        <v>0</v>
      </c>
      <c r="H32" s="3">
        <v>559.58</v>
      </c>
      <c r="I32" s="3">
        <v>29.08</v>
      </c>
      <c r="J32" s="3">
        <v>0</v>
      </c>
      <c r="K32" s="3">
        <v>29.08</v>
      </c>
      <c r="L32" s="3">
        <v>140.92</v>
      </c>
      <c r="M32" s="3">
        <v>1832</v>
      </c>
      <c r="N32" s="3">
        <v>9.54</v>
      </c>
      <c r="O32" s="3">
        <v>124</v>
      </c>
      <c r="P32" s="3" t="s">
        <v>41</v>
      </c>
      <c r="Q32" s="3" t="s">
        <v>33</v>
      </c>
      <c r="R32" s="3" t="s">
        <v>148</v>
      </c>
      <c r="S32" s="3">
        <v>0</v>
      </c>
      <c r="T32" s="3">
        <v>6</v>
      </c>
      <c r="U32" s="3">
        <v>0</v>
      </c>
      <c r="V32" s="3" t="s">
        <v>35</v>
      </c>
      <c r="W32" s="3" t="s">
        <v>35</v>
      </c>
      <c r="X32" s="3" t="s">
        <v>35</v>
      </c>
      <c r="Y32" s="3" t="s">
        <v>35</v>
      </c>
      <c r="Z32" s="3" t="s">
        <v>35</v>
      </c>
      <c r="AA32" s="3" t="s">
        <v>35</v>
      </c>
      <c r="AB32" s="3" t="s">
        <v>58</v>
      </c>
      <c r="AC32" s="3" t="s">
        <v>49</v>
      </c>
    </row>
    <row r="33" s="3" customFormat="1" spans="1:29">
      <c r="A33" s="3" t="s">
        <v>29</v>
      </c>
      <c r="B33" s="3" t="s">
        <v>30</v>
      </c>
      <c r="C33" s="3">
        <v>19665645</v>
      </c>
      <c r="D33" s="13" t="s">
        <v>182</v>
      </c>
      <c r="E33" s="16">
        <v>45984.5965162037</v>
      </c>
      <c r="F33" s="3">
        <v>235.22</v>
      </c>
      <c r="G33" s="3">
        <v>0</v>
      </c>
      <c r="H33" s="3">
        <v>235.22</v>
      </c>
      <c r="I33" s="3">
        <v>19.72</v>
      </c>
      <c r="J33" s="3">
        <v>0</v>
      </c>
      <c r="K33" s="3">
        <v>19.72</v>
      </c>
      <c r="L33" s="3">
        <v>61.77</v>
      </c>
      <c r="M33" s="3">
        <v>803</v>
      </c>
      <c r="N33" s="3">
        <v>3.46</v>
      </c>
      <c r="O33" s="3">
        <v>45</v>
      </c>
      <c r="P33" s="3" t="s">
        <v>32</v>
      </c>
      <c r="Q33" s="3" t="s">
        <v>33</v>
      </c>
      <c r="R33" s="3" t="s">
        <v>148</v>
      </c>
      <c r="S33" s="3">
        <v>0</v>
      </c>
      <c r="T33" s="3">
        <v>2</v>
      </c>
      <c r="U33" s="3">
        <v>0</v>
      </c>
      <c r="V33" s="3" t="s">
        <v>35</v>
      </c>
      <c r="W33" s="3" t="s">
        <v>35</v>
      </c>
      <c r="X33" s="3" t="s">
        <v>35</v>
      </c>
      <c r="Y33" s="3" t="s">
        <v>35</v>
      </c>
      <c r="Z33" s="3" t="s">
        <v>35</v>
      </c>
      <c r="AA33" s="3" t="s">
        <v>35</v>
      </c>
      <c r="AB33" s="3" t="s">
        <v>58</v>
      </c>
      <c r="AC33" s="3" t="s">
        <v>49</v>
      </c>
    </row>
    <row r="34" s="3" customFormat="1" spans="1:29">
      <c r="A34" s="3" t="s">
        <v>29</v>
      </c>
      <c r="B34" s="3" t="s">
        <v>30</v>
      </c>
      <c r="C34" s="3">
        <v>19622364</v>
      </c>
      <c r="D34" s="13" t="s">
        <v>183</v>
      </c>
      <c r="E34" s="16">
        <v>45982.5300925926</v>
      </c>
      <c r="F34" s="3">
        <v>29300.89</v>
      </c>
      <c r="G34" s="3">
        <v>27.37</v>
      </c>
      <c r="H34" s="3">
        <v>29273.52</v>
      </c>
      <c r="I34" s="3">
        <v>-820.64</v>
      </c>
      <c r="J34" s="3">
        <v>21.49</v>
      </c>
      <c r="K34" s="3">
        <v>-842.13</v>
      </c>
      <c r="L34" s="3">
        <v>9965.54</v>
      </c>
      <c r="M34" s="3">
        <v>129552</v>
      </c>
      <c r="N34" s="3">
        <v>314.15</v>
      </c>
      <c r="O34" s="3">
        <v>4084</v>
      </c>
      <c r="P34" s="3" t="s">
        <v>41</v>
      </c>
      <c r="Q34" s="3" t="s">
        <v>42</v>
      </c>
      <c r="R34" s="3" t="s">
        <v>148</v>
      </c>
      <c r="S34" s="3">
        <v>0</v>
      </c>
      <c r="T34" s="3">
        <v>204</v>
      </c>
      <c r="U34" s="3">
        <v>1</v>
      </c>
      <c r="V34" s="3">
        <v>1</v>
      </c>
      <c r="W34" s="3" t="s">
        <v>35</v>
      </c>
      <c r="X34" s="3" t="s">
        <v>35</v>
      </c>
      <c r="Y34" s="3" t="s">
        <v>35</v>
      </c>
      <c r="Z34" s="3" t="s">
        <v>35</v>
      </c>
      <c r="AA34" s="3" t="s">
        <v>35</v>
      </c>
      <c r="AB34" s="3" t="s">
        <v>70</v>
      </c>
      <c r="AC34" s="3" t="s">
        <v>49</v>
      </c>
    </row>
    <row r="35" s="3" customFormat="1" spans="1:29">
      <c r="A35" s="3" t="s">
        <v>29</v>
      </c>
      <c r="B35" s="3" t="s">
        <v>30</v>
      </c>
      <c r="C35" s="3">
        <v>22387195</v>
      </c>
      <c r="D35" s="13" t="s">
        <v>184</v>
      </c>
      <c r="E35" s="16">
        <v>46124.302349537</v>
      </c>
      <c r="F35" s="3">
        <v>400</v>
      </c>
      <c r="G35" s="3">
        <v>0</v>
      </c>
      <c r="H35" s="3">
        <v>400</v>
      </c>
      <c r="I35" s="3">
        <v>-19.23</v>
      </c>
      <c r="J35" s="3">
        <v>0</v>
      </c>
      <c r="K35" s="3">
        <v>-19.23</v>
      </c>
      <c r="L35" s="3">
        <v>138.46</v>
      </c>
      <c r="M35" s="3">
        <v>1800</v>
      </c>
      <c r="N35" s="3">
        <v>138.46</v>
      </c>
      <c r="O35" s="3">
        <v>1800</v>
      </c>
      <c r="P35" s="3" t="s">
        <v>32</v>
      </c>
      <c r="Q35" s="3" t="s">
        <v>33</v>
      </c>
      <c r="R35" s="3" t="s">
        <v>148</v>
      </c>
      <c r="S35" s="3">
        <v>0</v>
      </c>
      <c r="T35" s="3">
        <v>90</v>
      </c>
      <c r="U35" s="3">
        <v>0</v>
      </c>
      <c r="V35" s="3" t="s">
        <v>35</v>
      </c>
      <c r="W35" s="3" t="s">
        <v>35</v>
      </c>
      <c r="X35" s="3" t="s">
        <v>35</v>
      </c>
      <c r="Y35" s="3" t="s">
        <v>35</v>
      </c>
      <c r="Z35" s="3" t="s">
        <v>35</v>
      </c>
      <c r="AA35" s="3" t="s">
        <v>35</v>
      </c>
      <c r="AB35" s="3" t="s">
        <v>70</v>
      </c>
      <c r="AC35" s="3" t="s">
        <v>49</v>
      </c>
    </row>
    <row r="36" s="3" customFormat="1" spans="1:29">
      <c r="A36" s="3" t="s">
        <v>29</v>
      </c>
      <c r="B36" s="3" t="s">
        <v>30</v>
      </c>
      <c r="C36" s="3">
        <v>13794514</v>
      </c>
      <c r="D36" s="13" t="s">
        <v>185</v>
      </c>
      <c r="E36" s="16">
        <v>45556.6259722222</v>
      </c>
      <c r="F36" s="3">
        <v>4337.2</v>
      </c>
      <c r="G36" s="3">
        <v>1421.21</v>
      </c>
      <c r="H36" s="3">
        <v>2915.99</v>
      </c>
      <c r="I36" s="3">
        <v>599.69</v>
      </c>
      <c r="J36" s="3">
        <v>426.23</v>
      </c>
      <c r="K36" s="3">
        <v>173.46</v>
      </c>
      <c r="L36" s="3">
        <v>1847.46</v>
      </c>
      <c r="M36" s="3">
        <v>24017</v>
      </c>
      <c r="N36" s="3">
        <v>208.31</v>
      </c>
      <c r="O36" s="3">
        <v>2708</v>
      </c>
      <c r="P36" s="3" t="s">
        <v>61</v>
      </c>
      <c r="Q36" s="3" t="s">
        <v>42</v>
      </c>
      <c r="R36" s="3" t="s">
        <v>148</v>
      </c>
      <c r="S36" s="3">
        <v>500</v>
      </c>
      <c r="T36" s="3">
        <v>68</v>
      </c>
      <c r="U36" s="3">
        <v>0</v>
      </c>
      <c r="V36" s="3" t="s">
        <v>35</v>
      </c>
      <c r="W36" s="3" t="s">
        <v>35</v>
      </c>
      <c r="X36" s="3" t="s">
        <v>35</v>
      </c>
      <c r="Y36" s="3" t="s">
        <v>35</v>
      </c>
      <c r="Z36" s="3" t="s">
        <v>35</v>
      </c>
      <c r="AA36" s="3" t="s">
        <v>35</v>
      </c>
      <c r="AB36" s="3" t="s">
        <v>70</v>
      </c>
      <c r="AC36" s="3" t="s">
        <v>49</v>
      </c>
    </row>
    <row r="37" s="3" customFormat="1" spans="1:29">
      <c r="A37" s="3" t="s">
        <v>29</v>
      </c>
      <c r="B37" s="3" t="s">
        <v>30</v>
      </c>
      <c r="C37" s="3">
        <v>20226304</v>
      </c>
      <c r="D37" s="13" t="s">
        <v>186</v>
      </c>
      <c r="E37" s="16">
        <v>46011.4761226852</v>
      </c>
      <c r="F37" s="3">
        <v>9914.79</v>
      </c>
      <c r="G37" s="3">
        <v>78.84</v>
      </c>
      <c r="H37" s="3">
        <v>9835.96</v>
      </c>
      <c r="I37" s="3">
        <v>591.32</v>
      </c>
      <c r="J37" s="3">
        <v>-12.47</v>
      </c>
      <c r="K37" s="3">
        <v>603.79</v>
      </c>
      <c r="L37" s="3">
        <v>1699.23</v>
      </c>
      <c r="M37" s="3">
        <v>22090</v>
      </c>
      <c r="N37" s="3">
        <v>1218.38</v>
      </c>
      <c r="O37" s="3">
        <v>15839</v>
      </c>
      <c r="P37" s="3" t="s">
        <v>41</v>
      </c>
      <c r="Q37" s="3" t="s">
        <v>42</v>
      </c>
      <c r="R37" s="3" t="s">
        <v>148</v>
      </c>
      <c r="S37" s="3">
        <v>0</v>
      </c>
      <c r="T37" s="3">
        <v>792</v>
      </c>
      <c r="U37" s="3">
        <v>0</v>
      </c>
      <c r="V37" s="3" t="s">
        <v>35</v>
      </c>
      <c r="W37" s="3" t="s">
        <v>35</v>
      </c>
      <c r="X37" s="3" t="s">
        <v>35</v>
      </c>
      <c r="Y37" s="3" t="s">
        <v>35</v>
      </c>
      <c r="Z37" s="3" t="s">
        <v>35</v>
      </c>
      <c r="AA37" s="3" t="s">
        <v>35</v>
      </c>
      <c r="AB37" s="3" t="s">
        <v>70</v>
      </c>
      <c r="AC37" s="3" t="s">
        <v>49</v>
      </c>
    </row>
    <row r="38" s="3" customFormat="1" spans="1:29">
      <c r="A38" s="3" t="s">
        <v>29</v>
      </c>
      <c r="B38" s="3" t="s">
        <v>30</v>
      </c>
      <c r="C38" s="3">
        <v>18333044</v>
      </c>
      <c r="D38" s="13" t="s">
        <v>187</v>
      </c>
      <c r="E38" s="16">
        <v>45905.2990740741</v>
      </c>
      <c r="F38" s="3">
        <v>338.13</v>
      </c>
      <c r="G38" s="3">
        <v>12</v>
      </c>
      <c r="H38" s="3">
        <v>326.13</v>
      </c>
      <c r="I38" s="3">
        <v>9.46</v>
      </c>
      <c r="J38" s="3">
        <v>0.58</v>
      </c>
      <c r="K38" s="3">
        <v>8.88</v>
      </c>
      <c r="L38" s="3">
        <v>81</v>
      </c>
      <c r="M38" s="3">
        <v>1053</v>
      </c>
      <c r="N38" s="3">
        <v>0.38</v>
      </c>
      <c r="O38" s="3">
        <v>5</v>
      </c>
      <c r="P38" s="3" t="s">
        <v>41</v>
      </c>
      <c r="Q38" s="3" t="s">
        <v>33</v>
      </c>
      <c r="R38" s="3" t="s">
        <v>148</v>
      </c>
      <c r="S38" s="3">
        <v>0</v>
      </c>
      <c r="T38" s="3">
        <v>0</v>
      </c>
      <c r="U38" s="3">
        <v>0</v>
      </c>
      <c r="V38" s="3" t="s">
        <v>35</v>
      </c>
      <c r="W38" s="3" t="s">
        <v>35</v>
      </c>
      <c r="X38" s="3" t="s">
        <v>35</v>
      </c>
      <c r="Y38" s="3" t="s">
        <v>35</v>
      </c>
      <c r="Z38" s="3" t="s">
        <v>35</v>
      </c>
      <c r="AA38" s="3" t="s">
        <v>35</v>
      </c>
      <c r="AB38" s="3" t="s">
        <v>70</v>
      </c>
      <c r="AC38" s="3" t="s">
        <v>49</v>
      </c>
    </row>
    <row r="39" s="3" customFormat="1" spans="1:29">
      <c r="A39" s="3" t="s">
        <v>29</v>
      </c>
      <c r="B39" s="3" t="s">
        <v>30</v>
      </c>
      <c r="C39" s="3">
        <v>22889213</v>
      </c>
      <c r="D39" s="13" t="s">
        <v>188</v>
      </c>
      <c r="E39" s="16">
        <v>46157.7225925926</v>
      </c>
      <c r="F39" s="3">
        <v>28299.31</v>
      </c>
      <c r="G39" s="3">
        <v>0</v>
      </c>
      <c r="H39" s="3">
        <v>28299.31</v>
      </c>
      <c r="I39" s="3">
        <v>812.66</v>
      </c>
      <c r="J39" s="3">
        <v>0</v>
      </c>
      <c r="K39" s="3">
        <v>812.66</v>
      </c>
      <c r="L39" s="3">
        <v>3254.31</v>
      </c>
      <c r="M39" s="3">
        <v>42306</v>
      </c>
      <c r="N39" s="3">
        <v>3254.31</v>
      </c>
      <c r="O39" s="3">
        <v>42306</v>
      </c>
      <c r="P39" s="3" t="s">
        <v>41</v>
      </c>
      <c r="Q39" s="3" t="s">
        <v>42</v>
      </c>
      <c r="R39" s="3" t="s">
        <v>148</v>
      </c>
      <c r="S39" s="3">
        <v>0</v>
      </c>
      <c r="T39" s="3">
        <v>2115</v>
      </c>
      <c r="U39" s="3">
        <v>0</v>
      </c>
      <c r="V39" s="3" t="s">
        <v>35</v>
      </c>
      <c r="W39" s="3" t="s">
        <v>35</v>
      </c>
      <c r="X39" s="3" t="s">
        <v>35</v>
      </c>
      <c r="Y39" s="3" t="s">
        <v>35</v>
      </c>
      <c r="Z39" s="3" t="s">
        <v>35</v>
      </c>
      <c r="AA39" s="3" t="s">
        <v>35</v>
      </c>
      <c r="AB39" s="3" t="s">
        <v>70</v>
      </c>
      <c r="AC39" s="3" t="s">
        <v>49</v>
      </c>
    </row>
    <row r="40" s="3" customFormat="1" spans="1:29">
      <c r="A40" s="3" t="s">
        <v>29</v>
      </c>
      <c r="B40" s="3" t="s">
        <v>30</v>
      </c>
      <c r="C40" s="3">
        <v>17383143</v>
      </c>
      <c r="D40" s="13" t="s">
        <v>189</v>
      </c>
      <c r="E40" s="16">
        <v>45850.7791666667</v>
      </c>
      <c r="F40" s="3">
        <v>1479.85</v>
      </c>
      <c r="G40" s="3">
        <v>5.06</v>
      </c>
      <c r="H40" s="3">
        <v>1474.78</v>
      </c>
      <c r="I40" s="3">
        <v>105.99</v>
      </c>
      <c r="J40" s="3">
        <v>5.06</v>
      </c>
      <c r="K40" s="3">
        <v>100.93</v>
      </c>
      <c r="L40" s="3">
        <v>164.85</v>
      </c>
      <c r="M40" s="3">
        <v>2143</v>
      </c>
      <c r="N40" s="3">
        <v>0</v>
      </c>
      <c r="O40" s="3">
        <v>0</v>
      </c>
      <c r="P40" s="3" t="s">
        <v>32</v>
      </c>
      <c r="Q40" s="3" t="s">
        <v>33</v>
      </c>
      <c r="R40" s="3" t="s">
        <v>148</v>
      </c>
      <c r="S40" s="3">
        <v>0</v>
      </c>
      <c r="T40" s="3">
        <v>0</v>
      </c>
      <c r="U40" s="3">
        <v>0</v>
      </c>
      <c r="V40" s="3" t="s">
        <v>35</v>
      </c>
      <c r="W40" s="3" t="s">
        <v>35</v>
      </c>
      <c r="X40" s="3" t="s">
        <v>35</v>
      </c>
      <c r="Y40" s="3" t="s">
        <v>35</v>
      </c>
      <c r="Z40" s="3" t="s">
        <v>35</v>
      </c>
      <c r="AA40" s="3" t="s">
        <v>35</v>
      </c>
      <c r="AB40" s="3" t="s">
        <v>70</v>
      </c>
      <c r="AC40" s="3" t="s">
        <v>49</v>
      </c>
    </row>
    <row r="41" s="3" customFormat="1" spans="1:29">
      <c r="A41" s="3" t="s">
        <v>29</v>
      </c>
      <c r="B41" s="3" t="s">
        <v>30</v>
      </c>
      <c r="C41" s="3">
        <v>20235395</v>
      </c>
      <c r="D41" s="13" t="s">
        <v>190</v>
      </c>
      <c r="E41" s="16">
        <v>46012.0099305556</v>
      </c>
      <c r="F41" s="3">
        <v>847.51</v>
      </c>
      <c r="G41" s="3">
        <v>1.05</v>
      </c>
      <c r="H41" s="3">
        <v>846.45</v>
      </c>
      <c r="I41" s="3">
        <v>134.23</v>
      </c>
      <c r="J41" s="3">
        <v>1.05</v>
      </c>
      <c r="K41" s="3">
        <v>133.18</v>
      </c>
      <c r="L41" s="3">
        <v>195.15</v>
      </c>
      <c r="M41" s="3">
        <v>2537</v>
      </c>
      <c r="N41" s="3">
        <v>25</v>
      </c>
      <c r="O41" s="3">
        <v>325</v>
      </c>
      <c r="P41" s="3" t="s">
        <v>41</v>
      </c>
      <c r="Q41" s="3" t="s">
        <v>33</v>
      </c>
      <c r="R41" s="3" t="s">
        <v>148</v>
      </c>
      <c r="S41" s="3">
        <v>0</v>
      </c>
      <c r="T41" s="3">
        <v>16</v>
      </c>
      <c r="U41" s="3">
        <v>0</v>
      </c>
      <c r="V41" s="3" t="s">
        <v>35</v>
      </c>
      <c r="W41" s="3" t="s">
        <v>35</v>
      </c>
      <c r="X41" s="3" t="s">
        <v>35</v>
      </c>
      <c r="Y41" s="3" t="s">
        <v>35</v>
      </c>
      <c r="Z41" s="3" t="s">
        <v>35</v>
      </c>
      <c r="AA41" s="3" t="s">
        <v>35</v>
      </c>
      <c r="AB41" s="3" t="s">
        <v>80</v>
      </c>
      <c r="AC41" s="3" t="s">
        <v>49</v>
      </c>
    </row>
    <row r="42" s="3" customFormat="1" spans="1:29">
      <c r="A42" s="3" t="s">
        <v>29</v>
      </c>
      <c r="B42" s="3" t="s">
        <v>30</v>
      </c>
      <c r="C42" s="3">
        <v>22748835</v>
      </c>
      <c r="D42" s="13" t="s">
        <v>191</v>
      </c>
      <c r="E42" s="16">
        <v>46148.6268865741</v>
      </c>
      <c r="F42" s="3">
        <v>68962.27</v>
      </c>
      <c r="G42" s="3">
        <v>0</v>
      </c>
      <c r="H42" s="3">
        <v>68962.27</v>
      </c>
      <c r="I42" s="3">
        <v>4416.46</v>
      </c>
      <c r="J42" s="3">
        <v>-0.17</v>
      </c>
      <c r="K42" s="3">
        <v>4416.63</v>
      </c>
      <c r="L42" s="3">
        <v>4679.31</v>
      </c>
      <c r="M42" s="3">
        <v>60831</v>
      </c>
      <c r="N42" s="3">
        <v>4679.31</v>
      </c>
      <c r="O42" s="3">
        <v>60831</v>
      </c>
      <c r="P42" s="3" t="s">
        <v>41</v>
      </c>
      <c r="Q42" s="3" t="s">
        <v>42</v>
      </c>
      <c r="R42" s="3" t="s">
        <v>148</v>
      </c>
      <c r="S42" s="3">
        <v>0</v>
      </c>
      <c r="T42" s="3">
        <v>3042</v>
      </c>
      <c r="U42" s="3">
        <v>0</v>
      </c>
      <c r="V42" s="3" t="s">
        <v>35</v>
      </c>
      <c r="W42" s="3" t="s">
        <v>35</v>
      </c>
      <c r="X42" s="3" t="s">
        <v>35</v>
      </c>
      <c r="Y42" s="3" t="s">
        <v>35</v>
      </c>
      <c r="Z42" s="3" t="s">
        <v>35</v>
      </c>
      <c r="AA42" s="3" t="s">
        <v>35</v>
      </c>
      <c r="AB42" s="3" t="s">
        <v>80</v>
      </c>
      <c r="AC42" s="3" t="s">
        <v>49</v>
      </c>
    </row>
    <row r="43" s="3" customFormat="1" spans="1:29">
      <c r="A43" s="3" t="s">
        <v>29</v>
      </c>
      <c r="B43" s="3" t="s">
        <v>30</v>
      </c>
      <c r="C43" s="3">
        <v>22695905</v>
      </c>
      <c r="D43" s="13" t="s">
        <v>192</v>
      </c>
      <c r="E43" s="16">
        <v>46144.2646759259</v>
      </c>
      <c r="F43" s="3">
        <v>468.49</v>
      </c>
      <c r="G43" s="3">
        <v>2.54</v>
      </c>
      <c r="H43" s="3">
        <v>465.95</v>
      </c>
      <c r="I43" s="3">
        <v>59.44</v>
      </c>
      <c r="J43" s="3">
        <v>2.54</v>
      </c>
      <c r="K43" s="3">
        <v>56.9</v>
      </c>
      <c r="L43" s="3">
        <v>105.92</v>
      </c>
      <c r="M43" s="3">
        <v>1377</v>
      </c>
      <c r="N43" s="3">
        <v>105.92</v>
      </c>
      <c r="O43" s="3">
        <v>1377</v>
      </c>
      <c r="P43" s="3" t="s">
        <v>32</v>
      </c>
      <c r="Q43" s="3" t="s">
        <v>33</v>
      </c>
      <c r="R43" s="3" t="s">
        <v>148</v>
      </c>
      <c r="S43" s="3">
        <v>0</v>
      </c>
      <c r="T43" s="3">
        <v>69</v>
      </c>
      <c r="U43" s="3">
        <v>0</v>
      </c>
      <c r="V43" s="3" t="s">
        <v>35</v>
      </c>
      <c r="W43" s="3" t="s">
        <v>35</v>
      </c>
      <c r="X43" s="3" t="s">
        <v>35</v>
      </c>
      <c r="Y43" s="3" t="s">
        <v>35</v>
      </c>
      <c r="Z43" s="3" t="s">
        <v>35</v>
      </c>
      <c r="AA43" s="3" t="s">
        <v>35</v>
      </c>
      <c r="AB43" s="3" t="s">
        <v>80</v>
      </c>
      <c r="AC43" s="3" t="s">
        <v>49</v>
      </c>
    </row>
    <row r="44" s="3" customFormat="1" spans="1:29">
      <c r="A44" s="3" t="s">
        <v>29</v>
      </c>
      <c r="B44" s="3" t="s">
        <v>30</v>
      </c>
      <c r="C44" s="3">
        <v>14312965</v>
      </c>
      <c r="D44" s="13" t="s">
        <v>193</v>
      </c>
      <c r="E44" s="16">
        <v>45593.2303819444</v>
      </c>
      <c r="F44" s="3">
        <v>15309.44</v>
      </c>
      <c r="G44" s="3">
        <v>3.08</v>
      </c>
      <c r="H44" s="3">
        <v>15306.37</v>
      </c>
      <c r="I44" s="3">
        <v>605.49</v>
      </c>
      <c r="J44" s="3">
        <v>3.08</v>
      </c>
      <c r="K44" s="3">
        <v>602.41</v>
      </c>
      <c r="L44" s="3">
        <v>1134.54</v>
      </c>
      <c r="M44" s="3">
        <v>14749</v>
      </c>
      <c r="N44" s="3">
        <v>568.15</v>
      </c>
      <c r="O44" s="3">
        <v>7386</v>
      </c>
      <c r="P44" s="3" t="s">
        <v>41</v>
      </c>
      <c r="Q44" s="3" t="s">
        <v>42</v>
      </c>
      <c r="R44" s="3" t="s">
        <v>148</v>
      </c>
      <c r="S44" s="3">
        <v>0</v>
      </c>
      <c r="T44" s="3">
        <v>369</v>
      </c>
      <c r="U44" s="3">
        <v>0</v>
      </c>
      <c r="V44" s="3" t="s">
        <v>35</v>
      </c>
      <c r="W44" s="3" t="s">
        <v>35</v>
      </c>
      <c r="X44" s="3" t="s">
        <v>35</v>
      </c>
      <c r="Y44" s="3" t="s">
        <v>35</v>
      </c>
      <c r="Z44" s="3" t="s">
        <v>35</v>
      </c>
      <c r="AA44" s="3" t="s">
        <v>35</v>
      </c>
      <c r="AB44" s="3" t="s">
        <v>80</v>
      </c>
      <c r="AC44" s="3" t="s">
        <v>49</v>
      </c>
    </row>
    <row r="45" s="3" customFormat="1" spans="1:29">
      <c r="A45" s="3" t="s">
        <v>29</v>
      </c>
      <c r="B45" s="3" t="s">
        <v>30</v>
      </c>
      <c r="C45" s="3">
        <v>20505795</v>
      </c>
      <c r="D45" s="13" t="s">
        <v>194</v>
      </c>
      <c r="E45" s="16">
        <v>46024.8101736111</v>
      </c>
      <c r="F45" s="3">
        <v>4706.26</v>
      </c>
      <c r="G45" s="3">
        <v>2.87</v>
      </c>
      <c r="H45" s="3">
        <v>4703.39</v>
      </c>
      <c r="I45" s="3">
        <v>158.92</v>
      </c>
      <c r="J45" s="3">
        <v>2.63</v>
      </c>
      <c r="K45" s="3">
        <v>156.29</v>
      </c>
      <c r="L45" s="3">
        <v>597.31</v>
      </c>
      <c r="M45" s="3">
        <v>7765</v>
      </c>
      <c r="N45" s="3">
        <v>562.23</v>
      </c>
      <c r="O45" s="3">
        <v>7309</v>
      </c>
      <c r="P45" s="3" t="s">
        <v>41</v>
      </c>
      <c r="Q45" s="3" t="s">
        <v>33</v>
      </c>
      <c r="R45" s="3" t="s">
        <v>148</v>
      </c>
      <c r="S45" s="3">
        <v>0</v>
      </c>
      <c r="T45" s="3">
        <v>365</v>
      </c>
      <c r="U45" s="3">
        <v>0</v>
      </c>
      <c r="V45" s="3" t="s">
        <v>35</v>
      </c>
      <c r="W45" s="3" t="s">
        <v>35</v>
      </c>
      <c r="X45" s="3" t="s">
        <v>35</v>
      </c>
      <c r="Y45" s="3" t="s">
        <v>35</v>
      </c>
      <c r="Z45" s="3" t="s">
        <v>35</v>
      </c>
      <c r="AA45" s="3" t="s">
        <v>35</v>
      </c>
      <c r="AB45" s="3" t="s">
        <v>80</v>
      </c>
      <c r="AC45" s="3" t="s">
        <v>49</v>
      </c>
    </row>
    <row r="46" s="3" customFormat="1" spans="1:29">
      <c r="A46" s="3" t="s">
        <v>29</v>
      </c>
      <c r="B46" s="3" t="s">
        <v>30</v>
      </c>
      <c r="C46" s="3">
        <v>22613094</v>
      </c>
      <c r="D46" s="13" t="s">
        <v>195</v>
      </c>
      <c r="E46" s="16">
        <v>46138.5123726852</v>
      </c>
      <c r="F46" s="3">
        <v>363.16</v>
      </c>
      <c r="G46" s="3">
        <v>0</v>
      </c>
      <c r="H46" s="3">
        <v>363.16</v>
      </c>
      <c r="I46" s="3">
        <v>42.69</v>
      </c>
      <c r="J46" s="3">
        <v>0</v>
      </c>
      <c r="K46" s="3">
        <v>42.69</v>
      </c>
      <c r="L46" s="3">
        <v>58.08</v>
      </c>
      <c r="M46" s="3">
        <v>755</v>
      </c>
      <c r="N46" s="3">
        <v>58.08</v>
      </c>
      <c r="O46" s="3">
        <v>755</v>
      </c>
      <c r="P46" s="3" t="s">
        <v>32</v>
      </c>
      <c r="Q46" s="3" t="s">
        <v>33</v>
      </c>
      <c r="R46" s="3" t="s">
        <v>148</v>
      </c>
      <c r="S46" s="3">
        <v>0</v>
      </c>
      <c r="T46" s="3">
        <v>38</v>
      </c>
      <c r="U46" s="3">
        <v>0</v>
      </c>
      <c r="V46" s="3" t="s">
        <v>35</v>
      </c>
      <c r="W46" s="3" t="s">
        <v>35</v>
      </c>
      <c r="X46" s="3" t="s">
        <v>35</v>
      </c>
      <c r="Y46" s="3" t="s">
        <v>35</v>
      </c>
      <c r="Z46" s="3" t="s">
        <v>35</v>
      </c>
      <c r="AA46" s="3" t="s">
        <v>35</v>
      </c>
      <c r="AB46" s="3" t="s">
        <v>80</v>
      </c>
      <c r="AC46" s="3" t="s">
        <v>49</v>
      </c>
    </row>
    <row r="47" s="3" customFormat="1" spans="1:29">
      <c r="A47" s="3" t="s">
        <v>29</v>
      </c>
      <c r="B47" s="3" t="s">
        <v>30</v>
      </c>
      <c r="C47" s="3">
        <v>17983514</v>
      </c>
      <c r="D47" s="13" t="s">
        <v>196</v>
      </c>
      <c r="E47" s="16">
        <v>45886.807662037</v>
      </c>
      <c r="F47" s="3">
        <v>765.79</v>
      </c>
      <c r="G47" s="3">
        <v>7.69</v>
      </c>
      <c r="H47" s="3">
        <v>758.1</v>
      </c>
      <c r="I47" s="3">
        <v>34.83</v>
      </c>
      <c r="J47" s="3">
        <v>7.6</v>
      </c>
      <c r="K47" s="3">
        <v>27.23</v>
      </c>
      <c r="L47" s="3">
        <v>107.08</v>
      </c>
      <c r="M47" s="3">
        <v>1392</v>
      </c>
      <c r="N47" s="3">
        <v>77.38</v>
      </c>
      <c r="O47" s="3">
        <v>1006</v>
      </c>
      <c r="P47" s="3" t="s">
        <v>41</v>
      </c>
      <c r="Q47" s="3" t="s">
        <v>33</v>
      </c>
      <c r="R47" s="3" t="s">
        <v>148</v>
      </c>
      <c r="S47" s="3">
        <v>0</v>
      </c>
      <c r="T47" s="3">
        <v>50</v>
      </c>
      <c r="U47" s="3">
        <v>0</v>
      </c>
      <c r="V47" s="3" t="s">
        <v>35</v>
      </c>
      <c r="W47" s="3" t="s">
        <v>35</v>
      </c>
      <c r="X47" s="3" t="s">
        <v>35</v>
      </c>
      <c r="Y47" s="3" t="s">
        <v>35</v>
      </c>
      <c r="Z47" s="3" t="s">
        <v>35</v>
      </c>
      <c r="AA47" s="3" t="s">
        <v>35</v>
      </c>
      <c r="AB47" s="3" t="s">
        <v>80</v>
      </c>
      <c r="AC47" s="3" t="s">
        <v>49</v>
      </c>
    </row>
    <row r="48" s="3" customFormat="1" spans="1:29">
      <c r="A48" s="3" t="s">
        <v>29</v>
      </c>
      <c r="B48" s="3" t="s">
        <v>30</v>
      </c>
      <c r="C48" s="3">
        <v>19546764</v>
      </c>
      <c r="D48" s="13" t="s">
        <v>197</v>
      </c>
      <c r="E48" s="16">
        <v>45979.4169328704</v>
      </c>
      <c r="F48" s="3">
        <v>10596.75</v>
      </c>
      <c r="G48" s="3">
        <v>117.1</v>
      </c>
      <c r="H48" s="3">
        <v>10479.65</v>
      </c>
      <c r="I48" s="3">
        <v>388.68</v>
      </c>
      <c r="J48" s="3">
        <v>-17.36</v>
      </c>
      <c r="K48" s="3">
        <v>406.04</v>
      </c>
      <c r="L48" s="3">
        <v>1299.62</v>
      </c>
      <c r="M48" s="3">
        <v>16895</v>
      </c>
      <c r="N48" s="3">
        <v>820.85</v>
      </c>
      <c r="O48" s="3">
        <v>10671</v>
      </c>
      <c r="P48" s="3" t="s">
        <v>32</v>
      </c>
      <c r="Q48" s="3" t="s">
        <v>42</v>
      </c>
      <c r="R48" s="3" t="s">
        <v>148</v>
      </c>
      <c r="S48" s="3">
        <v>0</v>
      </c>
      <c r="T48" s="3">
        <v>534</v>
      </c>
      <c r="U48" s="3">
        <v>0</v>
      </c>
      <c r="V48" s="3" t="s">
        <v>35</v>
      </c>
      <c r="W48" s="3" t="s">
        <v>35</v>
      </c>
      <c r="X48" s="3" t="s">
        <v>35</v>
      </c>
      <c r="Y48" s="3" t="s">
        <v>35</v>
      </c>
      <c r="Z48" s="3" t="s">
        <v>35</v>
      </c>
      <c r="AA48" s="3" t="s">
        <v>35</v>
      </c>
      <c r="AB48" s="3" t="s">
        <v>80</v>
      </c>
      <c r="AC48" s="3" t="s">
        <v>49</v>
      </c>
    </row>
    <row r="49" s="3" customFormat="1" spans="1:29">
      <c r="A49" s="3" t="s">
        <v>29</v>
      </c>
      <c r="B49" s="3" t="s">
        <v>30</v>
      </c>
      <c r="C49" s="3">
        <v>22973144</v>
      </c>
      <c r="D49" s="13" t="s">
        <v>198</v>
      </c>
      <c r="E49" s="16">
        <v>46163.8069097222</v>
      </c>
      <c r="F49" s="3">
        <v>262.73</v>
      </c>
      <c r="G49" s="3">
        <v>0.23</v>
      </c>
      <c r="H49" s="3">
        <v>262.5</v>
      </c>
      <c r="I49" s="3">
        <v>74.76</v>
      </c>
      <c r="J49" s="3">
        <v>0.23</v>
      </c>
      <c r="K49" s="3">
        <v>74.53</v>
      </c>
      <c r="L49" s="3">
        <v>120.08</v>
      </c>
      <c r="M49" s="3">
        <v>1561</v>
      </c>
      <c r="N49" s="3">
        <v>120.08</v>
      </c>
      <c r="O49" s="3">
        <v>1561</v>
      </c>
      <c r="P49" s="3" t="s">
        <v>41</v>
      </c>
      <c r="Q49" s="3" t="s">
        <v>33</v>
      </c>
      <c r="R49" s="3" t="s">
        <v>148</v>
      </c>
      <c r="S49" s="3">
        <v>0</v>
      </c>
      <c r="T49" s="3">
        <v>78</v>
      </c>
      <c r="U49" s="3">
        <v>0</v>
      </c>
      <c r="V49" s="3" t="s">
        <v>35</v>
      </c>
      <c r="W49" s="3" t="s">
        <v>35</v>
      </c>
      <c r="X49" s="3" t="s">
        <v>35</v>
      </c>
      <c r="Y49" s="3" t="s">
        <v>35</v>
      </c>
      <c r="Z49" s="3" t="s">
        <v>35</v>
      </c>
      <c r="AA49" s="3" t="s">
        <v>35</v>
      </c>
      <c r="AB49" s="3" t="s">
        <v>84</v>
      </c>
      <c r="AC49" s="3" t="s">
        <v>49</v>
      </c>
    </row>
    <row r="50" s="3" customFormat="1" spans="1:29">
      <c r="A50" s="3" t="s">
        <v>29</v>
      </c>
      <c r="B50" s="3" t="s">
        <v>30</v>
      </c>
      <c r="C50" s="3">
        <v>22441305</v>
      </c>
      <c r="D50" s="13" t="s">
        <v>199</v>
      </c>
      <c r="E50" s="16">
        <v>46127.6812037037</v>
      </c>
      <c r="F50" s="3">
        <v>297.52</v>
      </c>
      <c r="G50" s="3">
        <v>0</v>
      </c>
      <c r="H50" s="3">
        <v>297.52</v>
      </c>
      <c r="I50" s="3">
        <v>15.99</v>
      </c>
      <c r="J50" s="3">
        <v>0</v>
      </c>
      <c r="K50" s="3">
        <v>15.99</v>
      </c>
      <c r="L50" s="3">
        <v>81.92</v>
      </c>
      <c r="M50" s="3">
        <v>1065</v>
      </c>
      <c r="N50" s="3">
        <v>81.92</v>
      </c>
      <c r="O50" s="3">
        <v>1065</v>
      </c>
      <c r="P50" s="3" t="s">
        <v>41</v>
      </c>
      <c r="Q50" s="3" t="s">
        <v>33</v>
      </c>
      <c r="R50" s="3" t="s">
        <v>148</v>
      </c>
      <c r="S50" s="3">
        <v>0</v>
      </c>
      <c r="T50" s="3">
        <v>53</v>
      </c>
      <c r="U50" s="3">
        <v>0</v>
      </c>
      <c r="V50" s="3" t="s">
        <v>35</v>
      </c>
      <c r="W50" s="3" t="s">
        <v>35</v>
      </c>
      <c r="X50" s="3" t="s">
        <v>35</v>
      </c>
      <c r="Y50" s="3" t="s">
        <v>35</v>
      </c>
      <c r="Z50" s="3" t="s">
        <v>35</v>
      </c>
      <c r="AA50" s="3" t="s">
        <v>35</v>
      </c>
      <c r="AB50" s="3" t="s">
        <v>84</v>
      </c>
      <c r="AC50" s="3" t="s">
        <v>49</v>
      </c>
    </row>
    <row r="51" s="3" customFormat="1" spans="1:29">
      <c r="A51" s="3" t="s">
        <v>29</v>
      </c>
      <c r="B51" s="3" t="s">
        <v>30</v>
      </c>
      <c r="C51" s="3">
        <v>20951743</v>
      </c>
      <c r="D51" s="13" t="s">
        <v>200</v>
      </c>
      <c r="E51" s="16">
        <v>46046.7904976852</v>
      </c>
      <c r="F51" s="3">
        <v>5322.07</v>
      </c>
      <c r="G51" s="3">
        <v>38.92</v>
      </c>
      <c r="H51" s="3">
        <v>5283.15</v>
      </c>
      <c r="I51" s="3">
        <v>180.48</v>
      </c>
      <c r="J51" s="3">
        <v>38.76</v>
      </c>
      <c r="K51" s="3">
        <v>141.72</v>
      </c>
      <c r="L51" s="3">
        <v>532</v>
      </c>
      <c r="M51" s="3">
        <v>6916</v>
      </c>
      <c r="N51" s="3">
        <v>305.69</v>
      </c>
      <c r="O51" s="3">
        <v>3974</v>
      </c>
      <c r="P51" s="3" t="s">
        <v>32</v>
      </c>
      <c r="Q51" s="3" t="s">
        <v>33</v>
      </c>
      <c r="R51" s="3" t="s">
        <v>148</v>
      </c>
      <c r="S51" s="3">
        <v>0</v>
      </c>
      <c r="T51" s="3">
        <v>199</v>
      </c>
      <c r="U51" s="3">
        <v>0</v>
      </c>
      <c r="V51" s="3" t="s">
        <v>35</v>
      </c>
      <c r="W51" s="3" t="s">
        <v>35</v>
      </c>
      <c r="X51" s="3" t="s">
        <v>35</v>
      </c>
      <c r="Y51" s="3" t="s">
        <v>35</v>
      </c>
      <c r="Z51" s="3" t="s">
        <v>35</v>
      </c>
      <c r="AA51" s="3" t="s">
        <v>35</v>
      </c>
      <c r="AB51" s="3" t="s">
        <v>84</v>
      </c>
      <c r="AC51" s="3" t="s">
        <v>49</v>
      </c>
    </row>
    <row r="52" s="3" customFormat="1" spans="1:29">
      <c r="A52" s="3" t="s">
        <v>29</v>
      </c>
      <c r="B52" s="3" t="s">
        <v>30</v>
      </c>
      <c r="C52" s="3">
        <v>21515823</v>
      </c>
      <c r="D52" s="13" t="s">
        <v>201</v>
      </c>
      <c r="E52" s="16">
        <v>46077.0462384259</v>
      </c>
      <c r="F52" s="3">
        <v>549.79</v>
      </c>
      <c r="G52" s="3">
        <v>3.74</v>
      </c>
      <c r="H52" s="3">
        <v>546.04</v>
      </c>
      <c r="I52" s="3">
        <v>-31.77</v>
      </c>
      <c r="J52" s="3">
        <v>3.74</v>
      </c>
      <c r="K52" s="3">
        <v>-35.51</v>
      </c>
      <c r="L52" s="3">
        <v>91.46</v>
      </c>
      <c r="M52" s="3">
        <v>1189</v>
      </c>
      <c r="N52" s="3">
        <v>18.46</v>
      </c>
      <c r="O52" s="3">
        <v>240</v>
      </c>
      <c r="P52" s="3" t="s">
        <v>32</v>
      </c>
      <c r="Q52" s="3" t="s">
        <v>33</v>
      </c>
      <c r="R52" s="3" t="s">
        <v>148</v>
      </c>
      <c r="S52" s="3">
        <v>0</v>
      </c>
      <c r="T52" s="3">
        <v>12</v>
      </c>
      <c r="U52" s="3">
        <v>0</v>
      </c>
      <c r="V52" s="3" t="s">
        <v>35</v>
      </c>
      <c r="W52" s="3" t="s">
        <v>35</v>
      </c>
      <c r="X52" s="3" t="s">
        <v>35</v>
      </c>
      <c r="Y52" s="3" t="s">
        <v>35</v>
      </c>
      <c r="Z52" s="3" t="s">
        <v>35</v>
      </c>
      <c r="AA52" s="3" t="s">
        <v>35</v>
      </c>
      <c r="AB52" s="3" t="s">
        <v>84</v>
      </c>
      <c r="AC52" s="3" t="s">
        <v>49</v>
      </c>
    </row>
    <row r="53" s="3" customFormat="1" spans="1:29">
      <c r="A53" s="3" t="s">
        <v>29</v>
      </c>
      <c r="B53" s="3" t="s">
        <v>30</v>
      </c>
      <c r="C53" s="3">
        <v>20559584</v>
      </c>
      <c r="D53" s="13" t="s">
        <v>202</v>
      </c>
      <c r="E53" s="16">
        <v>46027.6548726852</v>
      </c>
      <c r="F53" s="3">
        <v>1049.26</v>
      </c>
      <c r="G53" s="3">
        <v>0</v>
      </c>
      <c r="H53" s="3">
        <v>1049.26</v>
      </c>
      <c r="I53" s="3">
        <v>15.68</v>
      </c>
      <c r="J53" s="3">
        <v>0</v>
      </c>
      <c r="K53" s="3">
        <v>15.68</v>
      </c>
      <c r="L53" s="3">
        <v>143.38</v>
      </c>
      <c r="M53" s="3">
        <v>1864</v>
      </c>
      <c r="N53" s="3">
        <v>141.46</v>
      </c>
      <c r="O53" s="3">
        <v>1839</v>
      </c>
      <c r="P53" s="3" t="s">
        <v>41</v>
      </c>
      <c r="Q53" s="3" t="s">
        <v>33</v>
      </c>
      <c r="R53" s="3" t="s">
        <v>148</v>
      </c>
      <c r="S53" s="3">
        <v>0</v>
      </c>
      <c r="T53" s="3">
        <v>92</v>
      </c>
      <c r="U53" s="3">
        <v>0</v>
      </c>
      <c r="V53" s="3" t="s">
        <v>35</v>
      </c>
      <c r="W53" s="3" t="s">
        <v>35</v>
      </c>
      <c r="X53" s="3" t="s">
        <v>35</v>
      </c>
      <c r="Y53" s="3" t="s">
        <v>35</v>
      </c>
      <c r="Z53" s="3" t="s">
        <v>35</v>
      </c>
      <c r="AA53" s="3" t="s">
        <v>35</v>
      </c>
      <c r="AB53" s="3" t="s">
        <v>84</v>
      </c>
      <c r="AC53" s="3" t="s">
        <v>49</v>
      </c>
    </row>
    <row r="54" s="3" customFormat="1" spans="1:29">
      <c r="A54" s="3" t="s">
        <v>29</v>
      </c>
      <c r="B54" s="3" t="s">
        <v>30</v>
      </c>
      <c r="C54" s="3">
        <v>16755325</v>
      </c>
      <c r="D54" s="13" t="s">
        <v>203</v>
      </c>
      <c r="E54" s="16">
        <v>45799.6233333333</v>
      </c>
      <c r="F54" s="3">
        <v>307.71</v>
      </c>
      <c r="G54" s="3">
        <v>0.54</v>
      </c>
      <c r="H54" s="3">
        <v>307.17</v>
      </c>
      <c r="I54" s="3">
        <v>-6</v>
      </c>
      <c r="J54" s="3">
        <v>0.16</v>
      </c>
      <c r="K54" s="3">
        <v>-6.16</v>
      </c>
      <c r="L54" s="3">
        <v>50.77</v>
      </c>
      <c r="M54" s="3">
        <v>660</v>
      </c>
      <c r="N54" s="3">
        <v>1.54</v>
      </c>
      <c r="O54" s="3">
        <v>20</v>
      </c>
      <c r="P54" s="3" t="s">
        <v>32</v>
      </c>
      <c r="Q54" s="3" t="s">
        <v>33</v>
      </c>
      <c r="R54" s="3" t="s">
        <v>148</v>
      </c>
      <c r="S54" s="3">
        <v>0</v>
      </c>
      <c r="T54" s="3">
        <v>1</v>
      </c>
      <c r="U54" s="3">
        <v>0</v>
      </c>
      <c r="V54" s="3" t="s">
        <v>35</v>
      </c>
      <c r="W54" s="3" t="s">
        <v>35</v>
      </c>
      <c r="X54" s="3" t="s">
        <v>35</v>
      </c>
      <c r="Y54" s="3" t="s">
        <v>35</v>
      </c>
      <c r="Z54" s="3" t="s">
        <v>35</v>
      </c>
      <c r="AA54" s="3" t="s">
        <v>35</v>
      </c>
      <c r="AB54" s="3" t="s">
        <v>84</v>
      </c>
      <c r="AC54" s="3" t="s">
        <v>49</v>
      </c>
    </row>
    <row r="55" s="3" customFormat="1" spans="1:29">
      <c r="A55" s="3" t="s">
        <v>85</v>
      </c>
      <c r="B55" s="3" t="s">
        <v>30</v>
      </c>
      <c r="C55" s="3">
        <v>16659455</v>
      </c>
      <c r="D55" s="13" t="s">
        <v>204</v>
      </c>
      <c r="E55" s="16">
        <v>45788.9821064815</v>
      </c>
      <c r="F55" s="3">
        <v>8256.21</v>
      </c>
      <c r="G55" s="3">
        <v>0</v>
      </c>
      <c r="H55" s="3">
        <v>8256.21</v>
      </c>
      <c r="I55" s="3">
        <v>595.69</v>
      </c>
      <c r="J55" s="3">
        <v>0</v>
      </c>
      <c r="K55" s="3">
        <v>595.69</v>
      </c>
      <c r="L55" s="3">
        <v>2997.69</v>
      </c>
      <c r="M55" s="3">
        <v>38970</v>
      </c>
      <c r="N55" s="3">
        <v>2.23</v>
      </c>
      <c r="O55" s="3">
        <v>29</v>
      </c>
      <c r="P55" s="3" t="s">
        <v>41</v>
      </c>
      <c r="Q55" s="3" t="s">
        <v>42</v>
      </c>
      <c r="R55" s="3" t="s">
        <v>148</v>
      </c>
      <c r="S55" s="3">
        <v>0</v>
      </c>
      <c r="T55" s="3">
        <v>1</v>
      </c>
      <c r="U55" s="3">
        <v>0</v>
      </c>
      <c r="V55" s="3" t="s">
        <v>35</v>
      </c>
      <c r="W55" s="3" t="s">
        <v>35</v>
      </c>
      <c r="X55" s="3" t="s">
        <v>35</v>
      </c>
      <c r="Y55" s="3" t="s">
        <v>35</v>
      </c>
      <c r="Z55" s="3" t="s">
        <v>35</v>
      </c>
      <c r="AA55" s="3" t="s">
        <v>35</v>
      </c>
      <c r="AB55" s="3" t="s">
        <v>36</v>
      </c>
      <c r="AC55" s="3" t="s">
        <v>37</v>
      </c>
    </row>
    <row r="56" s="3" customFormat="1" spans="1:29">
      <c r="A56" s="3" t="s">
        <v>85</v>
      </c>
      <c r="B56" s="3" t="s">
        <v>30</v>
      </c>
      <c r="C56" s="3">
        <v>17575953</v>
      </c>
      <c r="D56" s="13" t="s">
        <v>205</v>
      </c>
      <c r="E56" s="16">
        <v>45863.6718865741</v>
      </c>
      <c r="F56" s="3">
        <v>3322.14</v>
      </c>
      <c r="G56" s="3">
        <v>0</v>
      </c>
      <c r="H56" s="3">
        <v>3321.45</v>
      </c>
      <c r="I56" s="3">
        <v>70.97</v>
      </c>
      <c r="J56" s="3">
        <v>0</v>
      </c>
      <c r="K56" s="3">
        <v>70.97</v>
      </c>
      <c r="L56" s="3">
        <v>324.54</v>
      </c>
      <c r="M56" s="3">
        <v>4219</v>
      </c>
      <c r="N56" s="3">
        <v>65.92</v>
      </c>
      <c r="O56" s="3">
        <v>857</v>
      </c>
      <c r="P56" s="3" t="s">
        <v>32</v>
      </c>
      <c r="Q56" s="3" t="s">
        <v>33</v>
      </c>
      <c r="R56" s="3" t="s">
        <v>148</v>
      </c>
      <c r="S56" s="3">
        <v>0</v>
      </c>
      <c r="T56" s="3">
        <v>43</v>
      </c>
      <c r="U56" s="3">
        <v>0</v>
      </c>
      <c r="V56" s="3" t="s">
        <v>35</v>
      </c>
      <c r="W56" s="3" t="s">
        <v>35</v>
      </c>
      <c r="X56" s="3" t="s">
        <v>35</v>
      </c>
      <c r="Y56" s="3" t="s">
        <v>35</v>
      </c>
      <c r="Z56" s="3" t="s">
        <v>35</v>
      </c>
      <c r="AA56" s="3" t="s">
        <v>35</v>
      </c>
      <c r="AB56" s="3" t="s">
        <v>36</v>
      </c>
      <c r="AC56" s="3" t="s">
        <v>37</v>
      </c>
    </row>
    <row r="57" s="3" customFormat="1" spans="1:29">
      <c r="A57" s="3" t="s">
        <v>85</v>
      </c>
      <c r="B57" s="3" t="s">
        <v>30</v>
      </c>
      <c r="C57" s="3">
        <v>17745175</v>
      </c>
      <c r="D57" s="13" t="s">
        <v>206</v>
      </c>
      <c r="E57" s="16">
        <v>45873.2420833333</v>
      </c>
      <c r="F57" s="3">
        <v>2907.71</v>
      </c>
      <c r="G57" s="3">
        <v>3.48</v>
      </c>
      <c r="H57" s="3">
        <v>2904.24</v>
      </c>
      <c r="I57" s="3">
        <v>213.83</v>
      </c>
      <c r="J57" s="3">
        <v>3.48</v>
      </c>
      <c r="K57" s="3">
        <v>210.35</v>
      </c>
      <c r="L57" s="3">
        <v>669.46</v>
      </c>
      <c r="M57" s="3">
        <v>8703</v>
      </c>
      <c r="N57" s="3">
        <v>22.69</v>
      </c>
      <c r="O57" s="3">
        <v>295</v>
      </c>
      <c r="P57" s="3" t="s">
        <v>41</v>
      </c>
      <c r="Q57" s="3" t="s">
        <v>33</v>
      </c>
      <c r="R57" s="3" t="s">
        <v>148</v>
      </c>
      <c r="S57" s="3">
        <v>0</v>
      </c>
      <c r="T57" s="3">
        <v>15</v>
      </c>
      <c r="U57" s="3">
        <v>0</v>
      </c>
      <c r="V57" s="3" t="s">
        <v>35</v>
      </c>
      <c r="W57" s="3" t="s">
        <v>35</v>
      </c>
      <c r="X57" s="3" t="s">
        <v>35</v>
      </c>
      <c r="Y57" s="3" t="s">
        <v>35</v>
      </c>
      <c r="Z57" s="3" t="s">
        <v>35</v>
      </c>
      <c r="AA57" s="3" t="s">
        <v>35</v>
      </c>
      <c r="AB57" s="3" t="s">
        <v>36</v>
      </c>
      <c r="AC57" s="3" t="s">
        <v>37</v>
      </c>
    </row>
    <row r="58" s="3" customFormat="1" spans="1:29">
      <c r="A58" s="3" t="s">
        <v>85</v>
      </c>
      <c r="B58" s="3" t="s">
        <v>30</v>
      </c>
      <c r="C58" s="3">
        <v>22509353</v>
      </c>
      <c r="D58" s="13" t="s">
        <v>207</v>
      </c>
      <c r="E58" s="16">
        <v>46131.7340625</v>
      </c>
      <c r="F58" s="3">
        <v>2951.63</v>
      </c>
      <c r="G58" s="3">
        <v>4.64</v>
      </c>
      <c r="H58" s="3">
        <v>2946.99</v>
      </c>
      <c r="I58" s="3">
        <v>161.05</v>
      </c>
      <c r="J58" s="3">
        <v>3.9</v>
      </c>
      <c r="K58" s="3">
        <v>157.15</v>
      </c>
      <c r="L58" s="3">
        <v>304.69</v>
      </c>
      <c r="M58" s="3">
        <v>3961</v>
      </c>
      <c r="N58" s="3">
        <v>304.69</v>
      </c>
      <c r="O58" s="3">
        <v>3961</v>
      </c>
      <c r="P58" s="3" t="s">
        <v>41</v>
      </c>
      <c r="Q58" s="3" t="s">
        <v>33</v>
      </c>
      <c r="R58" s="3" t="s">
        <v>148</v>
      </c>
      <c r="S58" s="3">
        <v>0</v>
      </c>
      <c r="T58" s="3">
        <v>198</v>
      </c>
      <c r="U58" s="3">
        <v>0</v>
      </c>
      <c r="V58" s="3" t="s">
        <v>35</v>
      </c>
      <c r="W58" s="3" t="s">
        <v>35</v>
      </c>
      <c r="X58" s="3" t="s">
        <v>35</v>
      </c>
      <c r="Y58" s="3" t="s">
        <v>35</v>
      </c>
      <c r="Z58" s="3" t="s">
        <v>35</v>
      </c>
      <c r="AA58" s="3" t="s">
        <v>35</v>
      </c>
      <c r="AB58" s="3" t="s">
        <v>43</v>
      </c>
      <c r="AC58" s="3" t="s">
        <v>37</v>
      </c>
    </row>
    <row r="59" s="3" customFormat="1" spans="1:29">
      <c r="A59" s="3" t="s">
        <v>85</v>
      </c>
      <c r="B59" s="3" t="s">
        <v>30</v>
      </c>
      <c r="C59" s="3">
        <v>20545743</v>
      </c>
      <c r="D59" s="13" t="s">
        <v>208</v>
      </c>
      <c r="E59" s="16">
        <v>46026.8791666667</v>
      </c>
      <c r="F59" s="3">
        <v>1443.04</v>
      </c>
      <c r="G59" s="3">
        <v>0.08</v>
      </c>
      <c r="H59" s="3">
        <v>1442.96</v>
      </c>
      <c r="I59" s="3">
        <v>84.99</v>
      </c>
      <c r="J59" s="3">
        <v>-0.3</v>
      </c>
      <c r="K59" s="3">
        <v>85.29</v>
      </c>
      <c r="L59" s="3">
        <v>409.31</v>
      </c>
      <c r="M59" s="3">
        <v>5321</v>
      </c>
      <c r="N59" s="3">
        <v>350.62</v>
      </c>
      <c r="O59" s="3">
        <v>4558</v>
      </c>
      <c r="P59" s="3" t="s">
        <v>32</v>
      </c>
      <c r="Q59" s="3" t="s">
        <v>33</v>
      </c>
      <c r="R59" s="3" t="s">
        <v>148</v>
      </c>
      <c r="S59" s="3">
        <v>0</v>
      </c>
      <c r="T59" s="3">
        <v>228</v>
      </c>
      <c r="U59" s="3">
        <v>0</v>
      </c>
      <c r="V59" s="3" t="s">
        <v>35</v>
      </c>
      <c r="W59" s="3" t="s">
        <v>35</v>
      </c>
      <c r="X59" s="3" t="s">
        <v>35</v>
      </c>
      <c r="Y59" s="3" t="s">
        <v>35</v>
      </c>
      <c r="Z59" s="3" t="s">
        <v>35</v>
      </c>
      <c r="AA59" s="3" t="s">
        <v>35</v>
      </c>
      <c r="AB59" s="3" t="s">
        <v>48</v>
      </c>
      <c r="AC59" s="3" t="s">
        <v>49</v>
      </c>
    </row>
    <row r="60" s="3" customFormat="1" spans="1:29">
      <c r="A60" s="3" t="s">
        <v>85</v>
      </c>
      <c r="B60" s="3" t="s">
        <v>30</v>
      </c>
      <c r="C60" s="3">
        <v>3453065</v>
      </c>
      <c r="D60" s="13" t="s">
        <v>209</v>
      </c>
      <c r="E60" s="16">
        <v>44224.9548032407</v>
      </c>
      <c r="F60" s="3">
        <v>602.23</v>
      </c>
      <c r="G60" s="3">
        <v>0</v>
      </c>
      <c r="H60" s="3">
        <v>602.23</v>
      </c>
      <c r="I60" s="3">
        <v>131.46</v>
      </c>
      <c r="J60" s="3">
        <v>0</v>
      </c>
      <c r="K60" s="3">
        <v>131.46</v>
      </c>
      <c r="L60" s="3">
        <v>131.46</v>
      </c>
      <c r="M60" s="3">
        <v>1709</v>
      </c>
      <c r="N60" s="3">
        <v>2.31</v>
      </c>
      <c r="O60" s="3">
        <v>30</v>
      </c>
      <c r="P60" s="3" t="s">
        <v>32</v>
      </c>
      <c r="Q60" s="3" t="s">
        <v>33</v>
      </c>
      <c r="R60" s="3" t="s">
        <v>148</v>
      </c>
      <c r="S60" s="3">
        <v>0</v>
      </c>
      <c r="T60" s="3">
        <v>2</v>
      </c>
      <c r="U60" s="3">
        <v>0</v>
      </c>
      <c r="V60" s="3" t="s">
        <v>35</v>
      </c>
      <c r="W60" s="3" t="s">
        <v>35</v>
      </c>
      <c r="X60" s="3" t="s">
        <v>35</v>
      </c>
      <c r="Y60" s="3" t="s">
        <v>35</v>
      </c>
      <c r="Z60" s="3" t="s">
        <v>35</v>
      </c>
      <c r="AA60" s="3" t="s">
        <v>35</v>
      </c>
      <c r="AB60" s="3" t="s">
        <v>48</v>
      </c>
      <c r="AC60" s="3" t="s">
        <v>49</v>
      </c>
    </row>
    <row r="61" s="3" customFormat="1" spans="1:29">
      <c r="A61" s="3" t="s">
        <v>85</v>
      </c>
      <c r="B61" s="3" t="s">
        <v>30</v>
      </c>
      <c r="C61" s="3">
        <v>9895703</v>
      </c>
      <c r="D61" s="13" t="s">
        <v>210</v>
      </c>
      <c r="E61" s="16">
        <v>45051.6953009259</v>
      </c>
      <c r="F61" s="3">
        <v>133581.67</v>
      </c>
      <c r="G61" s="3">
        <v>0</v>
      </c>
      <c r="H61" s="3">
        <v>133581.67</v>
      </c>
      <c r="I61" s="3">
        <v>1859.76</v>
      </c>
      <c r="J61" s="3">
        <v>0</v>
      </c>
      <c r="K61" s="3">
        <v>1859.76</v>
      </c>
      <c r="L61" s="3">
        <v>33645.31</v>
      </c>
      <c r="M61" s="3">
        <v>437389</v>
      </c>
      <c r="N61" s="3">
        <v>6278.54</v>
      </c>
      <c r="O61" s="3">
        <v>81621</v>
      </c>
      <c r="P61" s="3" t="s">
        <v>32</v>
      </c>
      <c r="Q61" s="3" t="s">
        <v>42</v>
      </c>
      <c r="R61" s="3" t="s">
        <v>148</v>
      </c>
      <c r="S61" s="3">
        <v>0</v>
      </c>
      <c r="T61" s="3">
        <v>4081</v>
      </c>
      <c r="U61" s="3">
        <v>1</v>
      </c>
      <c r="V61" s="3">
        <v>1</v>
      </c>
      <c r="W61" s="3" t="s">
        <v>35</v>
      </c>
      <c r="X61" s="3" t="s">
        <v>35</v>
      </c>
      <c r="Y61" s="3" t="s">
        <v>35</v>
      </c>
      <c r="Z61" s="3" t="s">
        <v>35</v>
      </c>
      <c r="AA61" s="3" t="s">
        <v>35</v>
      </c>
      <c r="AB61" s="3" t="s">
        <v>48</v>
      </c>
      <c r="AC61" s="3" t="s">
        <v>49</v>
      </c>
    </row>
    <row r="62" s="3" customFormat="1" spans="1:29">
      <c r="A62" s="3" t="s">
        <v>85</v>
      </c>
      <c r="B62" s="3" t="s">
        <v>30</v>
      </c>
      <c r="C62" s="3">
        <v>22107934</v>
      </c>
      <c r="D62" s="13" t="s">
        <v>211</v>
      </c>
      <c r="E62" s="16">
        <v>46108.0047337963</v>
      </c>
      <c r="F62" s="3">
        <v>248.54</v>
      </c>
      <c r="G62" s="3">
        <v>13.23</v>
      </c>
      <c r="H62" s="3">
        <v>235.31</v>
      </c>
      <c r="I62" s="3">
        <v>30.56</v>
      </c>
      <c r="J62" s="3">
        <v>8.67</v>
      </c>
      <c r="K62" s="3">
        <v>21.9</v>
      </c>
      <c r="L62" s="3">
        <v>62</v>
      </c>
      <c r="M62" s="3">
        <v>806</v>
      </c>
      <c r="N62" s="3">
        <v>62</v>
      </c>
      <c r="O62" s="3">
        <v>806</v>
      </c>
      <c r="P62" s="3" t="s">
        <v>41</v>
      </c>
      <c r="Q62" s="3" t="s">
        <v>33</v>
      </c>
      <c r="R62" s="3" t="s">
        <v>148</v>
      </c>
      <c r="S62" s="3">
        <v>0</v>
      </c>
      <c r="T62" s="3">
        <v>40</v>
      </c>
      <c r="U62" s="3">
        <v>0</v>
      </c>
      <c r="V62" s="3" t="s">
        <v>35</v>
      </c>
      <c r="W62" s="3" t="s">
        <v>35</v>
      </c>
      <c r="X62" s="3" t="s">
        <v>35</v>
      </c>
      <c r="Y62" s="3" t="s">
        <v>35</v>
      </c>
      <c r="Z62" s="3" t="s">
        <v>35</v>
      </c>
      <c r="AA62" s="3" t="s">
        <v>35</v>
      </c>
      <c r="AB62" s="3" t="s">
        <v>58</v>
      </c>
      <c r="AC62" s="3" t="s">
        <v>49</v>
      </c>
    </row>
    <row r="63" s="3" customFormat="1" spans="1:29">
      <c r="A63" s="3" t="s">
        <v>85</v>
      </c>
      <c r="B63" s="3" t="s">
        <v>30</v>
      </c>
      <c r="C63" s="3">
        <v>9795303</v>
      </c>
      <c r="D63" s="13" t="s">
        <v>212</v>
      </c>
      <c r="E63" s="16">
        <v>45034.4050694444</v>
      </c>
      <c r="F63" s="3">
        <v>321.85</v>
      </c>
      <c r="G63" s="3">
        <v>69.54</v>
      </c>
      <c r="H63" s="3">
        <v>252.31</v>
      </c>
      <c r="I63" s="3">
        <v>17.69</v>
      </c>
      <c r="J63" s="3">
        <v>64.11</v>
      </c>
      <c r="K63" s="3">
        <v>-46.42</v>
      </c>
      <c r="L63" s="3">
        <v>320.15</v>
      </c>
      <c r="M63" s="3">
        <v>4162</v>
      </c>
      <c r="N63" s="3">
        <v>59.31</v>
      </c>
      <c r="O63" s="3">
        <v>771</v>
      </c>
      <c r="P63" s="3" t="s">
        <v>61</v>
      </c>
      <c r="Q63" s="3" t="s">
        <v>33</v>
      </c>
      <c r="R63" s="3" t="s">
        <v>148</v>
      </c>
      <c r="S63" s="3">
        <v>120</v>
      </c>
      <c r="T63" s="3">
        <v>19</v>
      </c>
      <c r="U63" s="3">
        <v>0</v>
      </c>
      <c r="V63" s="3" t="s">
        <v>35</v>
      </c>
      <c r="W63" s="3" t="s">
        <v>35</v>
      </c>
      <c r="X63" s="3" t="s">
        <v>35</v>
      </c>
      <c r="Y63" s="3" t="s">
        <v>35</v>
      </c>
      <c r="Z63" s="3" t="s">
        <v>35</v>
      </c>
      <c r="AA63" s="3" t="s">
        <v>35</v>
      </c>
      <c r="AB63" s="3" t="s">
        <v>58</v>
      </c>
      <c r="AC63" s="3" t="s">
        <v>49</v>
      </c>
    </row>
    <row r="64" s="3" customFormat="1" spans="1:29">
      <c r="A64" s="3" t="s">
        <v>85</v>
      </c>
      <c r="B64" s="3" t="s">
        <v>30</v>
      </c>
      <c r="C64" s="3">
        <v>18844063</v>
      </c>
      <c r="D64" s="13" t="s">
        <v>213</v>
      </c>
      <c r="E64" s="16">
        <v>45937.9080208333</v>
      </c>
      <c r="F64" s="3">
        <v>5483.1</v>
      </c>
      <c r="G64" s="3">
        <v>19.47</v>
      </c>
      <c r="H64" s="3">
        <v>5463.62</v>
      </c>
      <c r="I64" s="3">
        <v>392.92</v>
      </c>
      <c r="J64" s="3">
        <v>19.47</v>
      </c>
      <c r="K64" s="3">
        <v>373.44</v>
      </c>
      <c r="L64" s="3">
        <v>1365.38</v>
      </c>
      <c r="M64" s="3">
        <v>17750</v>
      </c>
      <c r="N64" s="3">
        <v>629.62</v>
      </c>
      <c r="O64" s="3">
        <v>8185</v>
      </c>
      <c r="P64" s="3" t="s">
        <v>41</v>
      </c>
      <c r="Q64" s="3" t="s">
        <v>42</v>
      </c>
      <c r="R64" s="3" t="s">
        <v>148</v>
      </c>
      <c r="S64" s="3">
        <v>0</v>
      </c>
      <c r="T64" s="3">
        <v>409</v>
      </c>
      <c r="U64" s="3">
        <v>0</v>
      </c>
      <c r="V64" s="3" t="s">
        <v>35</v>
      </c>
      <c r="W64" s="3" t="s">
        <v>35</v>
      </c>
      <c r="X64" s="3" t="s">
        <v>35</v>
      </c>
      <c r="Y64" s="3" t="s">
        <v>35</v>
      </c>
      <c r="Z64" s="3" t="s">
        <v>35</v>
      </c>
      <c r="AA64" s="3" t="s">
        <v>35</v>
      </c>
      <c r="AB64" s="3" t="s">
        <v>58</v>
      </c>
      <c r="AC64" s="3" t="s">
        <v>49</v>
      </c>
    </row>
    <row r="65" s="3" customFormat="1" spans="1:29">
      <c r="A65" s="3" t="s">
        <v>85</v>
      </c>
      <c r="B65" s="3" t="s">
        <v>30</v>
      </c>
      <c r="C65" s="3">
        <v>10684725</v>
      </c>
      <c r="D65" s="13" t="s">
        <v>214</v>
      </c>
      <c r="E65" s="16">
        <v>45184.5954282407</v>
      </c>
      <c r="F65" s="3">
        <v>5604.09</v>
      </c>
      <c r="G65" s="3">
        <v>0.85</v>
      </c>
      <c r="H65" s="3">
        <v>5603.25</v>
      </c>
      <c r="I65" s="3">
        <v>181.7</v>
      </c>
      <c r="J65" s="3">
        <v>0.6</v>
      </c>
      <c r="K65" s="3">
        <v>181.1</v>
      </c>
      <c r="L65" s="3">
        <v>586.77</v>
      </c>
      <c r="M65" s="3">
        <v>7628</v>
      </c>
      <c r="N65" s="3">
        <v>23.85</v>
      </c>
      <c r="O65" s="3">
        <v>310</v>
      </c>
      <c r="P65" s="3" t="s">
        <v>41</v>
      </c>
      <c r="Q65" s="3" t="s">
        <v>33</v>
      </c>
      <c r="R65" s="3" t="s">
        <v>148</v>
      </c>
      <c r="S65" s="3">
        <v>0</v>
      </c>
      <c r="T65" s="3">
        <v>16</v>
      </c>
      <c r="U65" s="3">
        <v>0</v>
      </c>
      <c r="V65" s="3" t="s">
        <v>35</v>
      </c>
      <c r="W65" s="3" t="s">
        <v>35</v>
      </c>
      <c r="X65" s="3" t="s">
        <v>35</v>
      </c>
      <c r="Y65" s="3" t="s">
        <v>35</v>
      </c>
      <c r="Z65" s="3" t="s">
        <v>35</v>
      </c>
      <c r="AA65" s="3" t="s">
        <v>35</v>
      </c>
      <c r="AB65" s="3" t="s">
        <v>58</v>
      </c>
      <c r="AC65" s="3" t="s">
        <v>49</v>
      </c>
    </row>
    <row r="66" s="3" customFormat="1" spans="1:29">
      <c r="A66" s="3" t="s">
        <v>85</v>
      </c>
      <c r="B66" s="3" t="s">
        <v>30</v>
      </c>
      <c r="C66" s="3">
        <v>19680015</v>
      </c>
      <c r="D66" s="13" t="s">
        <v>215</v>
      </c>
      <c r="E66" s="16">
        <v>45985.497025463</v>
      </c>
      <c r="F66" s="3">
        <v>279923.95</v>
      </c>
      <c r="G66" s="3">
        <v>0</v>
      </c>
      <c r="H66" s="3">
        <v>279923.95</v>
      </c>
      <c r="I66" s="3">
        <v>1953.76</v>
      </c>
      <c r="J66" s="3">
        <v>-0.18</v>
      </c>
      <c r="K66" s="3">
        <v>1953.94</v>
      </c>
      <c r="L66" s="3">
        <v>25464.77</v>
      </c>
      <c r="M66" s="3">
        <v>331042</v>
      </c>
      <c r="N66" s="3">
        <v>0</v>
      </c>
      <c r="O66" s="3">
        <v>0</v>
      </c>
      <c r="P66" s="3" t="s">
        <v>41</v>
      </c>
      <c r="Q66" s="3" t="s">
        <v>42</v>
      </c>
      <c r="R66" s="3" t="s">
        <v>148</v>
      </c>
      <c r="S66" s="3">
        <v>0</v>
      </c>
      <c r="T66" s="3">
        <v>0</v>
      </c>
      <c r="U66" s="3">
        <v>1</v>
      </c>
      <c r="V66" s="3">
        <v>1</v>
      </c>
      <c r="W66" s="3" t="s">
        <v>35</v>
      </c>
      <c r="X66" s="3" t="s">
        <v>35</v>
      </c>
      <c r="Y66" s="3" t="s">
        <v>35</v>
      </c>
      <c r="Z66" s="3" t="s">
        <v>35</v>
      </c>
      <c r="AA66" s="3" t="s">
        <v>35</v>
      </c>
      <c r="AB66" s="3" t="s">
        <v>58</v>
      </c>
      <c r="AC66" s="3" t="s">
        <v>49</v>
      </c>
    </row>
    <row r="67" s="3" customFormat="1" spans="1:29">
      <c r="A67" s="3" t="s">
        <v>85</v>
      </c>
      <c r="B67" s="3" t="s">
        <v>30</v>
      </c>
      <c r="C67" s="3">
        <v>20156004</v>
      </c>
      <c r="D67" s="13" t="s">
        <v>216</v>
      </c>
      <c r="E67" s="16">
        <v>46007.9941666667</v>
      </c>
      <c r="F67" s="3">
        <v>943.85</v>
      </c>
      <c r="G67" s="3">
        <v>3.22</v>
      </c>
      <c r="H67" s="3">
        <v>937.17</v>
      </c>
      <c r="I67" s="3">
        <v>-17.01</v>
      </c>
      <c r="J67" s="3">
        <v>3.22</v>
      </c>
      <c r="K67" s="3">
        <v>-20.23</v>
      </c>
      <c r="L67" s="3">
        <v>229.31</v>
      </c>
      <c r="M67" s="3">
        <v>2981</v>
      </c>
      <c r="N67" s="3">
        <v>0</v>
      </c>
      <c r="O67" s="3">
        <v>0</v>
      </c>
      <c r="P67" s="3" t="s">
        <v>41</v>
      </c>
      <c r="Q67" s="3" t="s">
        <v>33</v>
      </c>
      <c r="R67" s="3" t="s">
        <v>148</v>
      </c>
      <c r="S67" s="3">
        <v>0</v>
      </c>
      <c r="T67" s="3">
        <v>0</v>
      </c>
      <c r="U67" s="3">
        <v>0</v>
      </c>
      <c r="V67" s="3" t="s">
        <v>35</v>
      </c>
      <c r="W67" s="3" t="s">
        <v>35</v>
      </c>
      <c r="X67" s="3" t="s">
        <v>35</v>
      </c>
      <c r="Y67" s="3" t="s">
        <v>35</v>
      </c>
      <c r="Z67" s="3" t="s">
        <v>35</v>
      </c>
      <c r="AA67" s="3" t="s">
        <v>35</v>
      </c>
      <c r="AB67" s="3" t="s">
        <v>58</v>
      </c>
      <c r="AC67" s="3" t="s">
        <v>49</v>
      </c>
    </row>
    <row r="68" s="3" customFormat="1" spans="1:29">
      <c r="A68" s="3" t="s">
        <v>85</v>
      </c>
      <c r="B68" s="3" t="s">
        <v>30</v>
      </c>
      <c r="C68" s="3">
        <v>17738463</v>
      </c>
      <c r="D68" s="13" t="s">
        <v>217</v>
      </c>
      <c r="E68" s="16">
        <v>45872.5966087963</v>
      </c>
      <c r="F68" s="3">
        <v>20289.65</v>
      </c>
      <c r="G68" s="3">
        <v>92.22</v>
      </c>
      <c r="H68" s="3">
        <v>20197.42</v>
      </c>
      <c r="I68" s="3">
        <v>-332.81</v>
      </c>
      <c r="J68" s="3">
        <v>53.53</v>
      </c>
      <c r="K68" s="3">
        <v>-386.34</v>
      </c>
      <c r="L68" s="3">
        <v>3564.15</v>
      </c>
      <c r="M68" s="3">
        <v>46334</v>
      </c>
      <c r="N68" s="3">
        <v>3061.85</v>
      </c>
      <c r="O68" s="3">
        <v>39804</v>
      </c>
      <c r="P68" s="3" t="s">
        <v>41</v>
      </c>
      <c r="Q68" s="3" t="s">
        <v>42</v>
      </c>
      <c r="R68" s="3" t="s">
        <v>148</v>
      </c>
      <c r="S68" s="3">
        <v>0</v>
      </c>
      <c r="T68" s="3">
        <v>1990</v>
      </c>
      <c r="U68" s="3">
        <v>1</v>
      </c>
      <c r="V68" s="3">
        <v>1</v>
      </c>
      <c r="W68" s="3" t="s">
        <v>35</v>
      </c>
      <c r="X68" s="3" t="s">
        <v>35</v>
      </c>
      <c r="Y68" s="3" t="s">
        <v>35</v>
      </c>
      <c r="Z68" s="3" t="s">
        <v>35</v>
      </c>
      <c r="AA68" s="3" t="s">
        <v>35</v>
      </c>
      <c r="AB68" s="3" t="s">
        <v>58</v>
      </c>
      <c r="AC68" s="3" t="s">
        <v>49</v>
      </c>
    </row>
    <row r="69" s="3" customFormat="1" spans="1:29">
      <c r="A69" s="3" t="s">
        <v>85</v>
      </c>
      <c r="B69" s="3" t="s">
        <v>30</v>
      </c>
      <c r="C69" s="3">
        <v>20792863</v>
      </c>
      <c r="D69" s="13" t="s">
        <v>218</v>
      </c>
      <c r="E69" s="16">
        <v>46038.6661574074</v>
      </c>
      <c r="F69" s="3">
        <v>37770.59</v>
      </c>
      <c r="G69" s="3">
        <v>0.23</v>
      </c>
      <c r="H69" s="3">
        <v>37770.36</v>
      </c>
      <c r="I69" s="3">
        <v>2300.43</v>
      </c>
      <c r="J69" s="3">
        <v>0.23</v>
      </c>
      <c r="K69" s="3">
        <v>2300.2</v>
      </c>
      <c r="L69" s="3">
        <v>4814.77</v>
      </c>
      <c r="M69" s="3">
        <v>62592</v>
      </c>
      <c r="N69" s="3">
        <v>3441.54</v>
      </c>
      <c r="O69" s="3">
        <v>44740</v>
      </c>
      <c r="P69" s="3" t="s">
        <v>41</v>
      </c>
      <c r="Q69" s="3" t="s">
        <v>42</v>
      </c>
      <c r="R69" s="3" t="s">
        <v>148</v>
      </c>
      <c r="S69" s="3">
        <v>0</v>
      </c>
      <c r="T69" s="3">
        <v>2237</v>
      </c>
      <c r="U69" s="3">
        <v>1</v>
      </c>
      <c r="V69" s="3">
        <v>1</v>
      </c>
      <c r="W69" s="3" t="s">
        <v>35</v>
      </c>
      <c r="X69" s="3" t="s">
        <v>35</v>
      </c>
      <c r="Y69" s="3" t="s">
        <v>35</v>
      </c>
      <c r="Z69" s="3" t="s">
        <v>35</v>
      </c>
      <c r="AA69" s="3" t="s">
        <v>35</v>
      </c>
      <c r="AB69" s="3" t="s">
        <v>58</v>
      </c>
      <c r="AC69" s="3" t="s">
        <v>49</v>
      </c>
    </row>
    <row r="70" s="3" customFormat="1" spans="1:29">
      <c r="A70" s="3" t="s">
        <v>85</v>
      </c>
      <c r="B70" s="3" t="s">
        <v>30</v>
      </c>
      <c r="C70" s="3">
        <v>13052233</v>
      </c>
      <c r="D70" s="13" t="s">
        <v>219</v>
      </c>
      <c r="E70" s="16">
        <v>45436.5828356482</v>
      </c>
      <c r="F70" s="3">
        <v>228.82</v>
      </c>
      <c r="G70" s="3">
        <v>83.46</v>
      </c>
      <c r="H70" s="3">
        <v>145.35</v>
      </c>
      <c r="I70" s="3">
        <v>32.85</v>
      </c>
      <c r="J70" s="3">
        <v>4.31</v>
      </c>
      <c r="K70" s="3">
        <v>28.54</v>
      </c>
      <c r="L70" s="3">
        <v>128.08</v>
      </c>
      <c r="M70" s="3">
        <v>1665</v>
      </c>
      <c r="N70" s="3">
        <v>3.46</v>
      </c>
      <c r="O70" s="3">
        <v>45</v>
      </c>
      <c r="P70" s="3" t="s">
        <v>61</v>
      </c>
      <c r="Q70" s="3" t="s">
        <v>33</v>
      </c>
      <c r="R70" s="3" t="s">
        <v>148</v>
      </c>
      <c r="S70" s="3">
        <v>120</v>
      </c>
      <c r="T70" s="3">
        <v>1</v>
      </c>
      <c r="U70" s="3">
        <v>0</v>
      </c>
      <c r="V70" s="3" t="s">
        <v>35</v>
      </c>
      <c r="W70" s="3" t="s">
        <v>35</v>
      </c>
      <c r="X70" s="3" t="s">
        <v>35</v>
      </c>
      <c r="Y70" s="3" t="s">
        <v>35</v>
      </c>
      <c r="Z70" s="3" t="s">
        <v>35</v>
      </c>
      <c r="AA70" s="3" t="s">
        <v>35</v>
      </c>
      <c r="AB70" s="3" t="s">
        <v>58</v>
      </c>
      <c r="AC70" s="3" t="s">
        <v>49</v>
      </c>
    </row>
    <row r="71" s="3" customFormat="1" spans="1:29">
      <c r="A71" s="3" t="s">
        <v>85</v>
      </c>
      <c r="B71" s="3" t="s">
        <v>30</v>
      </c>
      <c r="C71" s="3">
        <v>20783243</v>
      </c>
      <c r="D71" s="13" t="s">
        <v>220</v>
      </c>
      <c r="E71" s="16">
        <v>46038.3067592593</v>
      </c>
      <c r="F71" s="3">
        <v>820.46</v>
      </c>
      <c r="G71" s="3">
        <v>8.71</v>
      </c>
      <c r="H71" s="3">
        <v>811.76</v>
      </c>
      <c r="I71" s="3">
        <v>35.14</v>
      </c>
      <c r="J71" s="3">
        <v>-9.66</v>
      </c>
      <c r="K71" s="3">
        <v>44.8</v>
      </c>
      <c r="L71" s="3">
        <v>84.69</v>
      </c>
      <c r="M71" s="3">
        <v>1101</v>
      </c>
      <c r="N71" s="3">
        <v>19.85</v>
      </c>
      <c r="O71" s="3">
        <v>258</v>
      </c>
      <c r="P71" s="3" t="s">
        <v>32</v>
      </c>
      <c r="Q71" s="3" t="s">
        <v>33</v>
      </c>
      <c r="R71" s="3" t="s">
        <v>148</v>
      </c>
      <c r="S71" s="3">
        <v>0</v>
      </c>
      <c r="T71" s="3">
        <v>13</v>
      </c>
      <c r="U71" s="3">
        <v>0</v>
      </c>
      <c r="V71" s="3" t="s">
        <v>35</v>
      </c>
      <c r="W71" s="3" t="s">
        <v>35</v>
      </c>
      <c r="X71" s="3" t="s">
        <v>35</v>
      </c>
      <c r="Y71" s="3" t="s">
        <v>35</v>
      </c>
      <c r="Z71" s="3" t="s">
        <v>35</v>
      </c>
      <c r="AA71" s="3" t="s">
        <v>35</v>
      </c>
      <c r="AB71" s="3" t="s">
        <v>58</v>
      </c>
      <c r="AC71" s="3" t="s">
        <v>49</v>
      </c>
    </row>
    <row r="72" s="3" customFormat="1" spans="1:29">
      <c r="A72" s="3" t="s">
        <v>85</v>
      </c>
      <c r="B72" s="3" t="s">
        <v>30</v>
      </c>
      <c r="C72" s="3">
        <v>17570495</v>
      </c>
      <c r="D72" s="13" t="s">
        <v>221</v>
      </c>
      <c r="E72" s="16">
        <v>45863.5252083333</v>
      </c>
      <c r="F72" s="3">
        <v>597</v>
      </c>
      <c r="G72" s="3">
        <v>1.23</v>
      </c>
      <c r="H72" s="3">
        <v>595.77</v>
      </c>
      <c r="I72" s="3">
        <v>36.31</v>
      </c>
      <c r="J72" s="3">
        <v>1.23</v>
      </c>
      <c r="K72" s="3">
        <v>35.08</v>
      </c>
      <c r="L72" s="3">
        <v>139.15</v>
      </c>
      <c r="M72" s="3">
        <v>1809</v>
      </c>
      <c r="N72" s="3">
        <v>78</v>
      </c>
      <c r="O72" s="3">
        <v>1014</v>
      </c>
      <c r="P72" s="3" t="s">
        <v>32</v>
      </c>
      <c r="Q72" s="3" t="s">
        <v>33</v>
      </c>
      <c r="R72" s="3" t="s">
        <v>148</v>
      </c>
      <c r="S72" s="3">
        <v>0</v>
      </c>
      <c r="T72" s="3">
        <v>51</v>
      </c>
      <c r="U72" s="3">
        <v>0</v>
      </c>
      <c r="V72" s="3" t="s">
        <v>35</v>
      </c>
      <c r="W72" s="3" t="s">
        <v>35</v>
      </c>
      <c r="X72" s="3" t="s">
        <v>35</v>
      </c>
      <c r="Y72" s="3" t="s">
        <v>35</v>
      </c>
      <c r="Z72" s="3" t="s">
        <v>35</v>
      </c>
      <c r="AA72" s="3" t="s">
        <v>35</v>
      </c>
      <c r="AB72" s="3" t="s">
        <v>70</v>
      </c>
      <c r="AC72" s="3" t="s">
        <v>49</v>
      </c>
    </row>
    <row r="73" s="3" customFormat="1" spans="1:29">
      <c r="A73" s="3" t="s">
        <v>85</v>
      </c>
      <c r="B73" s="3" t="s">
        <v>30</v>
      </c>
      <c r="C73" s="3">
        <v>22399335</v>
      </c>
      <c r="D73" s="13" t="s">
        <v>222</v>
      </c>
      <c r="E73" s="16">
        <v>46124.8607060185</v>
      </c>
      <c r="F73" s="3">
        <v>2145.3</v>
      </c>
      <c r="G73" s="3">
        <v>1.15</v>
      </c>
      <c r="H73" s="3">
        <v>2144.15</v>
      </c>
      <c r="I73" s="3">
        <v>103.08</v>
      </c>
      <c r="J73" s="3">
        <v>1.15</v>
      </c>
      <c r="K73" s="3">
        <v>101.92</v>
      </c>
      <c r="L73" s="3">
        <v>451.69</v>
      </c>
      <c r="M73" s="3">
        <v>5872</v>
      </c>
      <c r="N73" s="3">
        <v>451.69</v>
      </c>
      <c r="O73" s="3">
        <v>5872</v>
      </c>
      <c r="P73" s="3" t="s">
        <v>41</v>
      </c>
      <c r="Q73" s="3" t="s">
        <v>33</v>
      </c>
      <c r="R73" s="3" t="s">
        <v>148</v>
      </c>
      <c r="S73" s="3">
        <v>0</v>
      </c>
      <c r="T73" s="3">
        <v>294</v>
      </c>
      <c r="U73" s="3">
        <v>0</v>
      </c>
      <c r="V73" s="3" t="s">
        <v>35</v>
      </c>
      <c r="W73" s="3" t="s">
        <v>35</v>
      </c>
      <c r="X73" s="3" t="s">
        <v>35</v>
      </c>
      <c r="Y73" s="3" t="s">
        <v>35</v>
      </c>
      <c r="Z73" s="3" t="s">
        <v>35</v>
      </c>
      <c r="AA73" s="3" t="s">
        <v>35</v>
      </c>
      <c r="AB73" s="3" t="s">
        <v>70</v>
      </c>
      <c r="AC73" s="3" t="s">
        <v>49</v>
      </c>
    </row>
    <row r="74" s="3" customFormat="1" spans="1:29">
      <c r="A74" s="3" t="s">
        <v>85</v>
      </c>
      <c r="B74" s="3" t="s">
        <v>30</v>
      </c>
      <c r="C74" s="3">
        <v>22606125</v>
      </c>
      <c r="D74" s="13" t="s">
        <v>223</v>
      </c>
      <c r="E74" s="16">
        <v>46137.9046643519</v>
      </c>
      <c r="F74" s="3">
        <v>716.4</v>
      </c>
      <c r="G74" s="3">
        <v>0</v>
      </c>
      <c r="H74" s="3">
        <v>716.4</v>
      </c>
      <c r="I74" s="3">
        <v>66.2</v>
      </c>
      <c r="J74" s="3">
        <v>0</v>
      </c>
      <c r="K74" s="3">
        <v>66.2</v>
      </c>
      <c r="L74" s="3">
        <v>185.77</v>
      </c>
      <c r="M74" s="3">
        <v>2415</v>
      </c>
      <c r="N74" s="3">
        <v>185.77</v>
      </c>
      <c r="O74" s="3">
        <v>2415</v>
      </c>
      <c r="P74" s="3" t="s">
        <v>41</v>
      </c>
      <c r="Q74" s="3" t="s">
        <v>33</v>
      </c>
      <c r="R74" s="3" t="s">
        <v>148</v>
      </c>
      <c r="S74" s="3">
        <v>0</v>
      </c>
      <c r="T74" s="3">
        <v>121</v>
      </c>
      <c r="U74" s="3">
        <v>0</v>
      </c>
      <c r="V74" s="3" t="s">
        <v>35</v>
      </c>
      <c r="W74" s="3" t="s">
        <v>35</v>
      </c>
      <c r="X74" s="3" t="s">
        <v>35</v>
      </c>
      <c r="Y74" s="3" t="s">
        <v>35</v>
      </c>
      <c r="Z74" s="3" t="s">
        <v>35</v>
      </c>
      <c r="AA74" s="3" t="s">
        <v>35</v>
      </c>
      <c r="AB74" s="3" t="s">
        <v>70</v>
      </c>
      <c r="AC74" s="3" t="s">
        <v>49</v>
      </c>
    </row>
    <row r="75" s="3" customFormat="1" spans="1:29">
      <c r="A75" s="3" t="s">
        <v>85</v>
      </c>
      <c r="B75" s="3" t="s">
        <v>30</v>
      </c>
      <c r="C75" s="3">
        <v>22518843</v>
      </c>
      <c r="D75" s="13" t="s">
        <v>224</v>
      </c>
      <c r="E75" s="16">
        <v>46132.5234953704</v>
      </c>
      <c r="F75" s="3">
        <v>705.89</v>
      </c>
      <c r="G75" s="3">
        <v>0.38</v>
      </c>
      <c r="H75" s="3">
        <v>705.28</v>
      </c>
      <c r="I75" s="3">
        <v>51.99</v>
      </c>
      <c r="J75" s="3">
        <v>0.38</v>
      </c>
      <c r="K75" s="3">
        <v>51.61</v>
      </c>
      <c r="L75" s="3">
        <v>52</v>
      </c>
      <c r="M75" s="3">
        <v>676</v>
      </c>
      <c r="N75" s="3">
        <v>52</v>
      </c>
      <c r="O75" s="3">
        <v>676</v>
      </c>
      <c r="P75" s="3" t="s">
        <v>41</v>
      </c>
      <c r="Q75" s="3" t="s">
        <v>33</v>
      </c>
      <c r="R75" s="3" t="s">
        <v>148</v>
      </c>
      <c r="S75" s="3">
        <v>0</v>
      </c>
      <c r="T75" s="3">
        <v>34</v>
      </c>
      <c r="U75" s="3">
        <v>0</v>
      </c>
      <c r="V75" s="3" t="s">
        <v>35</v>
      </c>
      <c r="W75" s="3" t="s">
        <v>35</v>
      </c>
      <c r="X75" s="3" t="s">
        <v>35</v>
      </c>
      <c r="Y75" s="3" t="s">
        <v>35</v>
      </c>
      <c r="Z75" s="3" t="s">
        <v>35</v>
      </c>
      <c r="AA75" s="3" t="s">
        <v>35</v>
      </c>
      <c r="AB75" s="3" t="s">
        <v>70</v>
      </c>
      <c r="AC75" s="3" t="s">
        <v>49</v>
      </c>
    </row>
    <row r="76" s="3" customFormat="1" spans="1:29">
      <c r="A76" s="3" t="s">
        <v>85</v>
      </c>
      <c r="B76" s="3" t="s">
        <v>30</v>
      </c>
      <c r="C76" s="3">
        <v>20578065</v>
      </c>
      <c r="D76" s="13" t="s">
        <v>225</v>
      </c>
      <c r="E76" s="16">
        <v>46028.6009606482</v>
      </c>
      <c r="F76" s="3">
        <v>4842</v>
      </c>
      <c r="G76" s="3">
        <v>0</v>
      </c>
      <c r="H76" s="3">
        <v>4842</v>
      </c>
      <c r="I76" s="3">
        <v>-523.23</v>
      </c>
      <c r="J76" s="3">
        <v>0</v>
      </c>
      <c r="K76" s="3">
        <v>-523.23</v>
      </c>
      <c r="L76" s="3">
        <v>1041.92</v>
      </c>
      <c r="M76" s="3">
        <v>13545</v>
      </c>
      <c r="N76" s="3">
        <v>175.54</v>
      </c>
      <c r="O76" s="3">
        <v>2282</v>
      </c>
      <c r="P76" s="3" t="s">
        <v>41</v>
      </c>
      <c r="Q76" s="3" t="s">
        <v>42</v>
      </c>
      <c r="R76" s="3" t="s">
        <v>148</v>
      </c>
      <c r="S76" s="3">
        <v>0</v>
      </c>
      <c r="T76" s="3">
        <v>114</v>
      </c>
      <c r="U76" s="3">
        <v>0</v>
      </c>
      <c r="V76" s="3" t="s">
        <v>35</v>
      </c>
      <c r="W76" s="3" t="s">
        <v>35</v>
      </c>
      <c r="X76" s="3" t="s">
        <v>35</v>
      </c>
      <c r="Y76" s="3" t="s">
        <v>35</v>
      </c>
      <c r="Z76" s="3" t="s">
        <v>35</v>
      </c>
      <c r="AA76" s="3" t="s">
        <v>35</v>
      </c>
      <c r="AB76" s="3" t="s">
        <v>80</v>
      </c>
      <c r="AC76" s="3" t="s">
        <v>49</v>
      </c>
    </row>
    <row r="77" s="3" customFormat="1" spans="1:29">
      <c r="A77" s="3" t="s">
        <v>85</v>
      </c>
      <c r="B77" s="3" t="s">
        <v>30</v>
      </c>
      <c r="C77" s="3">
        <v>19609723</v>
      </c>
      <c r="D77" s="13" t="s">
        <v>226</v>
      </c>
      <c r="E77" s="16">
        <v>45981.8643055556</v>
      </c>
      <c r="F77" s="3">
        <v>13241.14</v>
      </c>
      <c r="G77" s="3">
        <v>0</v>
      </c>
      <c r="H77" s="3">
        <v>13241.14</v>
      </c>
      <c r="I77" s="3">
        <v>258.94</v>
      </c>
      <c r="J77" s="3">
        <v>0</v>
      </c>
      <c r="K77" s="3">
        <v>258.94</v>
      </c>
      <c r="L77" s="3">
        <v>981.62</v>
      </c>
      <c r="M77" s="3">
        <v>12761</v>
      </c>
      <c r="N77" s="3">
        <v>648.62</v>
      </c>
      <c r="O77" s="3">
        <v>8432</v>
      </c>
      <c r="P77" s="3" t="s">
        <v>32</v>
      </c>
      <c r="Q77" s="3" t="s">
        <v>33</v>
      </c>
      <c r="R77" s="3" t="s">
        <v>148</v>
      </c>
      <c r="S77" s="3">
        <v>0</v>
      </c>
      <c r="T77" s="3">
        <v>422</v>
      </c>
      <c r="U77" s="3">
        <v>0</v>
      </c>
      <c r="V77" s="3" t="s">
        <v>35</v>
      </c>
      <c r="W77" s="3" t="s">
        <v>35</v>
      </c>
      <c r="X77" s="3" t="s">
        <v>35</v>
      </c>
      <c r="Y77" s="3" t="s">
        <v>35</v>
      </c>
      <c r="Z77" s="3" t="s">
        <v>35</v>
      </c>
      <c r="AA77" s="3" t="s">
        <v>35</v>
      </c>
      <c r="AB77" s="3" t="s">
        <v>80</v>
      </c>
      <c r="AC77" s="3" t="s">
        <v>49</v>
      </c>
    </row>
    <row r="78" s="3" customFormat="1" spans="1:29">
      <c r="A78" s="3" t="s">
        <v>85</v>
      </c>
      <c r="B78" s="3" t="s">
        <v>30</v>
      </c>
      <c r="C78" s="3">
        <v>5586014</v>
      </c>
      <c r="D78" s="13" t="s">
        <v>227</v>
      </c>
      <c r="E78" s="16">
        <v>44498.9056018519</v>
      </c>
      <c r="F78" s="3">
        <v>2420.76</v>
      </c>
      <c r="G78" s="3">
        <v>0</v>
      </c>
      <c r="H78" s="3">
        <v>2420.76</v>
      </c>
      <c r="I78" s="3">
        <v>-299.43</v>
      </c>
      <c r="J78" s="3">
        <v>0</v>
      </c>
      <c r="K78" s="3">
        <v>-299.43</v>
      </c>
      <c r="L78" s="3">
        <v>1031.69</v>
      </c>
      <c r="M78" s="3">
        <v>13412</v>
      </c>
      <c r="N78" s="3">
        <v>647.62</v>
      </c>
      <c r="O78" s="3">
        <v>8419</v>
      </c>
      <c r="P78" s="3" t="s">
        <v>41</v>
      </c>
      <c r="Q78" s="3" t="s">
        <v>42</v>
      </c>
      <c r="R78" s="3" t="s">
        <v>148</v>
      </c>
      <c r="S78" s="3">
        <v>0</v>
      </c>
      <c r="T78" s="3">
        <v>421</v>
      </c>
      <c r="U78" s="3">
        <v>0</v>
      </c>
      <c r="V78" s="3" t="s">
        <v>35</v>
      </c>
      <c r="W78" s="3" t="s">
        <v>35</v>
      </c>
      <c r="X78" s="3" t="s">
        <v>35</v>
      </c>
      <c r="Y78" s="3" t="s">
        <v>35</v>
      </c>
      <c r="Z78" s="3" t="s">
        <v>35</v>
      </c>
      <c r="AA78" s="3" t="s">
        <v>35</v>
      </c>
      <c r="AB78" s="3" t="s">
        <v>84</v>
      </c>
      <c r="AC78" s="3" t="s">
        <v>49</v>
      </c>
    </row>
    <row r="79" s="3" customFormat="1" spans="1:29">
      <c r="A79" s="3" t="s">
        <v>85</v>
      </c>
      <c r="B79" s="3" t="s">
        <v>30</v>
      </c>
      <c r="C79" s="3">
        <v>17771453</v>
      </c>
      <c r="D79" s="13" t="s">
        <v>228</v>
      </c>
      <c r="E79" s="16">
        <v>45875.2949537037</v>
      </c>
      <c r="F79" s="3">
        <v>284.65</v>
      </c>
      <c r="G79" s="3">
        <v>0.64</v>
      </c>
      <c r="H79" s="3">
        <v>284.01</v>
      </c>
      <c r="I79" s="3">
        <v>30.31</v>
      </c>
      <c r="J79" s="3">
        <v>-0.09</v>
      </c>
      <c r="K79" s="3">
        <v>30.4</v>
      </c>
      <c r="L79" s="3">
        <v>101.69</v>
      </c>
      <c r="M79" s="3">
        <v>1322</v>
      </c>
      <c r="N79" s="3">
        <v>48.85</v>
      </c>
      <c r="O79" s="3">
        <v>635</v>
      </c>
      <c r="P79" s="3" t="s">
        <v>41</v>
      </c>
      <c r="Q79" s="3" t="s">
        <v>33</v>
      </c>
      <c r="R79" s="3" t="s">
        <v>148</v>
      </c>
      <c r="S79" s="3">
        <v>0</v>
      </c>
      <c r="T79" s="3">
        <v>32</v>
      </c>
      <c r="U79" s="3">
        <v>0</v>
      </c>
      <c r="V79" s="3" t="s">
        <v>35</v>
      </c>
      <c r="W79" s="3" t="s">
        <v>35</v>
      </c>
      <c r="X79" s="3" t="s">
        <v>35</v>
      </c>
      <c r="Y79" s="3" t="s">
        <v>35</v>
      </c>
      <c r="Z79" s="3" t="s">
        <v>35</v>
      </c>
      <c r="AA79" s="3" t="s">
        <v>35</v>
      </c>
      <c r="AB79" s="3" t="s">
        <v>84</v>
      </c>
      <c r="AC79" s="3" t="s">
        <v>49</v>
      </c>
    </row>
    <row r="80" s="3" customFormat="1" spans="1:29">
      <c r="A80" s="3" t="s">
        <v>85</v>
      </c>
      <c r="B80" s="3" t="s">
        <v>30</v>
      </c>
      <c r="C80" s="3">
        <v>21497165</v>
      </c>
      <c r="D80" s="13" t="s">
        <v>229</v>
      </c>
      <c r="E80" s="16">
        <v>46076.1136226852</v>
      </c>
      <c r="F80" s="3">
        <v>989.62</v>
      </c>
      <c r="G80" s="3">
        <v>0.69</v>
      </c>
      <c r="H80" s="3">
        <v>988.92</v>
      </c>
      <c r="I80" s="3">
        <v>-1.51</v>
      </c>
      <c r="J80" s="3">
        <v>0.46</v>
      </c>
      <c r="K80" s="3">
        <v>-1.96</v>
      </c>
      <c r="L80" s="3">
        <v>445.85</v>
      </c>
      <c r="M80" s="3">
        <v>5796</v>
      </c>
      <c r="N80" s="3">
        <v>350.77</v>
      </c>
      <c r="O80" s="3">
        <v>4560</v>
      </c>
      <c r="P80" s="3" t="s">
        <v>32</v>
      </c>
      <c r="Q80" s="3" t="s">
        <v>33</v>
      </c>
      <c r="R80" s="3" t="s">
        <v>148</v>
      </c>
      <c r="S80" s="3">
        <v>0</v>
      </c>
      <c r="T80" s="3">
        <v>228</v>
      </c>
      <c r="U80" s="3">
        <v>0</v>
      </c>
      <c r="V80" s="3" t="s">
        <v>35</v>
      </c>
      <c r="W80" s="3" t="s">
        <v>35</v>
      </c>
      <c r="X80" s="3" t="s">
        <v>35</v>
      </c>
      <c r="Y80" s="3" t="s">
        <v>35</v>
      </c>
      <c r="Z80" s="3" t="s">
        <v>35</v>
      </c>
      <c r="AA80" s="3" t="s">
        <v>35</v>
      </c>
      <c r="AB80" s="3" t="s">
        <v>84</v>
      </c>
      <c r="AC80" s="3" t="s">
        <v>49</v>
      </c>
    </row>
    <row r="81" s="3" customFormat="1" spans="1:29">
      <c r="A81" s="3" t="s">
        <v>85</v>
      </c>
      <c r="B81" s="3" t="s">
        <v>30</v>
      </c>
      <c r="C81" s="3">
        <v>18964363</v>
      </c>
      <c r="D81" s="13" t="s">
        <v>230</v>
      </c>
      <c r="E81" s="16">
        <v>45946.4346064815</v>
      </c>
      <c r="F81" s="3">
        <v>1206.58</v>
      </c>
      <c r="G81" s="3">
        <v>0</v>
      </c>
      <c r="H81" s="3">
        <v>1206.58</v>
      </c>
      <c r="I81" s="3">
        <v>21.52</v>
      </c>
      <c r="J81" s="3">
        <v>0</v>
      </c>
      <c r="K81" s="3">
        <v>21.52</v>
      </c>
      <c r="L81" s="3">
        <v>79.23</v>
      </c>
      <c r="M81" s="3">
        <v>1030</v>
      </c>
      <c r="N81" s="3">
        <v>0</v>
      </c>
      <c r="O81" s="3">
        <v>0</v>
      </c>
      <c r="P81" s="3" t="s">
        <v>41</v>
      </c>
      <c r="Q81" s="3" t="s">
        <v>33</v>
      </c>
      <c r="R81" s="3" t="s">
        <v>148</v>
      </c>
      <c r="S81" s="3">
        <v>0</v>
      </c>
      <c r="T81" s="3">
        <v>0</v>
      </c>
      <c r="U81" s="3">
        <v>0</v>
      </c>
      <c r="V81" s="3" t="s">
        <v>35</v>
      </c>
      <c r="W81" s="3" t="s">
        <v>35</v>
      </c>
      <c r="X81" s="3" t="s">
        <v>35</v>
      </c>
      <c r="Y81" s="3" t="s">
        <v>35</v>
      </c>
      <c r="Z81" s="3" t="s">
        <v>35</v>
      </c>
      <c r="AA81" s="3" t="s">
        <v>35</v>
      </c>
      <c r="AB81" s="3" t="s">
        <v>231</v>
      </c>
      <c r="AC81" s="3" t="s">
        <v>159</v>
      </c>
    </row>
    <row r="82" s="15" customFormat="1" spans="1:29">
      <c r="A82" s="15" t="s">
        <v>111</v>
      </c>
      <c r="B82" s="15" t="s">
        <v>30</v>
      </c>
      <c r="C82" s="15">
        <v>18769065</v>
      </c>
      <c r="D82" s="14">
        <v>233200556260</v>
      </c>
      <c r="E82" s="17">
        <v>45932.6516319444</v>
      </c>
      <c r="F82" s="15">
        <v>2722.4</v>
      </c>
      <c r="G82" s="15">
        <v>0</v>
      </c>
      <c r="H82" s="15">
        <v>2722.4</v>
      </c>
      <c r="I82" s="15">
        <v>254.77</v>
      </c>
      <c r="J82" s="15">
        <v>0</v>
      </c>
      <c r="K82" s="15">
        <v>254.77</v>
      </c>
      <c r="L82" s="15">
        <v>264.31</v>
      </c>
      <c r="M82" s="15">
        <v>3436</v>
      </c>
      <c r="N82" s="15">
        <v>68.23</v>
      </c>
      <c r="O82" s="15">
        <v>887</v>
      </c>
      <c r="P82" s="15" t="s">
        <v>32</v>
      </c>
      <c r="Q82" s="15" t="s">
        <v>33</v>
      </c>
      <c r="R82" s="15" t="s">
        <v>148</v>
      </c>
      <c r="S82" s="15">
        <v>0</v>
      </c>
      <c r="T82" s="15">
        <v>44</v>
      </c>
      <c r="U82" s="15">
        <v>0</v>
      </c>
      <c r="V82" s="15" t="s">
        <v>35</v>
      </c>
      <c r="W82" s="15" t="s">
        <v>35</v>
      </c>
      <c r="X82" s="15" t="s">
        <v>35</v>
      </c>
      <c r="Y82" s="15" t="s">
        <v>35</v>
      </c>
      <c r="Z82" s="15" t="s">
        <v>35</v>
      </c>
      <c r="AA82" s="15" t="s">
        <v>35</v>
      </c>
    </row>
    <row r="83" s="15" customFormat="1" spans="1:29">
      <c r="A83" s="15" t="s">
        <v>111</v>
      </c>
      <c r="B83" s="15" t="s">
        <v>30</v>
      </c>
      <c r="C83" s="15">
        <v>21363744</v>
      </c>
      <c r="D83" s="14">
        <v>233201350455</v>
      </c>
      <c r="E83" s="17">
        <v>46069.4660763889</v>
      </c>
      <c r="F83" s="15">
        <v>252.58</v>
      </c>
      <c r="G83" s="15">
        <v>7.69</v>
      </c>
      <c r="H83" s="15">
        <v>244.89</v>
      </c>
      <c r="I83" s="15">
        <v>11.61</v>
      </c>
      <c r="J83" s="15">
        <v>4.95</v>
      </c>
      <c r="K83" s="15">
        <v>6.65</v>
      </c>
      <c r="L83" s="15">
        <v>66.69</v>
      </c>
      <c r="M83" s="15">
        <v>867</v>
      </c>
      <c r="N83" s="15">
        <v>52.31</v>
      </c>
      <c r="O83" s="15">
        <v>680</v>
      </c>
      <c r="P83" s="15" t="s">
        <v>41</v>
      </c>
      <c r="Q83" s="15" t="s">
        <v>33</v>
      </c>
      <c r="R83" s="15" t="s">
        <v>148</v>
      </c>
      <c r="S83" s="15">
        <v>0</v>
      </c>
      <c r="T83" s="15">
        <v>34</v>
      </c>
      <c r="U83" s="15">
        <v>0</v>
      </c>
      <c r="V83" s="15" t="s">
        <v>35</v>
      </c>
      <c r="W83" s="15" t="s">
        <v>35</v>
      </c>
      <c r="X83" s="15" t="s">
        <v>35</v>
      </c>
      <c r="Y83" s="15" t="s">
        <v>35</v>
      </c>
      <c r="Z83" s="15" t="s">
        <v>35</v>
      </c>
      <c r="AA83" s="15" t="s">
        <v>35</v>
      </c>
    </row>
    <row r="84" s="15" customFormat="1" spans="1:29">
      <c r="A84" s="15" t="s">
        <v>111</v>
      </c>
      <c r="B84" s="15" t="s">
        <v>30</v>
      </c>
      <c r="C84" s="15">
        <v>22516984</v>
      </c>
      <c r="D84" s="14">
        <v>233203620398</v>
      </c>
      <c r="E84" s="17">
        <v>46132.4166435185</v>
      </c>
      <c r="F84" s="15">
        <v>2405.28</v>
      </c>
      <c r="G84" s="15">
        <v>0</v>
      </c>
      <c r="H84" s="15">
        <v>2405.28</v>
      </c>
      <c r="I84" s="15">
        <v>49.45</v>
      </c>
      <c r="J84" s="15">
        <v>0</v>
      </c>
      <c r="K84" s="15">
        <v>49.45</v>
      </c>
      <c r="L84" s="15">
        <v>264.31</v>
      </c>
      <c r="M84" s="15">
        <v>3436</v>
      </c>
      <c r="N84" s="15">
        <v>264.31</v>
      </c>
      <c r="O84" s="15">
        <v>3436</v>
      </c>
      <c r="P84" s="15" t="s">
        <v>41</v>
      </c>
      <c r="Q84" s="15" t="s">
        <v>33</v>
      </c>
      <c r="R84" s="15" t="s">
        <v>148</v>
      </c>
      <c r="S84" s="15">
        <v>0</v>
      </c>
      <c r="T84" s="15">
        <v>172</v>
      </c>
      <c r="U84" s="15">
        <v>0</v>
      </c>
      <c r="V84" s="15" t="s">
        <v>35</v>
      </c>
      <c r="W84" s="15" t="s">
        <v>35</v>
      </c>
      <c r="X84" s="15" t="s">
        <v>35</v>
      </c>
      <c r="Y84" s="15" t="s">
        <v>35</v>
      </c>
      <c r="Z84" s="15" t="s">
        <v>35</v>
      </c>
      <c r="AA84" s="15" t="s">
        <v>35</v>
      </c>
    </row>
    <row r="85" s="15" customFormat="1" spans="1:29">
      <c r="A85" s="15" t="s">
        <v>111</v>
      </c>
      <c r="B85" s="15" t="s">
        <v>30</v>
      </c>
      <c r="C85" s="15">
        <v>22930183</v>
      </c>
      <c r="D85" s="14">
        <v>233205527661</v>
      </c>
      <c r="E85" s="17">
        <v>46161.2934143519</v>
      </c>
      <c r="F85" s="15">
        <v>280.5</v>
      </c>
      <c r="G85" s="15">
        <v>0</v>
      </c>
      <c r="H85" s="15">
        <v>280.5</v>
      </c>
      <c r="I85" s="15">
        <v>27.89</v>
      </c>
      <c r="J85" s="15">
        <v>-0.31</v>
      </c>
      <c r="K85" s="15">
        <v>28.19</v>
      </c>
      <c r="L85" s="15">
        <v>76.69</v>
      </c>
      <c r="M85" s="15">
        <v>997</v>
      </c>
      <c r="N85" s="15">
        <v>76.69</v>
      </c>
      <c r="O85" s="15">
        <v>997</v>
      </c>
      <c r="P85" s="15" t="s">
        <v>41</v>
      </c>
      <c r="Q85" s="15" t="s">
        <v>33</v>
      </c>
      <c r="R85" s="15" t="s">
        <v>148</v>
      </c>
      <c r="S85" s="15">
        <v>0</v>
      </c>
      <c r="T85" s="15">
        <v>50</v>
      </c>
      <c r="U85" s="15">
        <v>0</v>
      </c>
      <c r="V85" s="15" t="s">
        <v>35</v>
      </c>
      <c r="W85" s="15" t="s">
        <v>35</v>
      </c>
      <c r="X85" s="15" t="s">
        <v>35</v>
      </c>
      <c r="Y85" s="15" t="s">
        <v>35</v>
      </c>
      <c r="Z85" s="15" t="s">
        <v>35</v>
      </c>
      <c r="AA85" s="15" t="s">
        <v>35</v>
      </c>
    </row>
    <row r="86" s="15" customFormat="1" spans="1:29">
      <c r="A86" s="15" t="s">
        <v>111</v>
      </c>
      <c r="B86" s="15" t="s">
        <v>30</v>
      </c>
      <c r="C86" s="15">
        <v>22189933</v>
      </c>
      <c r="D86" s="14">
        <v>233206212547</v>
      </c>
      <c r="E86" s="17">
        <v>46113.3750462963</v>
      </c>
      <c r="F86" s="15">
        <v>224.23</v>
      </c>
      <c r="G86" s="15">
        <v>1</v>
      </c>
      <c r="H86" s="15">
        <v>223.23</v>
      </c>
      <c r="I86" s="15">
        <v>-60.04</v>
      </c>
      <c r="J86" s="15">
        <v>1</v>
      </c>
      <c r="K86" s="15">
        <v>-61.04</v>
      </c>
      <c r="L86" s="15">
        <v>61.38</v>
      </c>
      <c r="M86" s="15">
        <v>798</v>
      </c>
      <c r="N86" s="15">
        <v>61.38</v>
      </c>
      <c r="O86" s="15">
        <v>798</v>
      </c>
      <c r="P86" s="15" t="s">
        <v>41</v>
      </c>
      <c r="Q86" s="15" t="s">
        <v>33</v>
      </c>
      <c r="R86" s="15" t="s">
        <v>148</v>
      </c>
      <c r="S86" s="15">
        <v>0</v>
      </c>
      <c r="T86" s="15">
        <v>40</v>
      </c>
      <c r="U86" s="15">
        <v>0</v>
      </c>
      <c r="V86" s="15" t="s">
        <v>35</v>
      </c>
      <c r="W86" s="15" t="s">
        <v>35</v>
      </c>
      <c r="X86" s="15" t="s">
        <v>35</v>
      </c>
      <c r="Y86" s="15" t="s">
        <v>35</v>
      </c>
      <c r="Z86" s="15" t="s">
        <v>35</v>
      </c>
      <c r="AA86" s="15" t="s">
        <v>35</v>
      </c>
    </row>
    <row r="87" s="15" customFormat="1" spans="1:29">
      <c r="A87" s="15" t="s">
        <v>111</v>
      </c>
      <c r="B87" s="15" t="s">
        <v>30</v>
      </c>
      <c r="C87" s="15">
        <v>20640865</v>
      </c>
      <c r="D87" s="14">
        <v>233207133573</v>
      </c>
      <c r="E87" s="17">
        <v>46030.9991087963</v>
      </c>
      <c r="F87" s="15">
        <v>6715.03</v>
      </c>
      <c r="G87" s="15">
        <v>47.62</v>
      </c>
      <c r="H87" s="15">
        <v>6667.41</v>
      </c>
      <c r="I87" s="15">
        <v>341.1</v>
      </c>
      <c r="J87" s="15">
        <v>15.72</v>
      </c>
      <c r="K87" s="15">
        <v>325.38</v>
      </c>
      <c r="L87" s="15">
        <v>519.54</v>
      </c>
      <c r="M87" s="15">
        <v>6754</v>
      </c>
      <c r="N87" s="15">
        <v>149.23</v>
      </c>
      <c r="O87" s="15">
        <v>1940</v>
      </c>
      <c r="P87" s="15" t="s">
        <v>32</v>
      </c>
      <c r="Q87" s="15" t="s">
        <v>33</v>
      </c>
      <c r="R87" s="15" t="s">
        <v>148</v>
      </c>
      <c r="S87" s="15">
        <v>0</v>
      </c>
      <c r="T87" s="15">
        <v>97</v>
      </c>
      <c r="U87" s="15">
        <v>0</v>
      </c>
      <c r="V87" s="15" t="s">
        <v>35</v>
      </c>
      <c r="W87" s="15" t="s">
        <v>35</v>
      </c>
      <c r="X87" s="15" t="s">
        <v>35</v>
      </c>
      <c r="Y87" s="15" t="s">
        <v>35</v>
      </c>
      <c r="Z87" s="15" t="s">
        <v>35</v>
      </c>
      <c r="AA87" s="15" t="s">
        <v>35</v>
      </c>
    </row>
    <row r="88" s="15" customFormat="1" spans="1:29">
      <c r="A88" s="15" t="s">
        <v>111</v>
      </c>
      <c r="B88" s="15" t="s">
        <v>30</v>
      </c>
      <c r="C88" s="15">
        <v>17404264</v>
      </c>
      <c r="D88" s="14">
        <v>233208956292</v>
      </c>
      <c r="E88" s="17">
        <v>45851.9485532407</v>
      </c>
      <c r="F88" s="15">
        <v>2978.48</v>
      </c>
      <c r="G88" s="15">
        <v>91.97</v>
      </c>
      <c r="H88" s="15">
        <v>2886.52</v>
      </c>
      <c r="I88" s="15">
        <v>162.18</v>
      </c>
      <c r="J88" s="15">
        <v>10.11</v>
      </c>
      <c r="K88" s="15">
        <v>152.07</v>
      </c>
      <c r="L88" s="15">
        <v>479.38</v>
      </c>
      <c r="M88" s="15">
        <v>6232</v>
      </c>
      <c r="N88" s="15">
        <v>239.69</v>
      </c>
      <c r="O88" s="15">
        <v>3116</v>
      </c>
      <c r="P88" s="15" t="s">
        <v>41</v>
      </c>
      <c r="Q88" s="15" t="s">
        <v>33</v>
      </c>
      <c r="R88" s="15" t="s">
        <v>148</v>
      </c>
      <c r="S88" s="15">
        <v>0</v>
      </c>
      <c r="T88" s="15">
        <v>156</v>
      </c>
      <c r="U88" s="15">
        <v>0</v>
      </c>
      <c r="V88" s="15" t="s">
        <v>35</v>
      </c>
      <c r="W88" s="15" t="s">
        <v>35</v>
      </c>
      <c r="X88" s="15" t="s">
        <v>35</v>
      </c>
      <c r="Y88" s="15" t="s">
        <v>35</v>
      </c>
      <c r="Z88" s="15" t="s">
        <v>35</v>
      </c>
      <c r="AA88" s="15" t="s">
        <v>35</v>
      </c>
    </row>
    <row r="89" s="15" customFormat="1" spans="1:29">
      <c r="A89" s="15" t="s">
        <v>111</v>
      </c>
      <c r="B89" s="15" t="s">
        <v>30</v>
      </c>
      <c r="C89" s="15">
        <v>22477425</v>
      </c>
      <c r="D89" s="14">
        <v>233244062840</v>
      </c>
      <c r="E89" s="17">
        <v>46129.4584722222</v>
      </c>
      <c r="F89" s="15">
        <v>431.68</v>
      </c>
      <c r="G89" s="15">
        <v>26.24</v>
      </c>
      <c r="H89" s="15">
        <v>405.44</v>
      </c>
      <c r="I89" s="15">
        <v>183.28</v>
      </c>
      <c r="J89" s="15">
        <v>16.52</v>
      </c>
      <c r="K89" s="15">
        <v>166.76</v>
      </c>
      <c r="L89" s="15">
        <v>331.69</v>
      </c>
      <c r="M89" s="15">
        <v>4312</v>
      </c>
      <c r="N89" s="15">
        <v>331.69</v>
      </c>
      <c r="O89" s="15">
        <v>4312</v>
      </c>
      <c r="P89" s="15" t="s">
        <v>41</v>
      </c>
      <c r="Q89" s="15" t="s">
        <v>33</v>
      </c>
      <c r="R89" s="15" t="s">
        <v>148</v>
      </c>
      <c r="S89" s="15">
        <v>0</v>
      </c>
      <c r="T89" s="15">
        <v>216</v>
      </c>
      <c r="U89" s="15">
        <v>0</v>
      </c>
      <c r="V89" s="15" t="s">
        <v>35</v>
      </c>
      <c r="W89" s="15" t="s">
        <v>35</v>
      </c>
      <c r="X89" s="15" t="s">
        <v>35</v>
      </c>
      <c r="Y89" s="15" t="s">
        <v>35</v>
      </c>
      <c r="Z89" s="15" t="s">
        <v>35</v>
      </c>
      <c r="AA89" s="15" t="s">
        <v>35</v>
      </c>
    </row>
    <row r="90" s="15" customFormat="1" spans="1:29">
      <c r="A90" s="15" t="s">
        <v>111</v>
      </c>
      <c r="B90" s="15" t="s">
        <v>30</v>
      </c>
      <c r="C90" s="15">
        <v>4964765</v>
      </c>
      <c r="D90" s="14">
        <v>233245937208</v>
      </c>
      <c r="E90" s="17">
        <v>44379.6387615741</v>
      </c>
      <c r="F90" s="15">
        <v>48362.35</v>
      </c>
      <c r="G90" s="15">
        <v>8.77</v>
      </c>
      <c r="H90" s="15">
        <v>48353.58</v>
      </c>
      <c r="I90" s="15">
        <v>1752.82</v>
      </c>
      <c r="J90" s="15">
        <v>3.24</v>
      </c>
      <c r="K90" s="15">
        <v>1749.59</v>
      </c>
      <c r="L90" s="15">
        <v>2530.38</v>
      </c>
      <c r="M90" s="15">
        <v>32895</v>
      </c>
      <c r="N90" s="15">
        <v>8</v>
      </c>
      <c r="O90" s="15">
        <v>104</v>
      </c>
      <c r="P90" s="15" t="s">
        <v>32</v>
      </c>
      <c r="Q90" s="15" t="s">
        <v>42</v>
      </c>
      <c r="R90" s="15" t="s">
        <v>148</v>
      </c>
      <c r="S90" s="15">
        <v>0</v>
      </c>
      <c r="T90" s="15">
        <v>5</v>
      </c>
      <c r="U90" s="15">
        <v>1</v>
      </c>
      <c r="V90" s="15">
        <v>1</v>
      </c>
      <c r="W90" s="15" t="s">
        <v>35</v>
      </c>
      <c r="X90" s="15" t="s">
        <v>35</v>
      </c>
      <c r="Y90" s="15" t="s">
        <v>35</v>
      </c>
      <c r="Z90" s="15" t="s">
        <v>232</v>
      </c>
      <c r="AA90" s="15" t="s">
        <v>35</v>
      </c>
    </row>
    <row r="91" s="15" customFormat="1" spans="1:29">
      <c r="A91" s="15" t="s">
        <v>111</v>
      </c>
      <c r="B91" s="15" t="s">
        <v>30</v>
      </c>
      <c r="C91" s="15">
        <v>7103744</v>
      </c>
      <c r="D91" s="14">
        <v>233248112064</v>
      </c>
      <c r="E91" s="17">
        <v>44638.3546875</v>
      </c>
      <c r="F91" s="15">
        <v>3357.61</v>
      </c>
      <c r="G91" s="15">
        <v>10.33</v>
      </c>
      <c r="H91" s="15">
        <v>3347.28</v>
      </c>
      <c r="I91" s="15">
        <v>195.96</v>
      </c>
      <c r="J91" s="15">
        <v>10.33</v>
      </c>
      <c r="K91" s="15">
        <v>185.63</v>
      </c>
      <c r="L91" s="15">
        <v>1036.23</v>
      </c>
      <c r="M91" s="15">
        <v>13471</v>
      </c>
      <c r="N91" s="15">
        <v>34.62</v>
      </c>
      <c r="O91" s="15">
        <v>450</v>
      </c>
      <c r="P91" s="15" t="s">
        <v>32</v>
      </c>
      <c r="Q91" s="15" t="s">
        <v>42</v>
      </c>
      <c r="R91" s="15" t="s">
        <v>148</v>
      </c>
      <c r="S91" s="15">
        <v>0</v>
      </c>
      <c r="T91" s="15">
        <v>22</v>
      </c>
      <c r="U91" s="15">
        <v>0</v>
      </c>
      <c r="V91" s="15" t="s">
        <v>35</v>
      </c>
      <c r="W91" s="15" t="s">
        <v>35</v>
      </c>
      <c r="X91" s="15" t="s">
        <v>35</v>
      </c>
      <c r="Y91" s="15" t="s">
        <v>35</v>
      </c>
      <c r="Z91" s="15" t="s">
        <v>35</v>
      </c>
      <c r="AA91" s="15" t="s">
        <v>35</v>
      </c>
    </row>
    <row r="92" s="15" customFormat="1" spans="1:29">
      <c r="A92" s="15" t="s">
        <v>111</v>
      </c>
      <c r="B92" s="15" t="s">
        <v>30</v>
      </c>
      <c r="C92" s="15">
        <v>20405435</v>
      </c>
      <c r="D92" s="14">
        <v>233530789866</v>
      </c>
      <c r="E92" s="17">
        <v>46020.4250810185</v>
      </c>
      <c r="F92" s="15">
        <v>690.21</v>
      </c>
      <c r="G92" s="15">
        <v>0</v>
      </c>
      <c r="H92" s="15">
        <v>690.21</v>
      </c>
      <c r="I92" s="15">
        <v>38.75</v>
      </c>
      <c r="J92" s="15">
        <v>0</v>
      </c>
      <c r="K92" s="15">
        <v>38.75</v>
      </c>
      <c r="L92" s="15">
        <v>120</v>
      </c>
      <c r="M92" s="15">
        <v>1560</v>
      </c>
      <c r="N92" s="15">
        <v>118.85</v>
      </c>
      <c r="O92" s="15">
        <v>1545</v>
      </c>
      <c r="P92" s="15" t="s">
        <v>32</v>
      </c>
      <c r="Q92" s="15" t="s">
        <v>33</v>
      </c>
      <c r="R92" s="15" t="s">
        <v>148</v>
      </c>
      <c r="S92" s="15">
        <v>0</v>
      </c>
      <c r="T92" s="15">
        <v>77</v>
      </c>
      <c r="U92" s="15">
        <v>0</v>
      </c>
      <c r="V92" s="15" t="s">
        <v>35</v>
      </c>
      <c r="W92" s="15" t="s">
        <v>35</v>
      </c>
      <c r="X92" s="15" t="s">
        <v>35</v>
      </c>
      <c r="Y92" s="15" t="s">
        <v>35</v>
      </c>
      <c r="Z92" s="15" t="s">
        <v>35</v>
      </c>
      <c r="AA92" s="15" t="s">
        <v>35</v>
      </c>
    </row>
    <row r="93" s="15" customFormat="1" spans="1:29">
      <c r="A93" s="15" t="s">
        <v>111</v>
      </c>
      <c r="B93" s="15" t="s">
        <v>30</v>
      </c>
      <c r="C93" s="15">
        <v>22072303</v>
      </c>
      <c r="D93" s="14">
        <v>233532072837</v>
      </c>
      <c r="E93" s="17">
        <v>46106.0501388889</v>
      </c>
      <c r="F93" s="15">
        <v>994.15</v>
      </c>
      <c r="G93" s="15">
        <v>1.31</v>
      </c>
      <c r="H93" s="15">
        <v>992.84</v>
      </c>
      <c r="I93" s="15">
        <v>71.44</v>
      </c>
      <c r="J93" s="15">
        <v>0.79</v>
      </c>
      <c r="K93" s="15">
        <v>70.65</v>
      </c>
      <c r="L93" s="15">
        <v>111.23</v>
      </c>
      <c r="M93" s="15">
        <v>1446</v>
      </c>
      <c r="N93" s="15">
        <v>111.23</v>
      </c>
      <c r="O93" s="15">
        <v>1446</v>
      </c>
      <c r="P93" s="15" t="s">
        <v>32</v>
      </c>
      <c r="Q93" s="15" t="s">
        <v>33</v>
      </c>
      <c r="R93" s="15" t="s">
        <v>148</v>
      </c>
      <c r="S93" s="15">
        <v>0</v>
      </c>
      <c r="T93" s="15">
        <v>72</v>
      </c>
      <c r="U93" s="15">
        <v>0</v>
      </c>
      <c r="V93" s="15" t="s">
        <v>35</v>
      </c>
      <c r="W93" s="15" t="s">
        <v>35</v>
      </c>
      <c r="X93" s="15" t="s">
        <v>35</v>
      </c>
      <c r="Y93" s="15" t="s">
        <v>35</v>
      </c>
      <c r="Z93" s="15" t="s">
        <v>35</v>
      </c>
      <c r="AA93" s="15" t="s">
        <v>35</v>
      </c>
    </row>
    <row r="94" s="15" customFormat="1" spans="1:29">
      <c r="A94" s="15" t="s">
        <v>111</v>
      </c>
      <c r="B94" s="15" t="s">
        <v>30</v>
      </c>
      <c r="C94" s="15">
        <v>16123334</v>
      </c>
      <c r="D94" s="14">
        <v>233532698754</v>
      </c>
      <c r="E94" s="17">
        <v>45752.6896180556</v>
      </c>
      <c r="F94" s="15">
        <v>3687.05</v>
      </c>
      <c r="G94" s="15">
        <v>3.08</v>
      </c>
      <c r="H94" s="15">
        <v>3683.97</v>
      </c>
      <c r="I94" s="15">
        <v>130.86</v>
      </c>
      <c r="J94" s="15">
        <v>1.69</v>
      </c>
      <c r="K94" s="15">
        <v>129.17</v>
      </c>
      <c r="L94" s="15">
        <v>448.46</v>
      </c>
      <c r="M94" s="15">
        <v>5830</v>
      </c>
      <c r="N94" s="15">
        <v>187.62</v>
      </c>
      <c r="O94" s="15">
        <v>2439</v>
      </c>
      <c r="P94" s="15" t="s">
        <v>32</v>
      </c>
      <c r="Q94" s="15" t="s">
        <v>33</v>
      </c>
      <c r="R94" s="15" t="s">
        <v>148</v>
      </c>
      <c r="S94" s="15">
        <v>0</v>
      </c>
      <c r="T94" s="15">
        <v>122</v>
      </c>
      <c r="U94" s="15">
        <v>0</v>
      </c>
      <c r="V94" s="15" t="s">
        <v>35</v>
      </c>
      <c r="W94" s="15" t="s">
        <v>35</v>
      </c>
      <c r="X94" s="15" t="s">
        <v>35</v>
      </c>
      <c r="Y94" s="15" t="s">
        <v>35</v>
      </c>
      <c r="Z94" s="15" t="s">
        <v>35</v>
      </c>
      <c r="AA94" s="15" t="s">
        <v>35</v>
      </c>
    </row>
    <row r="95" s="15" customFormat="1" spans="1:29">
      <c r="A95" s="15" t="s">
        <v>111</v>
      </c>
      <c r="B95" s="15" t="s">
        <v>30</v>
      </c>
      <c r="C95" s="15">
        <v>12794153</v>
      </c>
      <c r="D95" s="14">
        <v>233533450790</v>
      </c>
      <c r="E95" s="17">
        <v>45405.6143402778</v>
      </c>
      <c r="F95" s="15">
        <v>910.7</v>
      </c>
      <c r="G95" s="15">
        <v>14.69</v>
      </c>
      <c r="H95" s="15">
        <v>896.01</v>
      </c>
      <c r="I95" s="15">
        <v>54.49</v>
      </c>
      <c r="J95" s="15">
        <v>1.6</v>
      </c>
      <c r="K95" s="15">
        <v>52.88</v>
      </c>
      <c r="L95" s="15">
        <v>294.77</v>
      </c>
      <c r="M95" s="15">
        <v>3832</v>
      </c>
      <c r="N95" s="15">
        <v>0</v>
      </c>
      <c r="O95" s="15">
        <v>0</v>
      </c>
      <c r="P95" s="15" t="s">
        <v>41</v>
      </c>
      <c r="Q95" s="15" t="s">
        <v>33</v>
      </c>
      <c r="R95" s="15" t="s">
        <v>148</v>
      </c>
      <c r="S95" s="15">
        <v>0</v>
      </c>
      <c r="T95" s="15">
        <v>0</v>
      </c>
      <c r="U95" s="15">
        <v>0</v>
      </c>
      <c r="V95" s="15" t="s">
        <v>35</v>
      </c>
      <c r="W95" s="15" t="s">
        <v>35</v>
      </c>
      <c r="X95" s="15" t="s">
        <v>35</v>
      </c>
      <c r="Y95" s="15" t="s">
        <v>35</v>
      </c>
      <c r="Z95" s="15" t="s">
        <v>35</v>
      </c>
      <c r="AA95" s="15" t="s">
        <v>35</v>
      </c>
    </row>
    <row r="96" s="15" customFormat="1" spans="1:29">
      <c r="A96" s="15" t="s">
        <v>111</v>
      </c>
      <c r="B96" s="15" t="s">
        <v>30</v>
      </c>
      <c r="C96" s="15">
        <v>20395155</v>
      </c>
      <c r="D96" s="14">
        <v>233535830324</v>
      </c>
      <c r="E96" s="17">
        <v>46019.8199884259</v>
      </c>
      <c r="F96" s="15">
        <v>325.2</v>
      </c>
      <c r="G96" s="15">
        <v>0</v>
      </c>
      <c r="H96" s="15">
        <v>325.2</v>
      </c>
      <c r="I96" s="15">
        <v>23.81</v>
      </c>
      <c r="J96" s="15">
        <v>0</v>
      </c>
      <c r="K96" s="15">
        <v>23.81</v>
      </c>
      <c r="L96" s="15">
        <v>53.85</v>
      </c>
      <c r="M96" s="15">
        <v>700</v>
      </c>
      <c r="N96" s="15">
        <v>4.46</v>
      </c>
      <c r="O96" s="15">
        <v>58</v>
      </c>
      <c r="P96" s="15" t="s">
        <v>32</v>
      </c>
      <c r="Q96" s="15" t="s">
        <v>33</v>
      </c>
      <c r="R96" s="15" t="s">
        <v>148</v>
      </c>
      <c r="S96" s="15">
        <v>0</v>
      </c>
      <c r="T96" s="15">
        <v>3</v>
      </c>
      <c r="U96" s="15">
        <v>0</v>
      </c>
      <c r="V96" s="15" t="s">
        <v>35</v>
      </c>
      <c r="W96" s="15" t="s">
        <v>35</v>
      </c>
      <c r="X96" s="15" t="s">
        <v>35</v>
      </c>
      <c r="Y96" s="15" t="s">
        <v>35</v>
      </c>
      <c r="Z96" s="15" t="s">
        <v>35</v>
      </c>
      <c r="AA96" s="15" t="s">
        <v>35</v>
      </c>
    </row>
    <row r="97" s="15" customFormat="1" spans="1:27">
      <c r="A97" s="15" t="s">
        <v>111</v>
      </c>
      <c r="B97" s="15" t="s">
        <v>30</v>
      </c>
      <c r="C97" s="15">
        <v>19395433</v>
      </c>
      <c r="D97" s="14">
        <v>233537542538</v>
      </c>
      <c r="E97" s="17">
        <v>45972.7756365741</v>
      </c>
      <c r="F97" s="15">
        <v>7483.5</v>
      </c>
      <c r="G97" s="15">
        <v>1.46</v>
      </c>
      <c r="H97" s="15">
        <v>7482.04</v>
      </c>
      <c r="I97" s="15">
        <v>90.63</v>
      </c>
      <c r="J97" s="15">
        <v>0.84</v>
      </c>
      <c r="K97" s="15">
        <v>89.79</v>
      </c>
      <c r="L97" s="15">
        <v>1305.46</v>
      </c>
      <c r="M97" s="15">
        <v>16971</v>
      </c>
      <c r="N97" s="15">
        <v>430.92</v>
      </c>
      <c r="O97" s="15">
        <v>5602</v>
      </c>
      <c r="P97" s="15" t="s">
        <v>32</v>
      </c>
      <c r="Q97" s="15" t="s">
        <v>42</v>
      </c>
      <c r="R97" s="15" t="s">
        <v>148</v>
      </c>
      <c r="S97" s="15">
        <v>0</v>
      </c>
      <c r="T97" s="15">
        <v>280</v>
      </c>
      <c r="U97" s="15">
        <v>0</v>
      </c>
      <c r="V97" s="15" t="s">
        <v>35</v>
      </c>
      <c r="W97" s="15" t="s">
        <v>35</v>
      </c>
      <c r="X97" s="15" t="s">
        <v>35</v>
      </c>
      <c r="Y97" s="15" t="s">
        <v>35</v>
      </c>
      <c r="Z97" s="15" t="s">
        <v>35</v>
      </c>
      <c r="AA97" s="15" t="s">
        <v>35</v>
      </c>
    </row>
    <row r="98" s="15" customFormat="1" spans="1:27">
      <c r="A98" s="15" t="s">
        <v>111</v>
      </c>
      <c r="B98" s="15" t="s">
        <v>30</v>
      </c>
      <c r="C98" s="15">
        <v>12533683</v>
      </c>
      <c r="D98" s="14">
        <v>233537816991</v>
      </c>
      <c r="E98" s="17">
        <v>45373.0137847222</v>
      </c>
      <c r="F98" s="15">
        <v>860.18</v>
      </c>
      <c r="G98" s="15">
        <v>0.23</v>
      </c>
      <c r="H98" s="15">
        <v>859.95</v>
      </c>
      <c r="I98" s="15">
        <v>10.65</v>
      </c>
      <c r="J98" s="15">
        <v>0.23</v>
      </c>
      <c r="K98" s="15">
        <v>10.42</v>
      </c>
      <c r="L98" s="15">
        <v>130</v>
      </c>
      <c r="M98" s="15">
        <v>1690</v>
      </c>
      <c r="N98" s="15">
        <v>0</v>
      </c>
      <c r="O98" s="15">
        <v>0</v>
      </c>
      <c r="P98" s="15" t="s">
        <v>32</v>
      </c>
      <c r="Q98" s="15" t="s">
        <v>33</v>
      </c>
      <c r="R98" s="15" t="s">
        <v>148</v>
      </c>
      <c r="S98" s="15">
        <v>0</v>
      </c>
      <c r="T98" s="15">
        <v>0</v>
      </c>
      <c r="U98" s="15">
        <v>0</v>
      </c>
      <c r="V98" s="15" t="s">
        <v>35</v>
      </c>
      <c r="W98" s="15" t="s">
        <v>35</v>
      </c>
      <c r="X98" s="15" t="s">
        <v>35</v>
      </c>
      <c r="Y98" s="15" t="s">
        <v>35</v>
      </c>
      <c r="Z98" s="15" t="s">
        <v>35</v>
      </c>
      <c r="AA98" s="15" t="s">
        <v>35</v>
      </c>
    </row>
    <row r="99" s="15" customFormat="1" spans="1:27">
      <c r="A99" s="15" t="s">
        <v>111</v>
      </c>
      <c r="B99" s="15" t="s">
        <v>30</v>
      </c>
      <c r="C99" s="15">
        <v>17825445</v>
      </c>
      <c r="D99" s="14">
        <v>233537855354</v>
      </c>
      <c r="E99" s="17">
        <v>45877.2075462963</v>
      </c>
      <c r="F99" s="15">
        <v>132.75</v>
      </c>
      <c r="G99" s="15">
        <v>60.31</v>
      </c>
      <c r="H99" s="15">
        <v>72.45</v>
      </c>
      <c r="I99" s="15">
        <v>8.86</v>
      </c>
      <c r="J99" s="15">
        <v>-2.6</v>
      </c>
      <c r="K99" s="15">
        <v>11.46</v>
      </c>
      <c r="L99" s="15">
        <v>70.85</v>
      </c>
      <c r="M99" s="15">
        <v>921</v>
      </c>
      <c r="N99" s="15">
        <v>14.62</v>
      </c>
      <c r="O99" s="15">
        <v>190</v>
      </c>
      <c r="P99" s="15" t="s">
        <v>61</v>
      </c>
      <c r="Q99" s="15" t="s">
        <v>33</v>
      </c>
      <c r="R99" s="15" t="s">
        <v>148</v>
      </c>
      <c r="S99" s="15">
        <v>120</v>
      </c>
      <c r="T99" s="15">
        <v>5</v>
      </c>
      <c r="U99" s="15">
        <v>0</v>
      </c>
      <c r="V99" s="15" t="s">
        <v>35</v>
      </c>
      <c r="W99" s="15" t="s">
        <v>35</v>
      </c>
      <c r="X99" s="15" t="s">
        <v>35</v>
      </c>
      <c r="Y99" s="15" t="s">
        <v>35</v>
      </c>
      <c r="Z99" s="15" t="s">
        <v>35</v>
      </c>
      <c r="AA99" s="15" t="s">
        <v>35</v>
      </c>
    </row>
    <row r="100" s="15" customFormat="1" spans="1:27">
      <c r="A100" s="15" t="s">
        <v>111</v>
      </c>
      <c r="B100" s="15" t="s">
        <v>30</v>
      </c>
      <c r="C100" s="15">
        <v>16729775</v>
      </c>
      <c r="D100" s="14">
        <v>233538672775</v>
      </c>
      <c r="E100" s="17">
        <v>45796.9845601852</v>
      </c>
      <c r="F100" s="15">
        <v>332.76</v>
      </c>
      <c r="G100" s="15">
        <v>0</v>
      </c>
      <c r="H100" s="15">
        <v>332.76</v>
      </c>
      <c r="I100" s="15">
        <v>8.74</v>
      </c>
      <c r="J100" s="15">
        <v>0</v>
      </c>
      <c r="K100" s="15">
        <v>8.74</v>
      </c>
      <c r="L100" s="15">
        <v>110.38</v>
      </c>
      <c r="M100" s="15">
        <v>1435</v>
      </c>
      <c r="N100" s="15">
        <v>0</v>
      </c>
      <c r="O100" s="15">
        <v>0</v>
      </c>
      <c r="P100" s="15" t="s">
        <v>32</v>
      </c>
      <c r="Q100" s="15" t="s">
        <v>33</v>
      </c>
      <c r="R100" s="15" t="s">
        <v>148</v>
      </c>
      <c r="S100" s="15">
        <v>0</v>
      </c>
      <c r="T100" s="15">
        <v>0</v>
      </c>
      <c r="U100" s="15">
        <v>0</v>
      </c>
      <c r="V100" s="15" t="s">
        <v>35</v>
      </c>
      <c r="W100" s="15" t="s">
        <v>35</v>
      </c>
      <c r="X100" s="15" t="s">
        <v>35</v>
      </c>
      <c r="Y100" s="15" t="s">
        <v>35</v>
      </c>
      <c r="Z100" s="15" t="s">
        <v>35</v>
      </c>
      <c r="AA100" s="15" t="s">
        <v>35</v>
      </c>
    </row>
    <row r="101" s="15" customFormat="1" spans="1:27">
      <c r="A101" s="15" t="s">
        <v>111</v>
      </c>
      <c r="B101" s="15" t="s">
        <v>30</v>
      </c>
      <c r="C101" s="15">
        <v>22479594</v>
      </c>
      <c r="D101" s="14">
        <v>233543327603</v>
      </c>
      <c r="E101" s="17">
        <v>46129.5852662037</v>
      </c>
      <c r="F101" s="15">
        <v>1060</v>
      </c>
      <c r="G101" s="15">
        <v>0.08</v>
      </c>
      <c r="H101" s="15">
        <v>1059.92</v>
      </c>
      <c r="I101" s="15">
        <v>-122.96</v>
      </c>
      <c r="J101" s="15">
        <v>-0.06</v>
      </c>
      <c r="K101" s="15">
        <v>-122.9</v>
      </c>
      <c r="L101" s="15">
        <v>120.77</v>
      </c>
      <c r="M101" s="15">
        <v>1570</v>
      </c>
      <c r="N101" s="15">
        <v>120.77</v>
      </c>
      <c r="O101" s="15">
        <v>1570</v>
      </c>
      <c r="P101" s="15" t="s">
        <v>41</v>
      </c>
      <c r="Q101" s="15" t="s">
        <v>33</v>
      </c>
      <c r="R101" s="15" t="s">
        <v>148</v>
      </c>
      <c r="S101" s="15">
        <v>0</v>
      </c>
      <c r="T101" s="15">
        <v>78</v>
      </c>
      <c r="U101" s="15">
        <v>0</v>
      </c>
      <c r="V101" s="15" t="s">
        <v>35</v>
      </c>
      <c r="W101" s="15" t="s">
        <v>35</v>
      </c>
      <c r="X101" s="15" t="s">
        <v>35</v>
      </c>
      <c r="Y101" s="15" t="s">
        <v>35</v>
      </c>
      <c r="Z101" s="15" t="s">
        <v>35</v>
      </c>
      <c r="AA101" s="15" t="s">
        <v>35</v>
      </c>
    </row>
    <row r="102" s="15" customFormat="1" spans="1:27">
      <c r="A102" s="15" t="s">
        <v>111</v>
      </c>
      <c r="B102" s="15" t="s">
        <v>30</v>
      </c>
      <c r="C102" s="15">
        <v>18549795</v>
      </c>
      <c r="D102" s="14">
        <v>233543354277</v>
      </c>
      <c r="E102" s="17">
        <v>45919.4243865741</v>
      </c>
      <c r="F102" s="15">
        <v>1261.79</v>
      </c>
      <c r="G102" s="15">
        <v>0.54</v>
      </c>
      <c r="H102" s="15">
        <v>1261.25</v>
      </c>
      <c r="I102" s="15">
        <v>61.63</v>
      </c>
      <c r="J102" s="15">
        <v>0.33</v>
      </c>
      <c r="K102" s="15">
        <v>61.3</v>
      </c>
      <c r="L102" s="15">
        <v>197.38</v>
      </c>
      <c r="M102" s="15">
        <v>2566</v>
      </c>
      <c r="N102" s="15">
        <v>147.31</v>
      </c>
      <c r="O102" s="15">
        <v>1915</v>
      </c>
      <c r="P102" s="15" t="s">
        <v>41</v>
      </c>
      <c r="Q102" s="15" t="s">
        <v>33</v>
      </c>
      <c r="R102" s="15" t="s">
        <v>148</v>
      </c>
      <c r="S102" s="15">
        <v>0</v>
      </c>
      <c r="T102" s="15">
        <v>96</v>
      </c>
      <c r="U102" s="15">
        <v>0</v>
      </c>
      <c r="V102" s="15" t="s">
        <v>35</v>
      </c>
      <c r="W102" s="15" t="s">
        <v>35</v>
      </c>
      <c r="X102" s="15" t="s">
        <v>35</v>
      </c>
      <c r="Y102" s="15" t="s">
        <v>35</v>
      </c>
      <c r="Z102" s="15" t="s">
        <v>35</v>
      </c>
      <c r="AA102" s="15" t="s">
        <v>35</v>
      </c>
    </row>
    <row r="103" s="15" customFormat="1" spans="1:27">
      <c r="A103" s="15" t="s">
        <v>111</v>
      </c>
      <c r="B103" s="15" t="s">
        <v>30</v>
      </c>
      <c r="C103" s="15">
        <v>20337084</v>
      </c>
      <c r="D103" s="14">
        <v>233543789679</v>
      </c>
      <c r="E103" s="17">
        <v>46016.9607986111</v>
      </c>
      <c r="F103" s="15">
        <v>844</v>
      </c>
      <c r="G103" s="15">
        <v>133.81</v>
      </c>
      <c r="H103" s="15">
        <v>710.19</v>
      </c>
      <c r="I103" s="15">
        <v>134.22</v>
      </c>
      <c r="J103" s="15">
        <v>39.65</v>
      </c>
      <c r="K103" s="15">
        <v>94.57</v>
      </c>
      <c r="L103" s="15">
        <v>249.85</v>
      </c>
      <c r="M103" s="15">
        <v>3248</v>
      </c>
      <c r="N103" s="15">
        <v>0</v>
      </c>
      <c r="O103" s="15">
        <v>0</v>
      </c>
      <c r="P103" s="15" t="s">
        <v>61</v>
      </c>
      <c r="Q103" s="15" t="s">
        <v>33</v>
      </c>
      <c r="R103" s="15" t="s">
        <v>148</v>
      </c>
      <c r="S103" s="15">
        <v>120</v>
      </c>
      <c r="T103" s="15">
        <v>0</v>
      </c>
      <c r="U103" s="15">
        <v>0</v>
      </c>
      <c r="V103" s="15" t="s">
        <v>35</v>
      </c>
      <c r="W103" s="15" t="s">
        <v>35</v>
      </c>
      <c r="X103" s="15" t="s">
        <v>35</v>
      </c>
      <c r="Y103" s="15" t="s">
        <v>35</v>
      </c>
      <c r="Z103" s="15" t="s">
        <v>35</v>
      </c>
      <c r="AA103" s="15" t="s">
        <v>35</v>
      </c>
    </row>
    <row r="104" s="15" customFormat="1" spans="1:27">
      <c r="A104" s="15" t="s">
        <v>111</v>
      </c>
      <c r="B104" s="15" t="s">
        <v>30</v>
      </c>
      <c r="C104" s="15">
        <v>22585634</v>
      </c>
      <c r="D104" s="14">
        <v>233544926043</v>
      </c>
      <c r="E104" s="17">
        <v>46136.4157986111</v>
      </c>
      <c r="F104" s="15">
        <v>336.28</v>
      </c>
      <c r="G104" s="15">
        <v>0</v>
      </c>
      <c r="H104" s="15">
        <v>336.28</v>
      </c>
      <c r="I104" s="15">
        <v>17.57</v>
      </c>
      <c r="J104" s="15">
        <v>-0.16</v>
      </c>
      <c r="K104" s="15">
        <v>17.73</v>
      </c>
      <c r="L104" s="15">
        <v>72</v>
      </c>
      <c r="M104" s="15">
        <v>936</v>
      </c>
      <c r="N104" s="15">
        <v>72</v>
      </c>
      <c r="O104" s="15">
        <v>936</v>
      </c>
      <c r="P104" s="15" t="s">
        <v>32</v>
      </c>
      <c r="Q104" s="15" t="s">
        <v>33</v>
      </c>
      <c r="R104" s="15" t="s">
        <v>148</v>
      </c>
      <c r="S104" s="15">
        <v>0</v>
      </c>
      <c r="T104" s="15">
        <v>47</v>
      </c>
      <c r="U104" s="15">
        <v>0</v>
      </c>
      <c r="V104" s="15" t="s">
        <v>35</v>
      </c>
      <c r="W104" s="15" t="s">
        <v>35</v>
      </c>
      <c r="X104" s="15" t="s">
        <v>35</v>
      </c>
      <c r="Y104" s="15" t="s">
        <v>35</v>
      </c>
      <c r="Z104" s="15" t="s">
        <v>35</v>
      </c>
      <c r="AA104" s="15" t="s">
        <v>35</v>
      </c>
    </row>
    <row r="105" s="15" customFormat="1" spans="1:27">
      <c r="A105" s="15" t="s">
        <v>111</v>
      </c>
      <c r="B105" s="15" t="s">
        <v>30</v>
      </c>
      <c r="C105" s="15">
        <v>21525025</v>
      </c>
      <c r="D105" s="14">
        <v>233548120195</v>
      </c>
      <c r="E105" s="17">
        <v>46077.5260763889</v>
      </c>
      <c r="F105" s="15">
        <v>1311.22</v>
      </c>
      <c r="G105" s="15">
        <v>1.92</v>
      </c>
      <c r="H105" s="15">
        <v>1309.3</v>
      </c>
      <c r="I105" s="15">
        <v>53.22</v>
      </c>
      <c r="J105" s="15">
        <v>1.92</v>
      </c>
      <c r="K105" s="15">
        <v>51.3</v>
      </c>
      <c r="L105" s="15">
        <v>260</v>
      </c>
      <c r="M105" s="15">
        <v>3380</v>
      </c>
      <c r="N105" s="15">
        <v>211.23</v>
      </c>
      <c r="O105" s="15">
        <v>2746</v>
      </c>
      <c r="P105" s="15" t="s">
        <v>32</v>
      </c>
      <c r="Q105" s="15" t="s">
        <v>33</v>
      </c>
      <c r="R105" s="15" t="s">
        <v>148</v>
      </c>
      <c r="S105" s="15">
        <v>0</v>
      </c>
      <c r="T105" s="15">
        <v>137</v>
      </c>
      <c r="U105" s="15">
        <v>0</v>
      </c>
      <c r="V105" s="15" t="s">
        <v>35</v>
      </c>
      <c r="W105" s="15" t="s">
        <v>35</v>
      </c>
      <c r="X105" s="15" t="s">
        <v>35</v>
      </c>
      <c r="Y105" s="15" t="s">
        <v>35</v>
      </c>
      <c r="Z105" s="15" t="s">
        <v>35</v>
      </c>
      <c r="AA105" s="15" t="s">
        <v>35</v>
      </c>
    </row>
    <row r="106" s="15" customFormat="1" spans="1:27">
      <c r="A106" s="15" t="s">
        <v>111</v>
      </c>
      <c r="B106" s="15" t="s">
        <v>30</v>
      </c>
      <c r="C106" s="15">
        <v>13448384</v>
      </c>
      <c r="D106" s="14">
        <v>233548396231</v>
      </c>
      <c r="E106" s="17">
        <v>45517.9172685185</v>
      </c>
      <c r="F106" s="15">
        <v>50241.75</v>
      </c>
      <c r="G106" s="15">
        <v>12.77</v>
      </c>
      <c r="H106" s="15">
        <v>50228.98</v>
      </c>
      <c r="I106" s="15">
        <v>1538.85</v>
      </c>
      <c r="J106" s="15">
        <v>1.08</v>
      </c>
      <c r="K106" s="15">
        <v>1537.77</v>
      </c>
      <c r="L106" s="15">
        <v>10148.31</v>
      </c>
      <c r="M106" s="15">
        <v>131928</v>
      </c>
      <c r="N106" s="15">
        <v>5642.08</v>
      </c>
      <c r="O106" s="15">
        <v>73347</v>
      </c>
      <c r="P106" s="15" t="s">
        <v>32</v>
      </c>
      <c r="Q106" s="15" t="s">
        <v>42</v>
      </c>
      <c r="R106" s="15" t="s">
        <v>148</v>
      </c>
      <c r="S106" s="15">
        <v>0</v>
      </c>
      <c r="T106" s="15">
        <v>3667</v>
      </c>
      <c r="U106" s="15">
        <v>1</v>
      </c>
      <c r="V106" s="15">
        <v>1</v>
      </c>
      <c r="W106" s="15" t="s">
        <v>35</v>
      </c>
      <c r="X106" s="15" t="s">
        <v>35</v>
      </c>
      <c r="Y106" s="15" t="s">
        <v>35</v>
      </c>
      <c r="Z106" s="15" t="s">
        <v>35</v>
      </c>
      <c r="AA106" s="15" t="s">
        <v>35</v>
      </c>
    </row>
    <row r="107" s="15" customFormat="1" spans="1:27">
      <c r="A107" s="15" t="s">
        <v>111</v>
      </c>
      <c r="B107" s="15" t="s">
        <v>30</v>
      </c>
      <c r="C107" s="15">
        <v>18480503</v>
      </c>
      <c r="D107" s="14">
        <v>233549236284</v>
      </c>
      <c r="E107" s="17">
        <v>45914.7606018518</v>
      </c>
      <c r="F107" s="15">
        <v>1238.09</v>
      </c>
      <c r="G107" s="15">
        <v>8.55</v>
      </c>
      <c r="H107" s="15">
        <v>1229.54</v>
      </c>
      <c r="I107" s="15">
        <v>207.05</v>
      </c>
      <c r="J107" s="15">
        <v>5.41</v>
      </c>
      <c r="K107" s="15">
        <v>201.63</v>
      </c>
      <c r="L107" s="15">
        <v>415.38</v>
      </c>
      <c r="M107" s="15">
        <v>5400</v>
      </c>
      <c r="N107" s="15">
        <v>189.54</v>
      </c>
      <c r="O107" s="15">
        <v>2464</v>
      </c>
      <c r="P107" s="15" t="s">
        <v>41</v>
      </c>
      <c r="Q107" s="15" t="s">
        <v>33</v>
      </c>
      <c r="R107" s="15" t="s">
        <v>148</v>
      </c>
      <c r="S107" s="15">
        <v>0</v>
      </c>
      <c r="T107" s="15">
        <v>123</v>
      </c>
      <c r="U107" s="15">
        <v>0</v>
      </c>
      <c r="V107" s="15" t="s">
        <v>35</v>
      </c>
      <c r="W107" s="15" t="s">
        <v>35</v>
      </c>
      <c r="X107" s="15" t="s">
        <v>35</v>
      </c>
      <c r="Y107" s="15" t="s">
        <v>35</v>
      </c>
      <c r="Z107" s="15" t="s">
        <v>35</v>
      </c>
      <c r="AA107" s="15" t="s">
        <v>35</v>
      </c>
    </row>
    <row r="108" s="15" customFormat="1" spans="1:27">
      <c r="A108" s="15" t="s">
        <v>111</v>
      </c>
      <c r="B108" s="15" t="s">
        <v>30</v>
      </c>
      <c r="C108" s="15">
        <v>11180374</v>
      </c>
      <c r="D108" s="14">
        <v>233549838026</v>
      </c>
      <c r="E108" s="17">
        <v>45233.3141087963</v>
      </c>
      <c r="F108" s="15">
        <v>1107.23</v>
      </c>
      <c r="G108" s="15">
        <v>0</v>
      </c>
      <c r="H108" s="15">
        <v>1107.23</v>
      </c>
      <c r="I108" s="15">
        <v>244.85</v>
      </c>
      <c r="J108" s="15">
        <v>0</v>
      </c>
      <c r="K108" s="15">
        <v>244.85</v>
      </c>
      <c r="L108" s="15">
        <v>270.77</v>
      </c>
      <c r="M108" s="15">
        <v>3520</v>
      </c>
      <c r="N108" s="15">
        <v>0</v>
      </c>
      <c r="O108" s="15">
        <v>0</v>
      </c>
      <c r="P108" s="15" t="s">
        <v>41</v>
      </c>
      <c r="Q108" s="15" t="s">
        <v>33</v>
      </c>
      <c r="R108" s="15" t="s">
        <v>148</v>
      </c>
      <c r="S108" s="15">
        <v>0</v>
      </c>
      <c r="T108" s="15">
        <v>0</v>
      </c>
      <c r="U108" s="15">
        <v>0</v>
      </c>
      <c r="V108" s="15" t="s">
        <v>35</v>
      </c>
      <c r="W108" s="15" t="s">
        <v>35</v>
      </c>
      <c r="X108" s="15" t="s">
        <v>35</v>
      </c>
      <c r="Y108" s="15" t="s">
        <v>35</v>
      </c>
      <c r="Z108" s="15" t="s">
        <v>35</v>
      </c>
      <c r="AA108" s="15" t="s">
        <v>35</v>
      </c>
    </row>
    <row r="109" s="15" customFormat="1" spans="1:27">
      <c r="A109" s="15" t="s">
        <v>111</v>
      </c>
      <c r="B109" s="15" t="s">
        <v>30</v>
      </c>
      <c r="C109" s="15">
        <v>22932444</v>
      </c>
      <c r="D109" s="14">
        <v>233552201343</v>
      </c>
      <c r="E109" s="17">
        <v>46161.4631481481</v>
      </c>
      <c r="F109" s="15">
        <v>1249.27</v>
      </c>
      <c r="G109" s="15">
        <v>0</v>
      </c>
      <c r="H109" s="15">
        <v>1249.27</v>
      </c>
      <c r="I109" s="15">
        <v>3.07</v>
      </c>
      <c r="J109" s="15">
        <v>0</v>
      </c>
      <c r="K109" s="15">
        <v>3.07</v>
      </c>
      <c r="L109" s="15">
        <v>185.54</v>
      </c>
      <c r="M109" s="15">
        <v>2412</v>
      </c>
      <c r="N109" s="15">
        <v>185.54</v>
      </c>
      <c r="O109" s="15">
        <v>2412</v>
      </c>
      <c r="P109" s="15" t="s">
        <v>41</v>
      </c>
      <c r="Q109" s="15" t="s">
        <v>33</v>
      </c>
      <c r="R109" s="15" t="s">
        <v>148</v>
      </c>
      <c r="S109" s="15">
        <v>0</v>
      </c>
      <c r="T109" s="15">
        <v>121</v>
      </c>
      <c r="U109" s="15">
        <v>0</v>
      </c>
      <c r="V109" s="15" t="s">
        <v>35</v>
      </c>
      <c r="W109" s="15" t="s">
        <v>35</v>
      </c>
      <c r="X109" s="15" t="s">
        <v>35</v>
      </c>
      <c r="Y109" s="15" t="s">
        <v>35</v>
      </c>
      <c r="Z109" s="15" t="s">
        <v>35</v>
      </c>
      <c r="AA109" s="15" t="s">
        <v>35</v>
      </c>
    </row>
    <row r="110" s="15" customFormat="1" spans="1:27">
      <c r="A110" s="15" t="s">
        <v>111</v>
      </c>
      <c r="B110" s="15" t="s">
        <v>30</v>
      </c>
      <c r="C110" s="15">
        <v>20655924</v>
      </c>
      <c r="D110" s="14">
        <v>233554061539</v>
      </c>
      <c r="E110" s="17">
        <v>46031.7444791667</v>
      </c>
      <c r="F110" s="15">
        <v>357.56</v>
      </c>
      <c r="G110" s="15">
        <v>1.92</v>
      </c>
      <c r="H110" s="15">
        <v>355.63</v>
      </c>
      <c r="I110" s="15">
        <v>0.59</v>
      </c>
      <c r="J110" s="15">
        <v>1.92</v>
      </c>
      <c r="K110" s="15">
        <v>-1.33</v>
      </c>
      <c r="L110" s="15">
        <v>134.85</v>
      </c>
      <c r="M110" s="15">
        <v>1753</v>
      </c>
      <c r="N110" s="15">
        <v>130.46</v>
      </c>
      <c r="O110" s="15">
        <v>1696</v>
      </c>
      <c r="P110" s="15" t="s">
        <v>41</v>
      </c>
      <c r="Q110" s="15" t="s">
        <v>33</v>
      </c>
      <c r="R110" s="15" t="s">
        <v>148</v>
      </c>
      <c r="S110" s="15">
        <v>0</v>
      </c>
      <c r="T110" s="15">
        <v>85</v>
      </c>
      <c r="U110" s="15">
        <v>0</v>
      </c>
      <c r="V110" s="15" t="s">
        <v>35</v>
      </c>
      <c r="W110" s="15" t="s">
        <v>35</v>
      </c>
      <c r="X110" s="15" t="s">
        <v>35</v>
      </c>
      <c r="Y110" s="15" t="s">
        <v>35</v>
      </c>
      <c r="Z110" s="15" t="s">
        <v>35</v>
      </c>
      <c r="AA110" s="15" t="s">
        <v>35</v>
      </c>
    </row>
    <row r="111" s="15" customFormat="1" spans="1:27">
      <c r="A111" s="15" t="s">
        <v>111</v>
      </c>
      <c r="B111" s="15" t="s">
        <v>30</v>
      </c>
      <c r="C111" s="15">
        <v>22938233</v>
      </c>
      <c r="D111" s="14">
        <v>233554139986</v>
      </c>
      <c r="E111" s="17">
        <v>46161.9241898148</v>
      </c>
      <c r="F111" s="15">
        <v>1450.69</v>
      </c>
      <c r="G111" s="15">
        <v>0.46</v>
      </c>
      <c r="H111" s="15">
        <v>1450.23</v>
      </c>
      <c r="I111" s="15">
        <v>92.3</v>
      </c>
      <c r="J111" s="15">
        <v>0.46</v>
      </c>
      <c r="K111" s="15">
        <v>91.84</v>
      </c>
      <c r="L111" s="15">
        <v>276.92</v>
      </c>
      <c r="M111" s="15">
        <v>3600</v>
      </c>
      <c r="N111" s="15">
        <v>276.92</v>
      </c>
      <c r="O111" s="15">
        <v>3600</v>
      </c>
      <c r="P111" s="15" t="s">
        <v>32</v>
      </c>
      <c r="Q111" s="15" t="s">
        <v>33</v>
      </c>
      <c r="R111" s="15" t="s">
        <v>148</v>
      </c>
      <c r="S111" s="15">
        <v>0</v>
      </c>
      <c r="T111" s="15">
        <v>180</v>
      </c>
      <c r="U111" s="15">
        <v>0</v>
      </c>
      <c r="V111" s="15" t="s">
        <v>35</v>
      </c>
      <c r="W111" s="15" t="s">
        <v>35</v>
      </c>
      <c r="X111" s="15" t="s">
        <v>35</v>
      </c>
      <c r="Y111" s="15" t="s">
        <v>35</v>
      </c>
      <c r="Z111" s="15" t="s">
        <v>35</v>
      </c>
      <c r="AA111" s="15" t="s">
        <v>35</v>
      </c>
    </row>
    <row r="112" s="15" customFormat="1" spans="1:27">
      <c r="A112" s="15" t="s">
        <v>111</v>
      </c>
      <c r="B112" s="15" t="s">
        <v>30</v>
      </c>
      <c r="C112" s="15">
        <v>22940295</v>
      </c>
      <c r="D112" s="14">
        <v>233557446009</v>
      </c>
      <c r="E112" s="17">
        <v>46162.2565277778</v>
      </c>
      <c r="F112" s="15">
        <v>657.69</v>
      </c>
      <c r="G112" s="15">
        <v>0</v>
      </c>
      <c r="H112" s="15">
        <v>657.69</v>
      </c>
      <c r="I112" s="15">
        <v>413.65</v>
      </c>
      <c r="J112" s="15">
        <v>0</v>
      </c>
      <c r="K112" s="15">
        <v>413.65</v>
      </c>
      <c r="L112" s="15">
        <v>1076.92</v>
      </c>
      <c r="M112" s="15">
        <v>14000</v>
      </c>
      <c r="N112" s="15">
        <v>1076.92</v>
      </c>
      <c r="O112" s="15">
        <v>14000</v>
      </c>
      <c r="P112" s="15" t="s">
        <v>41</v>
      </c>
      <c r="Q112" s="15" t="s">
        <v>42</v>
      </c>
      <c r="R112" s="15" t="s">
        <v>148</v>
      </c>
      <c r="S112" s="15">
        <v>0</v>
      </c>
      <c r="T112" s="15">
        <v>700</v>
      </c>
      <c r="U112" s="15">
        <v>0</v>
      </c>
      <c r="V112" s="15" t="s">
        <v>35</v>
      </c>
      <c r="W112" s="15" t="s">
        <v>35</v>
      </c>
      <c r="X112" s="15" t="s">
        <v>35</v>
      </c>
      <c r="Y112" s="15" t="s">
        <v>35</v>
      </c>
      <c r="Z112" s="15" t="s">
        <v>35</v>
      </c>
      <c r="AA112" s="15" t="s">
        <v>35</v>
      </c>
    </row>
    <row r="113" s="15" customFormat="1" spans="1:27">
      <c r="A113" s="15" t="s">
        <v>111</v>
      </c>
      <c r="B113" s="15" t="s">
        <v>30</v>
      </c>
      <c r="C113" s="15">
        <v>16126013</v>
      </c>
      <c r="D113" s="14">
        <v>233591433531</v>
      </c>
      <c r="E113" s="17">
        <v>45752.9058333333</v>
      </c>
      <c r="F113" s="15">
        <v>8838.32</v>
      </c>
      <c r="G113" s="15">
        <v>8.11</v>
      </c>
      <c r="H113" s="15">
        <v>8830.22</v>
      </c>
      <c r="I113" s="15">
        <v>357.63</v>
      </c>
      <c r="J113" s="15">
        <v>1.91</v>
      </c>
      <c r="K113" s="15">
        <v>355.72</v>
      </c>
      <c r="L113" s="15">
        <v>1810.08</v>
      </c>
      <c r="M113" s="15">
        <v>23531</v>
      </c>
      <c r="N113" s="15">
        <v>270.92</v>
      </c>
      <c r="O113" s="15">
        <v>3522</v>
      </c>
      <c r="P113" s="15" t="s">
        <v>41</v>
      </c>
      <c r="Q113" s="15" t="s">
        <v>42</v>
      </c>
      <c r="R113" s="15" t="s">
        <v>148</v>
      </c>
      <c r="S113" s="15">
        <v>0</v>
      </c>
      <c r="T113" s="15">
        <v>176</v>
      </c>
      <c r="U113" s="15">
        <v>0</v>
      </c>
      <c r="V113" s="15" t="s">
        <v>35</v>
      </c>
      <c r="W113" s="15" t="s">
        <v>35</v>
      </c>
      <c r="X113" s="15" t="s">
        <v>35</v>
      </c>
      <c r="Y113" s="15" t="s">
        <v>35</v>
      </c>
      <c r="Z113" s="15" t="s">
        <v>35</v>
      </c>
      <c r="AA113" s="15" t="s">
        <v>35</v>
      </c>
    </row>
    <row r="114" s="15" customFormat="1" spans="1:27">
      <c r="A114" s="15" t="s">
        <v>111</v>
      </c>
      <c r="B114" s="15" t="s">
        <v>30</v>
      </c>
      <c r="C114" s="15">
        <v>14108564</v>
      </c>
      <c r="D114" s="14">
        <v>233592698408</v>
      </c>
      <c r="E114" s="17">
        <v>45577.4549768519</v>
      </c>
      <c r="F114" s="15">
        <v>372.42</v>
      </c>
      <c r="G114" s="15">
        <v>0.46</v>
      </c>
      <c r="H114" s="15">
        <v>371.96</v>
      </c>
      <c r="I114" s="15">
        <v>16.85</v>
      </c>
      <c r="J114" s="15">
        <v>0.46</v>
      </c>
      <c r="K114" s="15">
        <v>16.38</v>
      </c>
      <c r="L114" s="15">
        <v>122</v>
      </c>
      <c r="M114" s="15">
        <v>1586</v>
      </c>
      <c r="N114" s="15">
        <v>21.31</v>
      </c>
      <c r="O114" s="15">
        <v>277</v>
      </c>
      <c r="P114" s="15" t="s">
        <v>41</v>
      </c>
      <c r="Q114" s="15" t="s">
        <v>33</v>
      </c>
      <c r="R114" s="15" t="s">
        <v>148</v>
      </c>
      <c r="S114" s="15">
        <v>0</v>
      </c>
      <c r="T114" s="15">
        <v>14</v>
      </c>
      <c r="U114" s="15">
        <v>0</v>
      </c>
      <c r="V114" s="15" t="s">
        <v>35</v>
      </c>
      <c r="W114" s="15" t="s">
        <v>35</v>
      </c>
      <c r="X114" s="15" t="s">
        <v>35</v>
      </c>
      <c r="Y114" s="15" t="s">
        <v>35</v>
      </c>
      <c r="Z114" s="15" t="s">
        <v>35</v>
      </c>
      <c r="AA114" s="15" t="s">
        <v>35</v>
      </c>
    </row>
    <row r="115" s="15" customFormat="1" spans="1:27">
      <c r="A115" s="15" t="s">
        <v>111</v>
      </c>
      <c r="B115" s="15" t="s">
        <v>30</v>
      </c>
      <c r="C115" s="15">
        <v>17785184</v>
      </c>
      <c r="D115" s="14">
        <v>233592872040</v>
      </c>
      <c r="E115" s="17">
        <v>45876.3994097222</v>
      </c>
      <c r="F115" s="15">
        <v>202.83</v>
      </c>
      <c r="G115" s="15">
        <v>0</v>
      </c>
      <c r="H115" s="15">
        <v>202.83</v>
      </c>
      <c r="I115" s="15">
        <v>20.75</v>
      </c>
      <c r="J115" s="15">
        <v>0</v>
      </c>
      <c r="K115" s="15">
        <v>20.75</v>
      </c>
      <c r="L115" s="15">
        <v>65.23</v>
      </c>
      <c r="M115" s="15">
        <v>848</v>
      </c>
      <c r="N115" s="15">
        <v>0</v>
      </c>
      <c r="O115" s="15">
        <v>0</v>
      </c>
      <c r="P115" s="15" t="s">
        <v>32</v>
      </c>
      <c r="Q115" s="15" t="s">
        <v>33</v>
      </c>
      <c r="R115" s="15" t="s">
        <v>148</v>
      </c>
      <c r="S115" s="15">
        <v>0</v>
      </c>
      <c r="T115" s="15">
        <v>0</v>
      </c>
      <c r="U115" s="15">
        <v>0</v>
      </c>
      <c r="V115" s="15" t="s">
        <v>35</v>
      </c>
      <c r="W115" s="15" t="s">
        <v>35</v>
      </c>
      <c r="X115" s="15" t="s">
        <v>35</v>
      </c>
      <c r="Y115" s="15" t="s">
        <v>35</v>
      </c>
      <c r="Z115" s="15" t="s">
        <v>35</v>
      </c>
      <c r="AA115" s="15" t="s">
        <v>35</v>
      </c>
    </row>
    <row r="116" s="15" customFormat="1" spans="1:27">
      <c r="A116" s="15" t="s">
        <v>111</v>
      </c>
      <c r="B116" s="15" t="s">
        <v>30</v>
      </c>
      <c r="C116" s="15">
        <v>20366883</v>
      </c>
      <c r="D116" s="14">
        <v>233594399517</v>
      </c>
      <c r="E116" s="17">
        <v>46018.5200231482</v>
      </c>
      <c r="F116" s="15">
        <v>738</v>
      </c>
      <c r="G116" s="15">
        <v>2.85</v>
      </c>
      <c r="H116" s="15">
        <v>735.15</v>
      </c>
      <c r="I116" s="15">
        <v>124.23</v>
      </c>
      <c r="J116" s="15">
        <v>2.85</v>
      </c>
      <c r="K116" s="15">
        <v>121.38</v>
      </c>
      <c r="L116" s="15">
        <v>626.15</v>
      </c>
      <c r="M116" s="15">
        <v>8140</v>
      </c>
      <c r="N116" s="15">
        <v>175.77</v>
      </c>
      <c r="O116" s="15">
        <v>2285</v>
      </c>
      <c r="P116" s="15" t="s">
        <v>32</v>
      </c>
      <c r="Q116" s="15" t="s">
        <v>33</v>
      </c>
      <c r="R116" s="15" t="s">
        <v>148</v>
      </c>
      <c r="S116" s="15">
        <v>0</v>
      </c>
      <c r="T116" s="15">
        <v>114</v>
      </c>
      <c r="U116" s="15">
        <v>0</v>
      </c>
      <c r="V116" s="15" t="s">
        <v>35</v>
      </c>
      <c r="W116" s="15" t="s">
        <v>35</v>
      </c>
      <c r="X116" s="15" t="s">
        <v>35</v>
      </c>
      <c r="Y116" s="15" t="s">
        <v>35</v>
      </c>
      <c r="Z116" s="15" t="s">
        <v>35</v>
      </c>
      <c r="AA116" s="15" t="s">
        <v>35</v>
      </c>
    </row>
    <row r="117" s="15" customFormat="1" spans="1:27">
      <c r="A117" s="15" t="s">
        <v>111</v>
      </c>
      <c r="B117" s="15" t="s">
        <v>30</v>
      </c>
      <c r="C117" s="15">
        <v>18519895</v>
      </c>
      <c r="D117" s="14">
        <v>233594416288</v>
      </c>
      <c r="E117" s="17">
        <v>45917.6852199074</v>
      </c>
      <c r="F117" s="15">
        <v>1269.54</v>
      </c>
      <c r="G117" s="15">
        <v>0</v>
      </c>
      <c r="H117" s="15">
        <v>1269.54</v>
      </c>
      <c r="I117" s="15">
        <v>157.54</v>
      </c>
      <c r="J117" s="15">
        <v>0</v>
      </c>
      <c r="K117" s="15">
        <v>157.54</v>
      </c>
      <c r="L117" s="15">
        <v>510.23</v>
      </c>
      <c r="M117" s="15">
        <v>6633</v>
      </c>
      <c r="N117" s="15">
        <v>0</v>
      </c>
      <c r="O117" s="15">
        <v>0</v>
      </c>
      <c r="P117" s="15" t="s">
        <v>41</v>
      </c>
      <c r="Q117" s="15" t="s">
        <v>33</v>
      </c>
      <c r="R117" s="15" t="s">
        <v>148</v>
      </c>
      <c r="S117" s="15">
        <v>0</v>
      </c>
      <c r="T117" s="15">
        <v>0</v>
      </c>
      <c r="U117" s="15">
        <v>0</v>
      </c>
      <c r="V117" s="15" t="s">
        <v>35</v>
      </c>
      <c r="W117" s="15" t="s">
        <v>35</v>
      </c>
      <c r="X117" s="15" t="s">
        <v>35</v>
      </c>
      <c r="Y117" s="15" t="s">
        <v>35</v>
      </c>
      <c r="Z117" s="15" t="s">
        <v>35</v>
      </c>
      <c r="AA117" s="15" t="s">
        <v>35</v>
      </c>
    </row>
    <row r="118" s="15" customFormat="1" spans="1:27">
      <c r="A118" s="15" t="s">
        <v>111</v>
      </c>
      <c r="B118" s="15" t="s">
        <v>30</v>
      </c>
      <c r="C118" s="15">
        <v>17984994</v>
      </c>
      <c r="D118" s="14">
        <v>233596436153</v>
      </c>
      <c r="E118" s="17">
        <v>45886.8978240741</v>
      </c>
      <c r="F118" s="15">
        <v>12465.12</v>
      </c>
      <c r="G118" s="15">
        <v>7.08</v>
      </c>
      <c r="H118" s="15">
        <v>12458.04</v>
      </c>
      <c r="I118" s="15">
        <v>994.77</v>
      </c>
      <c r="J118" s="15">
        <v>6.58</v>
      </c>
      <c r="K118" s="15">
        <v>988.19</v>
      </c>
      <c r="L118" s="15">
        <v>3059.46</v>
      </c>
      <c r="M118" s="15">
        <v>39773</v>
      </c>
      <c r="N118" s="15">
        <v>2193.23</v>
      </c>
      <c r="O118" s="15">
        <v>28512</v>
      </c>
      <c r="P118" s="15" t="s">
        <v>41</v>
      </c>
      <c r="Q118" s="15" t="s">
        <v>42</v>
      </c>
      <c r="R118" s="15" t="s">
        <v>148</v>
      </c>
      <c r="S118" s="15">
        <v>0</v>
      </c>
      <c r="T118" s="15">
        <v>1426</v>
      </c>
      <c r="U118" s="15">
        <v>0</v>
      </c>
      <c r="V118" s="15" t="s">
        <v>35</v>
      </c>
      <c r="W118" s="15" t="s">
        <v>35</v>
      </c>
      <c r="X118" s="15" t="s">
        <v>35</v>
      </c>
      <c r="Y118" s="15" t="s">
        <v>35</v>
      </c>
      <c r="Z118" s="15" t="s">
        <v>35</v>
      </c>
      <c r="AA118" s="15" t="s">
        <v>35</v>
      </c>
    </row>
    <row r="119" s="15" customFormat="1" spans="1:27">
      <c r="A119" s="15" t="s">
        <v>111</v>
      </c>
      <c r="B119" s="15" t="s">
        <v>30</v>
      </c>
      <c r="C119" s="15">
        <v>18253184</v>
      </c>
      <c r="D119" s="14">
        <v>233598817455</v>
      </c>
      <c r="E119" s="17">
        <v>45900.5333217593</v>
      </c>
      <c r="F119" s="15">
        <v>200.45</v>
      </c>
      <c r="G119" s="15">
        <v>4.31</v>
      </c>
      <c r="H119" s="15">
        <v>196.15</v>
      </c>
      <c r="I119" s="15">
        <v>42.44</v>
      </c>
      <c r="J119" s="15">
        <v>0.62</v>
      </c>
      <c r="K119" s="15">
        <v>41.82</v>
      </c>
      <c r="L119" s="15">
        <v>54</v>
      </c>
      <c r="M119" s="15">
        <v>702</v>
      </c>
      <c r="N119" s="15">
        <v>54</v>
      </c>
      <c r="O119" s="15">
        <v>702</v>
      </c>
      <c r="P119" s="15" t="s">
        <v>32</v>
      </c>
      <c r="Q119" s="15" t="s">
        <v>33</v>
      </c>
      <c r="R119" s="15" t="s">
        <v>148</v>
      </c>
      <c r="S119" s="15">
        <v>0</v>
      </c>
      <c r="T119" s="15">
        <v>35</v>
      </c>
      <c r="U119" s="15">
        <v>0</v>
      </c>
      <c r="V119" s="15" t="s">
        <v>35</v>
      </c>
      <c r="W119" s="15" t="s">
        <v>35</v>
      </c>
      <c r="X119" s="15" t="s">
        <v>35</v>
      </c>
      <c r="Y119" s="15" t="s">
        <v>35</v>
      </c>
      <c r="Z119" s="15" t="s">
        <v>35</v>
      </c>
      <c r="AA119" s="15" t="s">
        <v>35</v>
      </c>
    </row>
    <row r="120" s="3" customFormat="1" spans="1:27">
      <c r="A120" s="3" t="s">
        <v>112</v>
      </c>
      <c r="B120" s="3" t="s">
        <v>30</v>
      </c>
      <c r="C120" s="3">
        <v>22722864</v>
      </c>
      <c r="D120" s="13" t="s">
        <v>233</v>
      </c>
      <c r="E120" s="16">
        <v>46146.4543865741</v>
      </c>
      <c r="F120" s="3">
        <v>11614.04</v>
      </c>
      <c r="G120" s="3">
        <v>0</v>
      </c>
      <c r="H120" s="3">
        <v>11614.04</v>
      </c>
      <c r="I120" s="3">
        <v>269.75</v>
      </c>
      <c r="J120" s="3">
        <v>0</v>
      </c>
      <c r="K120" s="3">
        <v>269.75</v>
      </c>
      <c r="L120" s="3">
        <v>806.92</v>
      </c>
      <c r="M120" s="3">
        <v>10490</v>
      </c>
      <c r="N120" s="3">
        <v>806.92</v>
      </c>
      <c r="O120" s="3">
        <v>10490</v>
      </c>
      <c r="P120" s="3" t="s">
        <v>41</v>
      </c>
      <c r="Q120" s="3" t="s">
        <v>33</v>
      </c>
      <c r="R120" s="3" t="s">
        <v>148</v>
      </c>
      <c r="S120" s="3">
        <v>0</v>
      </c>
      <c r="T120" s="3">
        <v>524</v>
      </c>
      <c r="U120" s="3">
        <v>0</v>
      </c>
      <c r="V120" s="3" t="s">
        <v>35</v>
      </c>
      <c r="W120" s="3" t="s">
        <v>35</v>
      </c>
      <c r="X120" s="3" t="s">
        <v>35</v>
      </c>
      <c r="Y120" s="3" t="s">
        <v>35</v>
      </c>
      <c r="Z120" s="3" t="s">
        <v>35</v>
      </c>
      <c r="AA120" s="3" t="s">
        <v>35</v>
      </c>
    </row>
    <row r="121" s="3" customFormat="1" spans="1:27">
      <c r="A121" s="3" t="s">
        <v>112</v>
      </c>
      <c r="B121" s="3" t="s">
        <v>30</v>
      </c>
      <c r="C121" s="3">
        <v>17561275</v>
      </c>
      <c r="D121" s="13" t="s">
        <v>234</v>
      </c>
      <c r="E121" s="16">
        <v>45863.1675925926</v>
      </c>
      <c r="F121" s="3">
        <v>595.63</v>
      </c>
      <c r="G121" s="3">
        <v>0.62</v>
      </c>
      <c r="H121" s="3">
        <v>595.02</v>
      </c>
      <c r="I121" s="3">
        <v>40.74</v>
      </c>
      <c r="J121" s="3">
        <v>0.2</v>
      </c>
      <c r="K121" s="3">
        <v>40.54</v>
      </c>
      <c r="L121" s="3">
        <v>118.69</v>
      </c>
      <c r="M121" s="3">
        <v>1543</v>
      </c>
      <c r="N121" s="3">
        <v>1.54</v>
      </c>
      <c r="O121" s="3">
        <v>20</v>
      </c>
      <c r="P121" s="3" t="s">
        <v>32</v>
      </c>
      <c r="Q121" s="3" t="s">
        <v>33</v>
      </c>
      <c r="R121" s="3" t="s">
        <v>148</v>
      </c>
      <c r="S121" s="3">
        <v>0</v>
      </c>
      <c r="T121" s="3">
        <v>1</v>
      </c>
      <c r="U121" s="3">
        <v>0</v>
      </c>
      <c r="V121" s="3" t="s">
        <v>35</v>
      </c>
      <c r="W121" s="3" t="s">
        <v>35</v>
      </c>
      <c r="X121" s="3" t="s">
        <v>35</v>
      </c>
      <c r="Y121" s="3" t="s">
        <v>35</v>
      </c>
      <c r="Z121" s="3" t="s">
        <v>35</v>
      </c>
      <c r="AA121" s="3" t="s">
        <v>35</v>
      </c>
    </row>
    <row r="122" s="3" customFormat="1" spans="1:27">
      <c r="A122" s="3" t="s">
        <v>112</v>
      </c>
      <c r="B122" s="3" t="s">
        <v>30</v>
      </c>
      <c r="C122" s="3">
        <v>21221134</v>
      </c>
      <c r="D122" s="13" t="s">
        <v>235</v>
      </c>
      <c r="E122" s="16">
        <v>46061.9528472222</v>
      </c>
      <c r="F122" s="3">
        <v>234.31</v>
      </c>
      <c r="G122" s="3">
        <v>0</v>
      </c>
      <c r="H122" s="3">
        <v>234.31</v>
      </c>
      <c r="I122" s="3">
        <v>63.07</v>
      </c>
      <c r="J122" s="3">
        <v>0</v>
      </c>
      <c r="K122" s="3">
        <v>63.07</v>
      </c>
      <c r="L122" s="3">
        <v>63.08</v>
      </c>
      <c r="M122" s="3">
        <v>820</v>
      </c>
      <c r="N122" s="3">
        <v>13.08</v>
      </c>
      <c r="O122" s="3">
        <v>170</v>
      </c>
      <c r="P122" s="3" t="s">
        <v>32</v>
      </c>
      <c r="Q122" s="3" t="s">
        <v>33</v>
      </c>
      <c r="R122" s="3" t="s">
        <v>148</v>
      </c>
      <c r="S122" s="3">
        <v>0</v>
      </c>
      <c r="T122" s="3">
        <v>8</v>
      </c>
      <c r="U122" s="3">
        <v>0</v>
      </c>
      <c r="V122" s="3" t="s">
        <v>35</v>
      </c>
      <c r="W122" s="3" t="s">
        <v>35</v>
      </c>
      <c r="X122" s="3" t="s">
        <v>35</v>
      </c>
      <c r="Y122" s="3" t="s">
        <v>35</v>
      </c>
      <c r="Z122" s="3" t="s">
        <v>35</v>
      </c>
      <c r="AA122" s="3" t="s">
        <v>35</v>
      </c>
    </row>
    <row r="123" s="3" customFormat="1" spans="1:27">
      <c r="A123" s="3" t="s">
        <v>112</v>
      </c>
      <c r="B123" s="3" t="s">
        <v>30</v>
      </c>
      <c r="C123" s="3">
        <v>22174763</v>
      </c>
      <c r="D123" s="13" t="s">
        <v>236</v>
      </c>
      <c r="E123" s="16">
        <v>46112.3851157407</v>
      </c>
      <c r="F123" s="3">
        <v>728.15</v>
      </c>
      <c r="G123" s="3">
        <v>0</v>
      </c>
      <c r="H123" s="3">
        <v>728.15</v>
      </c>
      <c r="I123" s="3">
        <v>50.77</v>
      </c>
      <c r="J123" s="3">
        <v>0</v>
      </c>
      <c r="K123" s="3">
        <v>50.77</v>
      </c>
      <c r="L123" s="3">
        <v>75.77</v>
      </c>
      <c r="M123" s="3">
        <v>985</v>
      </c>
      <c r="N123" s="3">
        <v>75.77</v>
      </c>
      <c r="O123" s="3">
        <v>985</v>
      </c>
      <c r="P123" s="3" t="s">
        <v>41</v>
      </c>
      <c r="Q123" s="3" t="s">
        <v>33</v>
      </c>
      <c r="R123" s="3" t="s">
        <v>148</v>
      </c>
      <c r="S123" s="3">
        <v>0</v>
      </c>
      <c r="T123" s="3">
        <v>49</v>
      </c>
      <c r="U123" s="3">
        <v>0</v>
      </c>
      <c r="V123" s="3" t="s">
        <v>35</v>
      </c>
      <c r="W123" s="3" t="s">
        <v>35</v>
      </c>
      <c r="X123" s="3" t="s">
        <v>35</v>
      </c>
      <c r="Y123" s="3" t="s">
        <v>35</v>
      </c>
      <c r="Z123" s="3" t="s">
        <v>35</v>
      </c>
      <c r="AA123" s="3" t="s">
        <v>35</v>
      </c>
    </row>
    <row r="124" s="3" customFormat="1" spans="1:27">
      <c r="A124" s="3" t="s">
        <v>112</v>
      </c>
      <c r="B124" s="3" t="s">
        <v>30</v>
      </c>
      <c r="C124" s="3">
        <v>10718495</v>
      </c>
      <c r="D124" s="13" t="s">
        <v>237</v>
      </c>
      <c r="E124" s="16">
        <v>45187.7404513889</v>
      </c>
      <c r="F124" s="3">
        <v>371.69</v>
      </c>
      <c r="G124" s="3">
        <v>0</v>
      </c>
      <c r="H124" s="3">
        <v>371.69</v>
      </c>
      <c r="I124" s="3">
        <v>13.2</v>
      </c>
      <c r="J124" s="3">
        <v>0</v>
      </c>
      <c r="K124" s="3">
        <v>13.2</v>
      </c>
      <c r="L124" s="3">
        <v>85.38</v>
      </c>
      <c r="M124" s="3">
        <v>1110</v>
      </c>
      <c r="N124" s="3">
        <v>15.38</v>
      </c>
      <c r="O124" s="3">
        <v>200</v>
      </c>
      <c r="P124" s="3" t="s">
        <v>32</v>
      </c>
      <c r="Q124" s="3" t="s">
        <v>33</v>
      </c>
      <c r="R124" s="3" t="s">
        <v>148</v>
      </c>
      <c r="S124" s="3">
        <v>0</v>
      </c>
      <c r="T124" s="3">
        <v>10</v>
      </c>
      <c r="U124" s="3">
        <v>0</v>
      </c>
      <c r="V124" s="3" t="s">
        <v>35</v>
      </c>
      <c r="W124" s="3" t="s">
        <v>35</v>
      </c>
      <c r="X124" s="3" t="s">
        <v>35</v>
      </c>
      <c r="Y124" s="3" t="s">
        <v>35</v>
      </c>
      <c r="Z124" s="3" t="s">
        <v>35</v>
      </c>
      <c r="AA124" s="3" t="s">
        <v>35</v>
      </c>
    </row>
    <row r="125" s="3" customFormat="1" spans="1:27">
      <c r="A125" s="3" t="s">
        <v>112</v>
      </c>
      <c r="B125" s="3" t="s">
        <v>30</v>
      </c>
      <c r="C125" s="3">
        <v>22517423</v>
      </c>
      <c r="D125" s="13" t="s">
        <v>238</v>
      </c>
      <c r="E125" s="16">
        <v>46132.4441319444</v>
      </c>
      <c r="F125" s="3">
        <v>1733.26</v>
      </c>
      <c r="G125" s="3">
        <v>0</v>
      </c>
      <c r="H125" s="3">
        <v>1733.26</v>
      </c>
      <c r="I125" s="3">
        <v>170.09</v>
      </c>
      <c r="J125" s="3">
        <v>0</v>
      </c>
      <c r="K125" s="3">
        <v>170.09</v>
      </c>
      <c r="L125" s="3">
        <v>378.77</v>
      </c>
      <c r="M125" s="3">
        <v>4924</v>
      </c>
      <c r="N125" s="3">
        <v>378.77</v>
      </c>
      <c r="O125" s="3">
        <v>4924</v>
      </c>
      <c r="P125" s="3" t="s">
        <v>32</v>
      </c>
      <c r="Q125" s="3" t="s">
        <v>33</v>
      </c>
      <c r="R125" s="3" t="s">
        <v>148</v>
      </c>
      <c r="S125" s="3">
        <v>0</v>
      </c>
      <c r="T125" s="3">
        <v>246</v>
      </c>
      <c r="U125" s="3">
        <v>0</v>
      </c>
      <c r="V125" s="3" t="s">
        <v>35</v>
      </c>
      <c r="W125" s="3" t="s">
        <v>35</v>
      </c>
      <c r="X125" s="3" t="s">
        <v>35</v>
      </c>
      <c r="Y125" s="3" t="s">
        <v>35</v>
      </c>
      <c r="Z125" s="3" t="s">
        <v>35</v>
      </c>
      <c r="AA125" s="3" t="s">
        <v>35</v>
      </c>
    </row>
    <row r="126" s="3" customFormat="1" spans="1:27">
      <c r="A126" s="3" t="s">
        <v>112</v>
      </c>
      <c r="B126" s="3" t="s">
        <v>30</v>
      </c>
      <c r="C126" s="3">
        <v>18882804</v>
      </c>
      <c r="D126" s="13" t="s">
        <v>239</v>
      </c>
      <c r="E126" s="16">
        <v>45939.9249537037</v>
      </c>
      <c r="F126" s="3">
        <v>190109.39</v>
      </c>
      <c r="G126" s="3">
        <v>3873.58</v>
      </c>
      <c r="H126" s="3">
        <v>186235.81</v>
      </c>
      <c r="I126" s="3">
        <v>-11039.88</v>
      </c>
      <c r="J126" s="3">
        <v>1778.85</v>
      </c>
      <c r="K126" s="3">
        <v>-12818.74</v>
      </c>
      <c r="L126" s="3">
        <v>621.54</v>
      </c>
      <c r="M126" s="3">
        <v>8080</v>
      </c>
      <c r="N126" s="3">
        <v>1.54</v>
      </c>
      <c r="O126" s="3">
        <v>20</v>
      </c>
      <c r="P126" s="3" t="s">
        <v>41</v>
      </c>
      <c r="Q126" s="3" t="s">
        <v>33</v>
      </c>
      <c r="R126" s="3" t="s">
        <v>148</v>
      </c>
      <c r="S126" s="3">
        <v>0</v>
      </c>
      <c r="T126" s="3">
        <v>1</v>
      </c>
      <c r="U126" s="3">
        <v>1</v>
      </c>
      <c r="V126" s="3">
        <v>1</v>
      </c>
      <c r="W126" s="3" t="s">
        <v>35</v>
      </c>
      <c r="X126" s="3" t="s">
        <v>35</v>
      </c>
      <c r="Y126" s="3" t="s">
        <v>35</v>
      </c>
      <c r="Z126" s="3" t="s">
        <v>35</v>
      </c>
      <c r="AA126" s="3" t="s">
        <v>35</v>
      </c>
    </row>
    <row r="127" s="3" customFormat="1" spans="1:27">
      <c r="A127" s="3" t="s">
        <v>112</v>
      </c>
      <c r="B127" s="3" t="s">
        <v>30</v>
      </c>
      <c r="C127" s="3">
        <v>22540114</v>
      </c>
      <c r="D127" s="13" t="s">
        <v>240</v>
      </c>
      <c r="E127" s="16">
        <v>46133.9619675926</v>
      </c>
      <c r="F127" s="3">
        <v>1019.97</v>
      </c>
      <c r="G127" s="3">
        <v>0</v>
      </c>
      <c r="H127" s="3">
        <v>1019.97</v>
      </c>
      <c r="I127" s="3">
        <v>69.5</v>
      </c>
      <c r="J127" s="3">
        <v>0</v>
      </c>
      <c r="K127" s="3">
        <v>69.5</v>
      </c>
      <c r="L127" s="3">
        <v>114</v>
      </c>
      <c r="M127" s="3">
        <v>1482</v>
      </c>
      <c r="N127" s="3">
        <v>114</v>
      </c>
      <c r="O127" s="3">
        <v>1482</v>
      </c>
      <c r="P127" s="3" t="s">
        <v>32</v>
      </c>
      <c r="Q127" s="3" t="s">
        <v>33</v>
      </c>
      <c r="R127" s="3" t="s">
        <v>148</v>
      </c>
      <c r="S127" s="3">
        <v>0</v>
      </c>
      <c r="T127" s="3">
        <v>74</v>
      </c>
      <c r="U127" s="3">
        <v>0</v>
      </c>
      <c r="V127" s="3" t="s">
        <v>35</v>
      </c>
      <c r="W127" s="3" t="s">
        <v>35</v>
      </c>
      <c r="X127" s="3" t="s">
        <v>35</v>
      </c>
      <c r="Y127" s="3" t="s">
        <v>35</v>
      </c>
      <c r="Z127" s="3" t="s">
        <v>35</v>
      </c>
      <c r="AA127" s="3" t="s">
        <v>35</v>
      </c>
    </row>
    <row r="128" s="3" customFormat="1" spans="1:27">
      <c r="A128" s="3" t="s">
        <v>112</v>
      </c>
      <c r="B128" s="3" t="s">
        <v>30</v>
      </c>
      <c r="C128" s="3">
        <v>13671925</v>
      </c>
      <c r="D128" s="13" t="s">
        <v>241</v>
      </c>
      <c r="E128" s="16">
        <v>45547.4046296296</v>
      </c>
      <c r="F128" s="3">
        <v>325.19</v>
      </c>
      <c r="G128" s="3">
        <v>0</v>
      </c>
      <c r="H128" s="3">
        <v>325.19</v>
      </c>
      <c r="I128" s="3">
        <v>19.11</v>
      </c>
      <c r="J128" s="3">
        <v>0</v>
      </c>
      <c r="K128" s="3">
        <v>19.11</v>
      </c>
      <c r="L128" s="3">
        <v>74</v>
      </c>
      <c r="M128" s="3">
        <v>962</v>
      </c>
      <c r="N128" s="3">
        <v>3.85</v>
      </c>
      <c r="O128" s="3">
        <v>50</v>
      </c>
      <c r="P128" s="3" t="s">
        <v>41</v>
      </c>
      <c r="Q128" s="3" t="s">
        <v>33</v>
      </c>
      <c r="R128" s="3" t="s">
        <v>148</v>
      </c>
      <c r="S128" s="3">
        <v>0</v>
      </c>
      <c r="T128" s="3">
        <v>2</v>
      </c>
      <c r="U128" s="3">
        <v>0</v>
      </c>
      <c r="V128" s="3" t="s">
        <v>35</v>
      </c>
      <c r="W128" s="3" t="s">
        <v>35</v>
      </c>
      <c r="X128" s="3" t="s">
        <v>35</v>
      </c>
      <c r="Y128" s="3" t="s">
        <v>35</v>
      </c>
      <c r="Z128" s="3" t="s">
        <v>35</v>
      </c>
      <c r="AA128" s="3" t="s">
        <v>35</v>
      </c>
    </row>
    <row r="129" s="3" customFormat="1" spans="1:27">
      <c r="A129" s="3" t="s">
        <v>112</v>
      </c>
      <c r="B129" s="3" t="s">
        <v>30</v>
      </c>
      <c r="C129" s="3">
        <v>21784384</v>
      </c>
      <c r="D129" s="13" t="s">
        <v>242</v>
      </c>
      <c r="E129" s="16">
        <v>46090.0532175926</v>
      </c>
      <c r="F129" s="3">
        <v>18324.77</v>
      </c>
      <c r="G129" s="3">
        <v>0</v>
      </c>
      <c r="H129" s="3">
        <v>18324.77</v>
      </c>
      <c r="I129" s="3">
        <v>457.85</v>
      </c>
      <c r="J129" s="3">
        <v>0</v>
      </c>
      <c r="K129" s="3">
        <v>457.85</v>
      </c>
      <c r="L129" s="3">
        <v>7693.85</v>
      </c>
      <c r="M129" s="3">
        <v>100020</v>
      </c>
      <c r="N129" s="3">
        <v>7693.85</v>
      </c>
      <c r="O129" s="3">
        <v>100020</v>
      </c>
      <c r="P129" s="3" t="s">
        <v>32</v>
      </c>
      <c r="Q129" s="3" t="s">
        <v>42</v>
      </c>
      <c r="R129" s="3" t="s">
        <v>148</v>
      </c>
      <c r="S129" s="3">
        <v>0</v>
      </c>
      <c r="T129" s="3">
        <v>5001</v>
      </c>
      <c r="U129" s="3">
        <v>0</v>
      </c>
      <c r="V129" s="3" t="s">
        <v>35</v>
      </c>
      <c r="W129" s="3" t="s">
        <v>35</v>
      </c>
      <c r="X129" s="3" t="s">
        <v>35</v>
      </c>
      <c r="Y129" s="3" t="s">
        <v>35</v>
      </c>
      <c r="Z129" s="3" t="s">
        <v>35</v>
      </c>
      <c r="AA129" s="3" t="s">
        <v>35</v>
      </c>
    </row>
    <row r="130" s="3" customFormat="1" spans="1:27">
      <c r="A130" s="3" t="s">
        <v>112</v>
      </c>
      <c r="B130" s="3" t="s">
        <v>30</v>
      </c>
      <c r="C130" s="3">
        <v>19182934</v>
      </c>
      <c r="D130" s="13" t="s">
        <v>243</v>
      </c>
      <c r="E130" s="16">
        <v>45960.3047569445</v>
      </c>
      <c r="F130" s="3">
        <v>1859.75</v>
      </c>
      <c r="G130" s="3">
        <v>0</v>
      </c>
      <c r="H130" s="3">
        <v>1859.75</v>
      </c>
      <c r="I130" s="3">
        <v>242.35</v>
      </c>
      <c r="J130" s="3">
        <v>0</v>
      </c>
      <c r="K130" s="3">
        <v>242.35</v>
      </c>
      <c r="L130" s="3">
        <v>365.85</v>
      </c>
      <c r="M130" s="3">
        <v>4756</v>
      </c>
      <c r="N130" s="3">
        <v>20.38</v>
      </c>
      <c r="O130" s="3">
        <v>265</v>
      </c>
      <c r="P130" s="3" t="s">
        <v>41</v>
      </c>
      <c r="Q130" s="3" t="s">
        <v>33</v>
      </c>
      <c r="R130" s="3" t="s">
        <v>148</v>
      </c>
      <c r="S130" s="3">
        <v>0</v>
      </c>
      <c r="T130" s="3">
        <v>13</v>
      </c>
      <c r="U130" s="3">
        <v>0</v>
      </c>
      <c r="V130" s="3" t="s">
        <v>35</v>
      </c>
      <c r="W130" s="3" t="s">
        <v>35</v>
      </c>
      <c r="X130" s="3" t="s">
        <v>35</v>
      </c>
      <c r="Y130" s="3" t="s">
        <v>35</v>
      </c>
      <c r="Z130" s="3" t="s">
        <v>35</v>
      </c>
      <c r="AA130" s="3" t="s">
        <v>35</v>
      </c>
    </row>
    <row r="131" s="3" customFormat="1" spans="1:27">
      <c r="A131" s="3" t="s">
        <v>112</v>
      </c>
      <c r="B131" s="3" t="s">
        <v>30</v>
      </c>
      <c r="C131" s="3">
        <v>20448775</v>
      </c>
      <c r="D131" s="13" t="s">
        <v>244</v>
      </c>
      <c r="E131" s="16">
        <v>46022.593900463</v>
      </c>
      <c r="F131" s="3">
        <v>367.5</v>
      </c>
      <c r="G131" s="3">
        <v>0</v>
      </c>
      <c r="H131" s="3">
        <v>367.5</v>
      </c>
      <c r="I131" s="3">
        <v>16.97</v>
      </c>
      <c r="J131" s="3">
        <v>0</v>
      </c>
      <c r="K131" s="3">
        <v>16.97</v>
      </c>
      <c r="L131" s="3">
        <v>50.08</v>
      </c>
      <c r="M131" s="3">
        <v>651</v>
      </c>
      <c r="N131" s="3">
        <v>1.54</v>
      </c>
      <c r="O131" s="3">
        <v>20</v>
      </c>
      <c r="P131" s="3" t="s">
        <v>41</v>
      </c>
      <c r="Q131" s="3" t="s">
        <v>33</v>
      </c>
      <c r="R131" s="3" t="s">
        <v>148</v>
      </c>
      <c r="S131" s="3">
        <v>0</v>
      </c>
      <c r="T131" s="3">
        <v>1</v>
      </c>
      <c r="U131" s="3">
        <v>0</v>
      </c>
      <c r="V131" s="3" t="s">
        <v>35</v>
      </c>
      <c r="W131" s="3" t="s">
        <v>35</v>
      </c>
      <c r="X131" s="3" t="s">
        <v>35</v>
      </c>
      <c r="Y131" s="3" t="s">
        <v>35</v>
      </c>
      <c r="Z131" s="3" t="s">
        <v>35</v>
      </c>
      <c r="AA131" s="3" t="s">
        <v>35</v>
      </c>
    </row>
    <row r="132" s="3" customFormat="1" spans="1:27">
      <c r="A132" s="3" t="s">
        <v>112</v>
      </c>
      <c r="B132" s="3" t="s">
        <v>30</v>
      </c>
      <c r="C132" s="3">
        <v>22503005</v>
      </c>
      <c r="D132" s="13" t="s">
        <v>245</v>
      </c>
      <c r="E132" s="16">
        <v>46131.3665972222</v>
      </c>
      <c r="F132" s="3">
        <v>985.33</v>
      </c>
      <c r="G132" s="3">
        <v>2.28</v>
      </c>
      <c r="H132" s="3">
        <v>983.04</v>
      </c>
      <c r="I132" s="3">
        <v>43.5</v>
      </c>
      <c r="J132" s="3">
        <v>2.28</v>
      </c>
      <c r="K132" s="3">
        <v>41.22</v>
      </c>
      <c r="L132" s="3">
        <v>102.23</v>
      </c>
      <c r="M132" s="3">
        <v>1329</v>
      </c>
      <c r="N132" s="3">
        <v>102.23</v>
      </c>
      <c r="O132" s="3">
        <v>1329</v>
      </c>
      <c r="P132" s="3" t="s">
        <v>41</v>
      </c>
      <c r="Q132" s="3" t="s">
        <v>33</v>
      </c>
      <c r="R132" s="3" t="s">
        <v>148</v>
      </c>
      <c r="S132" s="3">
        <v>0</v>
      </c>
      <c r="T132" s="3">
        <v>66</v>
      </c>
      <c r="U132" s="3">
        <v>0</v>
      </c>
      <c r="V132" s="3" t="s">
        <v>35</v>
      </c>
      <c r="W132" s="3" t="s">
        <v>35</v>
      </c>
      <c r="X132" s="3" t="s">
        <v>35</v>
      </c>
      <c r="Y132" s="3" t="s">
        <v>35</v>
      </c>
      <c r="Z132" s="3" t="s">
        <v>35</v>
      </c>
      <c r="AA132" s="3" t="s">
        <v>35</v>
      </c>
    </row>
    <row r="133" s="3" customFormat="1" spans="1:27">
      <c r="A133" s="3" t="s">
        <v>112</v>
      </c>
      <c r="B133" s="3" t="s">
        <v>30</v>
      </c>
      <c r="C133" s="3">
        <v>22694405</v>
      </c>
      <c r="D133" s="13" t="s">
        <v>246</v>
      </c>
      <c r="E133" s="16">
        <v>46144.0734837963</v>
      </c>
      <c r="F133" s="3">
        <v>0.88</v>
      </c>
      <c r="G133" s="3">
        <v>0</v>
      </c>
      <c r="H133" s="3">
        <v>0.88</v>
      </c>
      <c r="I133" s="3">
        <v>0.76</v>
      </c>
      <c r="J133" s="3">
        <v>-0.12</v>
      </c>
      <c r="K133" s="3">
        <v>0.88</v>
      </c>
      <c r="L133" s="3">
        <v>80.38</v>
      </c>
      <c r="M133" s="3">
        <v>1045</v>
      </c>
      <c r="N133" s="3">
        <v>80.38</v>
      </c>
      <c r="O133" s="3">
        <v>1045</v>
      </c>
      <c r="P133" s="3" t="s">
        <v>41</v>
      </c>
      <c r="Q133" s="3" t="s">
        <v>33</v>
      </c>
      <c r="R133" s="3" t="s">
        <v>148</v>
      </c>
      <c r="S133" s="3">
        <v>0</v>
      </c>
      <c r="T133" s="3">
        <v>52</v>
      </c>
      <c r="U133" s="3">
        <v>0</v>
      </c>
      <c r="V133" s="3" t="s">
        <v>35</v>
      </c>
      <c r="W133" s="3" t="s">
        <v>35</v>
      </c>
      <c r="X133" s="3" t="s">
        <v>35</v>
      </c>
      <c r="Y133" s="3" t="s">
        <v>35</v>
      </c>
      <c r="Z133" s="3" t="s">
        <v>35</v>
      </c>
      <c r="AA133" s="3" t="s">
        <v>35</v>
      </c>
    </row>
    <row r="134" s="3" customFormat="1" spans="1:27">
      <c r="A134" s="3" t="s">
        <v>112</v>
      </c>
      <c r="B134" s="3" t="s">
        <v>30</v>
      </c>
      <c r="C134" s="3">
        <v>19920945</v>
      </c>
      <c r="D134" s="13" t="s">
        <v>247</v>
      </c>
      <c r="E134" s="16">
        <v>45996.6147337963</v>
      </c>
      <c r="F134" s="3">
        <v>427.54</v>
      </c>
      <c r="G134" s="3">
        <v>0.54</v>
      </c>
      <c r="H134" s="3">
        <v>427</v>
      </c>
      <c r="I134" s="3">
        <v>9.46</v>
      </c>
      <c r="J134" s="3">
        <v>0.54</v>
      </c>
      <c r="K134" s="3">
        <v>8.92</v>
      </c>
      <c r="L134" s="3">
        <v>76.38</v>
      </c>
      <c r="M134" s="3">
        <v>993</v>
      </c>
      <c r="N134" s="3">
        <v>5.69</v>
      </c>
      <c r="O134" s="3">
        <v>74</v>
      </c>
      <c r="P134" s="3" t="s">
        <v>32</v>
      </c>
      <c r="Q134" s="3" t="s">
        <v>33</v>
      </c>
      <c r="R134" s="3" t="s">
        <v>148</v>
      </c>
      <c r="S134" s="3">
        <v>0</v>
      </c>
      <c r="T134" s="3">
        <v>4</v>
      </c>
      <c r="U134" s="3">
        <v>0</v>
      </c>
      <c r="V134" s="3" t="s">
        <v>35</v>
      </c>
      <c r="W134" s="3" t="s">
        <v>35</v>
      </c>
      <c r="X134" s="3" t="s">
        <v>35</v>
      </c>
      <c r="Y134" s="3" t="s">
        <v>35</v>
      </c>
      <c r="Z134" s="3" t="s">
        <v>35</v>
      </c>
      <c r="AA134" s="3" t="s">
        <v>35</v>
      </c>
    </row>
    <row r="135" s="3" customFormat="1" spans="1:27">
      <c r="A135" s="3" t="s">
        <v>112</v>
      </c>
      <c r="B135" s="3" t="s">
        <v>30</v>
      </c>
      <c r="C135" s="3">
        <v>22636405</v>
      </c>
      <c r="D135" s="13" t="s">
        <v>248</v>
      </c>
      <c r="E135" s="16">
        <v>46140.4094791667</v>
      </c>
      <c r="F135" s="3">
        <v>992.04</v>
      </c>
      <c r="G135" s="3">
        <v>0</v>
      </c>
      <c r="H135" s="3">
        <v>992.04</v>
      </c>
      <c r="I135" s="3">
        <v>215.06</v>
      </c>
      <c r="J135" s="3">
        <v>0</v>
      </c>
      <c r="K135" s="3">
        <v>215.06</v>
      </c>
      <c r="L135" s="3">
        <v>223</v>
      </c>
      <c r="M135" s="3">
        <v>2899</v>
      </c>
      <c r="N135" s="3">
        <v>223</v>
      </c>
      <c r="O135" s="3">
        <v>2899</v>
      </c>
      <c r="P135" s="3" t="s">
        <v>41</v>
      </c>
      <c r="Q135" s="3" t="s">
        <v>33</v>
      </c>
      <c r="R135" s="3" t="s">
        <v>148</v>
      </c>
      <c r="S135" s="3">
        <v>0</v>
      </c>
      <c r="T135" s="3">
        <v>145</v>
      </c>
      <c r="U135" s="3">
        <v>0</v>
      </c>
      <c r="V135" s="3" t="s">
        <v>35</v>
      </c>
      <c r="W135" s="3" t="s">
        <v>35</v>
      </c>
      <c r="X135" s="3" t="s">
        <v>35</v>
      </c>
      <c r="Y135" s="3" t="s">
        <v>35</v>
      </c>
      <c r="Z135" s="3" t="s">
        <v>35</v>
      </c>
      <c r="AA135" s="3" t="s">
        <v>35</v>
      </c>
    </row>
    <row r="136" s="3" customFormat="1" spans="1:27">
      <c r="A136" s="3" t="s">
        <v>112</v>
      </c>
      <c r="B136" s="3" t="s">
        <v>30</v>
      </c>
      <c r="C136" s="3">
        <v>20016693</v>
      </c>
      <c r="D136" s="13" t="s">
        <v>249</v>
      </c>
      <c r="E136" s="16">
        <v>46001.6045833333</v>
      </c>
      <c r="F136" s="3">
        <v>1695.08</v>
      </c>
      <c r="G136" s="3">
        <v>195.49</v>
      </c>
      <c r="H136" s="3">
        <v>1499.59</v>
      </c>
      <c r="I136" s="3">
        <v>-180.63</v>
      </c>
      <c r="J136" s="3">
        <v>-223.33</v>
      </c>
      <c r="K136" s="3">
        <v>42.7</v>
      </c>
      <c r="L136" s="3">
        <v>333.08</v>
      </c>
      <c r="M136" s="3">
        <v>4330</v>
      </c>
      <c r="N136" s="3">
        <v>231.92</v>
      </c>
      <c r="O136" s="3">
        <v>3015</v>
      </c>
      <c r="P136" s="3" t="s">
        <v>61</v>
      </c>
      <c r="Q136" s="3" t="s">
        <v>33</v>
      </c>
      <c r="R136" s="3" t="s">
        <v>148</v>
      </c>
      <c r="S136" s="3">
        <v>120</v>
      </c>
      <c r="T136" s="3">
        <v>75</v>
      </c>
      <c r="U136" s="3">
        <v>0</v>
      </c>
      <c r="V136" s="3" t="s">
        <v>35</v>
      </c>
      <c r="W136" s="3" t="s">
        <v>35</v>
      </c>
      <c r="X136" s="3" t="s">
        <v>35</v>
      </c>
      <c r="Y136" s="3" t="s">
        <v>35</v>
      </c>
      <c r="Z136" s="3" t="s">
        <v>35</v>
      </c>
      <c r="AA136" s="3" t="s">
        <v>35</v>
      </c>
    </row>
    <row r="137" s="3" customFormat="1" spans="1:27">
      <c r="A137" s="3" t="s">
        <v>112</v>
      </c>
      <c r="B137" s="3" t="s">
        <v>30</v>
      </c>
      <c r="C137" s="3">
        <v>17627685</v>
      </c>
      <c r="D137" s="13" t="s">
        <v>250</v>
      </c>
      <c r="E137" s="16">
        <v>45867.2434837963</v>
      </c>
      <c r="F137" s="3">
        <v>14650.03</v>
      </c>
      <c r="G137" s="3">
        <v>0.08</v>
      </c>
      <c r="H137" s="3">
        <v>14649.95</v>
      </c>
      <c r="I137" s="3">
        <v>232.22</v>
      </c>
      <c r="J137" s="3">
        <v>0.08</v>
      </c>
      <c r="K137" s="3">
        <v>232.14</v>
      </c>
      <c r="L137" s="3">
        <v>884.92</v>
      </c>
      <c r="M137" s="3">
        <v>11504</v>
      </c>
      <c r="N137" s="3">
        <v>438</v>
      </c>
      <c r="O137" s="3">
        <v>5694</v>
      </c>
      <c r="P137" s="3" t="s">
        <v>32</v>
      </c>
      <c r="Q137" s="3" t="s">
        <v>33</v>
      </c>
      <c r="R137" s="3" t="s">
        <v>148</v>
      </c>
      <c r="S137" s="3">
        <v>0</v>
      </c>
      <c r="T137" s="3">
        <v>285</v>
      </c>
      <c r="U137" s="3">
        <v>0</v>
      </c>
      <c r="V137" s="3" t="s">
        <v>35</v>
      </c>
      <c r="W137" s="3" t="s">
        <v>35</v>
      </c>
      <c r="X137" s="3" t="s">
        <v>35</v>
      </c>
      <c r="Y137" s="3" t="s">
        <v>35</v>
      </c>
      <c r="Z137" s="3" t="s">
        <v>35</v>
      </c>
      <c r="AA137" s="3" t="s">
        <v>35</v>
      </c>
    </row>
    <row r="138" s="3" customFormat="1" spans="1:27">
      <c r="A138" s="3" t="s">
        <v>112</v>
      </c>
      <c r="B138" s="3" t="s">
        <v>30</v>
      </c>
      <c r="C138" s="3">
        <v>17761593</v>
      </c>
      <c r="D138" s="13" t="s">
        <v>251</v>
      </c>
      <c r="E138" s="16">
        <v>45874.4694675926</v>
      </c>
      <c r="F138" s="3">
        <v>8838.7</v>
      </c>
      <c r="G138" s="3">
        <v>0</v>
      </c>
      <c r="H138" s="3">
        <v>8838.7</v>
      </c>
      <c r="I138" s="3">
        <v>973.21</v>
      </c>
      <c r="J138" s="3">
        <v>0</v>
      </c>
      <c r="K138" s="3">
        <v>973.21</v>
      </c>
      <c r="L138" s="3">
        <v>1551.08</v>
      </c>
      <c r="M138" s="3">
        <v>20164</v>
      </c>
      <c r="N138" s="3">
        <v>605.15</v>
      </c>
      <c r="O138" s="3">
        <v>7867</v>
      </c>
      <c r="P138" s="3" t="s">
        <v>41</v>
      </c>
      <c r="Q138" s="3" t="s">
        <v>42</v>
      </c>
      <c r="R138" s="3" t="s">
        <v>148</v>
      </c>
      <c r="S138" s="3">
        <v>0</v>
      </c>
      <c r="T138" s="3">
        <v>393</v>
      </c>
      <c r="U138" s="3">
        <v>0</v>
      </c>
      <c r="V138" s="3" t="s">
        <v>35</v>
      </c>
      <c r="W138" s="3" t="s">
        <v>35</v>
      </c>
      <c r="X138" s="3" t="s">
        <v>35</v>
      </c>
      <c r="Y138" s="3" t="s">
        <v>35</v>
      </c>
      <c r="Z138" s="3" t="s">
        <v>35</v>
      </c>
      <c r="AA138" s="3" t="s">
        <v>35</v>
      </c>
    </row>
    <row r="139" s="3" customFormat="1" spans="1:27">
      <c r="A139" s="3" t="s">
        <v>112</v>
      </c>
      <c r="B139" s="3" t="s">
        <v>30</v>
      </c>
      <c r="C139" s="3">
        <v>22898745</v>
      </c>
      <c r="D139" s="13" t="s">
        <v>252</v>
      </c>
      <c r="E139" s="16">
        <v>46158.5284375</v>
      </c>
      <c r="F139" s="3">
        <v>111.49</v>
      </c>
      <c r="G139" s="3">
        <v>0.08</v>
      </c>
      <c r="H139" s="3">
        <v>111.41</v>
      </c>
      <c r="I139" s="3">
        <v>60.92</v>
      </c>
      <c r="J139" s="3">
        <v>0.08</v>
      </c>
      <c r="K139" s="3">
        <v>60.85</v>
      </c>
      <c r="L139" s="3">
        <v>60.92</v>
      </c>
      <c r="M139" s="3">
        <v>792</v>
      </c>
      <c r="N139" s="3">
        <v>60.92</v>
      </c>
      <c r="O139" s="3">
        <v>792</v>
      </c>
      <c r="P139" s="3" t="s">
        <v>41</v>
      </c>
      <c r="Q139" s="3" t="s">
        <v>33</v>
      </c>
      <c r="R139" s="3" t="s">
        <v>148</v>
      </c>
      <c r="S139" s="3">
        <v>0</v>
      </c>
      <c r="T139" s="3">
        <v>40</v>
      </c>
      <c r="U139" s="3">
        <v>0</v>
      </c>
      <c r="V139" s="3" t="s">
        <v>35</v>
      </c>
      <c r="W139" s="3" t="s">
        <v>35</v>
      </c>
      <c r="X139" s="3" t="s">
        <v>35</v>
      </c>
      <c r="Y139" s="3" t="s">
        <v>35</v>
      </c>
      <c r="Z139" s="3" t="s">
        <v>35</v>
      </c>
      <c r="AA139" s="3" t="s">
        <v>35</v>
      </c>
    </row>
    <row r="140" s="3" customFormat="1" spans="1:27">
      <c r="A140" s="3" t="s">
        <v>112</v>
      </c>
      <c r="B140" s="3" t="s">
        <v>30</v>
      </c>
      <c r="C140" s="3">
        <v>19091913</v>
      </c>
      <c r="D140" s="13" t="s">
        <v>253</v>
      </c>
      <c r="E140" s="16">
        <v>45953.7316203704</v>
      </c>
      <c r="F140" s="3">
        <v>1738.91</v>
      </c>
      <c r="G140" s="3">
        <v>3.15</v>
      </c>
      <c r="H140" s="3">
        <v>1735.75</v>
      </c>
      <c r="I140" s="3">
        <v>50.37</v>
      </c>
      <c r="J140" s="3">
        <v>3.15</v>
      </c>
      <c r="K140" s="3">
        <v>47.21</v>
      </c>
      <c r="L140" s="3">
        <v>297.62</v>
      </c>
      <c r="M140" s="3">
        <v>3869</v>
      </c>
      <c r="N140" s="3">
        <v>210.77</v>
      </c>
      <c r="O140" s="3">
        <v>2740</v>
      </c>
      <c r="P140" s="3" t="s">
        <v>41</v>
      </c>
      <c r="Q140" s="3" t="s">
        <v>33</v>
      </c>
      <c r="R140" s="3" t="s">
        <v>148</v>
      </c>
      <c r="S140" s="3">
        <v>0</v>
      </c>
      <c r="T140" s="3">
        <v>137</v>
      </c>
      <c r="U140" s="3">
        <v>0</v>
      </c>
      <c r="V140" s="3" t="s">
        <v>35</v>
      </c>
      <c r="W140" s="3" t="s">
        <v>35</v>
      </c>
      <c r="X140" s="3" t="s">
        <v>35</v>
      </c>
      <c r="Y140" s="3" t="s">
        <v>35</v>
      </c>
      <c r="Z140" s="3" t="s">
        <v>35</v>
      </c>
      <c r="AA140" s="3" t="s">
        <v>35</v>
      </c>
    </row>
    <row r="141" s="3" customFormat="1" spans="1:27">
      <c r="A141" s="3" t="s">
        <v>112</v>
      </c>
      <c r="B141" s="3" t="s">
        <v>30</v>
      </c>
      <c r="C141" s="3">
        <v>18953554</v>
      </c>
      <c r="D141" s="13" t="s">
        <v>254</v>
      </c>
      <c r="E141" s="16">
        <v>45945.5577662037</v>
      </c>
      <c r="F141" s="3">
        <v>1739.21</v>
      </c>
      <c r="G141" s="3">
        <v>0</v>
      </c>
      <c r="H141" s="3">
        <v>1739.21</v>
      </c>
      <c r="I141" s="3">
        <v>199.81</v>
      </c>
      <c r="J141" s="3">
        <v>0</v>
      </c>
      <c r="K141" s="3">
        <v>199.81</v>
      </c>
      <c r="L141" s="3">
        <v>281.77</v>
      </c>
      <c r="M141" s="3">
        <v>3663</v>
      </c>
      <c r="N141" s="3">
        <v>6.15</v>
      </c>
      <c r="O141" s="3">
        <v>80</v>
      </c>
      <c r="P141" s="3" t="s">
        <v>41</v>
      </c>
      <c r="Q141" s="3" t="s">
        <v>33</v>
      </c>
      <c r="R141" s="3" t="s">
        <v>148</v>
      </c>
      <c r="S141" s="3">
        <v>0</v>
      </c>
      <c r="T141" s="3">
        <v>4</v>
      </c>
      <c r="U141" s="3">
        <v>0</v>
      </c>
      <c r="V141" s="3" t="s">
        <v>35</v>
      </c>
      <c r="W141" s="3" t="s">
        <v>35</v>
      </c>
      <c r="X141" s="3" t="s">
        <v>35</v>
      </c>
      <c r="Y141" s="3" t="s">
        <v>35</v>
      </c>
      <c r="Z141" s="3" t="s">
        <v>35</v>
      </c>
      <c r="AA141" s="3" t="s">
        <v>35</v>
      </c>
    </row>
    <row r="142" s="3" customFormat="1" spans="1:27">
      <c r="A142" s="3" t="s">
        <v>112</v>
      </c>
      <c r="B142" s="3" t="s">
        <v>30</v>
      </c>
      <c r="C142" s="3">
        <v>20437494</v>
      </c>
      <c r="D142" s="13" t="s">
        <v>255</v>
      </c>
      <c r="E142" s="16">
        <v>46021.8883912037</v>
      </c>
      <c r="F142" s="3">
        <v>833.18</v>
      </c>
      <c r="G142" s="3">
        <v>0</v>
      </c>
      <c r="H142" s="3">
        <v>833.18</v>
      </c>
      <c r="I142" s="3">
        <v>31.69</v>
      </c>
      <c r="J142" s="3">
        <v>0</v>
      </c>
      <c r="K142" s="3">
        <v>31.69</v>
      </c>
      <c r="L142" s="3">
        <v>184.31</v>
      </c>
      <c r="M142" s="3">
        <v>2396</v>
      </c>
      <c r="N142" s="3">
        <v>27.92</v>
      </c>
      <c r="O142" s="3">
        <v>363</v>
      </c>
      <c r="P142" s="3" t="s">
        <v>32</v>
      </c>
      <c r="Q142" s="3" t="s">
        <v>33</v>
      </c>
      <c r="R142" s="3" t="s">
        <v>148</v>
      </c>
      <c r="S142" s="3">
        <v>0</v>
      </c>
      <c r="T142" s="3">
        <v>18</v>
      </c>
      <c r="U142" s="3">
        <v>0</v>
      </c>
      <c r="V142" s="3" t="s">
        <v>35</v>
      </c>
      <c r="W142" s="3" t="s">
        <v>35</v>
      </c>
      <c r="X142" s="3" t="s">
        <v>35</v>
      </c>
      <c r="Y142" s="3" t="s">
        <v>35</v>
      </c>
      <c r="Z142" s="3" t="s">
        <v>35</v>
      </c>
      <c r="AA142" s="3" t="s">
        <v>35</v>
      </c>
    </row>
    <row r="143" s="3" customFormat="1" spans="1:27">
      <c r="A143" s="3" t="s">
        <v>112</v>
      </c>
      <c r="B143" s="3" t="s">
        <v>30</v>
      </c>
      <c r="C143" s="3">
        <v>22481285</v>
      </c>
      <c r="D143" s="13" t="s">
        <v>256</v>
      </c>
      <c r="E143" s="16">
        <v>46129.6806481481</v>
      </c>
      <c r="F143" s="3">
        <v>8651.62</v>
      </c>
      <c r="G143" s="3">
        <v>0.38</v>
      </c>
      <c r="H143" s="3">
        <v>8651.23</v>
      </c>
      <c r="I143" s="3">
        <v>390.28</v>
      </c>
      <c r="J143" s="3">
        <v>0.23</v>
      </c>
      <c r="K143" s="3">
        <v>390.04</v>
      </c>
      <c r="L143" s="3">
        <v>1505.69</v>
      </c>
      <c r="M143" s="3">
        <v>19574</v>
      </c>
      <c r="N143" s="3">
        <v>1505.69</v>
      </c>
      <c r="O143" s="3">
        <v>19574</v>
      </c>
      <c r="P143" s="3" t="s">
        <v>41</v>
      </c>
      <c r="Q143" s="3" t="s">
        <v>42</v>
      </c>
      <c r="R143" s="3" t="s">
        <v>148</v>
      </c>
      <c r="S143" s="3">
        <v>0</v>
      </c>
      <c r="T143" s="3">
        <v>979</v>
      </c>
      <c r="U143" s="3">
        <v>0</v>
      </c>
      <c r="V143" s="3" t="s">
        <v>35</v>
      </c>
      <c r="W143" s="3" t="s">
        <v>35</v>
      </c>
      <c r="X143" s="3" t="s">
        <v>35</v>
      </c>
      <c r="Y143" s="3" t="s">
        <v>35</v>
      </c>
      <c r="Z143" s="3" t="s">
        <v>35</v>
      </c>
      <c r="AA143" s="3" t="s">
        <v>35</v>
      </c>
    </row>
    <row r="144" s="3" customFormat="1" spans="1:27">
      <c r="A144" s="3" t="s">
        <v>112</v>
      </c>
      <c r="B144" s="3" t="s">
        <v>30</v>
      </c>
      <c r="C144" s="3">
        <v>20673873</v>
      </c>
      <c r="D144" s="13" t="s">
        <v>257</v>
      </c>
      <c r="E144" s="16">
        <v>46032.6189351852</v>
      </c>
      <c r="F144" s="3">
        <v>234.95</v>
      </c>
      <c r="G144" s="3">
        <v>0</v>
      </c>
      <c r="H144" s="3">
        <v>234.95</v>
      </c>
      <c r="I144" s="3">
        <v>2.76</v>
      </c>
      <c r="J144" s="3">
        <v>0</v>
      </c>
      <c r="K144" s="3">
        <v>2.76</v>
      </c>
      <c r="L144" s="3">
        <v>59.69</v>
      </c>
      <c r="M144" s="3">
        <v>776</v>
      </c>
      <c r="N144" s="3">
        <v>5.46</v>
      </c>
      <c r="O144" s="3">
        <v>71</v>
      </c>
      <c r="P144" s="3" t="s">
        <v>41</v>
      </c>
      <c r="Q144" s="3" t="s">
        <v>33</v>
      </c>
      <c r="R144" s="3" t="s">
        <v>148</v>
      </c>
      <c r="S144" s="3">
        <v>0</v>
      </c>
      <c r="T144" s="3">
        <v>4</v>
      </c>
      <c r="U144" s="3">
        <v>0</v>
      </c>
      <c r="V144" s="3" t="s">
        <v>35</v>
      </c>
      <c r="W144" s="3" t="s">
        <v>35</v>
      </c>
      <c r="X144" s="3" t="s">
        <v>35</v>
      </c>
      <c r="Y144" s="3" t="s">
        <v>35</v>
      </c>
      <c r="Z144" s="3" t="s">
        <v>35</v>
      </c>
      <c r="AA144" s="3" t="s">
        <v>35</v>
      </c>
    </row>
    <row r="145" s="3" customFormat="1" spans="1:27">
      <c r="A145" s="3" t="s">
        <v>112</v>
      </c>
      <c r="B145" s="3" t="s">
        <v>30</v>
      </c>
      <c r="C145" s="3">
        <v>20591393</v>
      </c>
      <c r="D145" s="13" t="s">
        <v>258</v>
      </c>
      <c r="E145" s="16">
        <v>46029.3884143519</v>
      </c>
      <c r="F145" s="3">
        <v>25810.01</v>
      </c>
      <c r="G145" s="3">
        <v>7.69</v>
      </c>
      <c r="H145" s="3">
        <v>25802.32</v>
      </c>
      <c r="I145" s="3">
        <v>788.69</v>
      </c>
      <c r="J145" s="3">
        <v>7.69</v>
      </c>
      <c r="K145" s="3">
        <v>781</v>
      </c>
      <c r="L145" s="3">
        <v>3040.85</v>
      </c>
      <c r="M145" s="3">
        <v>39531</v>
      </c>
      <c r="N145" s="3">
        <v>1215.38</v>
      </c>
      <c r="O145" s="3">
        <v>15800</v>
      </c>
      <c r="P145" s="3" t="s">
        <v>41</v>
      </c>
      <c r="Q145" s="3" t="s">
        <v>42</v>
      </c>
      <c r="R145" s="3" t="s">
        <v>148</v>
      </c>
      <c r="S145" s="3">
        <v>0</v>
      </c>
      <c r="T145" s="3">
        <v>790</v>
      </c>
      <c r="U145" s="3">
        <v>1</v>
      </c>
      <c r="V145" s="3">
        <v>1</v>
      </c>
      <c r="W145" s="3" t="s">
        <v>35</v>
      </c>
      <c r="X145" s="3" t="s">
        <v>35</v>
      </c>
      <c r="Y145" s="3" t="s">
        <v>35</v>
      </c>
      <c r="Z145" s="3" t="s">
        <v>35</v>
      </c>
      <c r="AA145" s="3" t="s">
        <v>35</v>
      </c>
    </row>
    <row r="146" s="3" customFormat="1" spans="1:27">
      <c r="A146" s="3" t="s">
        <v>112</v>
      </c>
      <c r="B146" s="3" t="s">
        <v>30</v>
      </c>
      <c r="C146" s="3">
        <v>19208203</v>
      </c>
      <c r="D146" s="13" t="s">
        <v>259</v>
      </c>
      <c r="E146" s="16">
        <v>45961.2377314815</v>
      </c>
      <c r="F146" s="3">
        <v>773.05</v>
      </c>
      <c r="G146" s="3">
        <v>0.31</v>
      </c>
      <c r="H146" s="3">
        <v>772.74</v>
      </c>
      <c r="I146" s="3">
        <v>1.92</v>
      </c>
      <c r="J146" s="3">
        <v>0.18</v>
      </c>
      <c r="K146" s="3">
        <v>1.74</v>
      </c>
      <c r="L146" s="3">
        <v>138.85</v>
      </c>
      <c r="M146" s="3">
        <v>1805</v>
      </c>
      <c r="N146" s="3">
        <v>6.38</v>
      </c>
      <c r="O146" s="3">
        <v>83</v>
      </c>
      <c r="P146" s="3" t="s">
        <v>32</v>
      </c>
      <c r="Q146" s="3" t="s">
        <v>33</v>
      </c>
      <c r="R146" s="3" t="s">
        <v>148</v>
      </c>
      <c r="S146" s="3">
        <v>0</v>
      </c>
      <c r="T146" s="3">
        <v>4</v>
      </c>
      <c r="U146" s="3">
        <v>0</v>
      </c>
      <c r="V146" s="3" t="s">
        <v>35</v>
      </c>
      <c r="W146" s="3" t="s">
        <v>35</v>
      </c>
      <c r="X146" s="3" t="s">
        <v>35</v>
      </c>
      <c r="Y146" s="3" t="s">
        <v>35</v>
      </c>
      <c r="Z146" s="3" t="s">
        <v>35</v>
      </c>
      <c r="AA146" s="3" t="s">
        <v>35</v>
      </c>
    </row>
    <row r="147" s="3" customFormat="1" spans="1:27">
      <c r="A147" s="3" t="s">
        <v>112</v>
      </c>
      <c r="B147" s="3" t="s">
        <v>30</v>
      </c>
      <c r="C147" s="3">
        <v>22634273</v>
      </c>
      <c r="D147" s="13" t="s">
        <v>260</v>
      </c>
      <c r="E147" s="16">
        <v>46140.2569675926</v>
      </c>
      <c r="F147" s="3">
        <v>784.43</v>
      </c>
      <c r="G147" s="3">
        <v>1.9</v>
      </c>
      <c r="H147" s="3">
        <v>782.53</v>
      </c>
      <c r="I147" s="3">
        <v>-14.03</v>
      </c>
      <c r="J147" s="3">
        <v>1.79</v>
      </c>
      <c r="K147" s="3">
        <v>-15.82</v>
      </c>
      <c r="L147" s="3">
        <v>219.46</v>
      </c>
      <c r="M147" s="3">
        <v>2853</v>
      </c>
      <c r="N147" s="3">
        <v>219.46</v>
      </c>
      <c r="O147" s="3">
        <v>2853</v>
      </c>
      <c r="P147" s="3" t="s">
        <v>32</v>
      </c>
      <c r="Q147" s="3" t="s">
        <v>33</v>
      </c>
      <c r="R147" s="3" t="s">
        <v>148</v>
      </c>
      <c r="S147" s="3">
        <v>0</v>
      </c>
      <c r="T147" s="3">
        <v>143</v>
      </c>
      <c r="U147" s="3">
        <v>0</v>
      </c>
      <c r="V147" s="3" t="s">
        <v>35</v>
      </c>
      <c r="W147" s="3" t="s">
        <v>35</v>
      </c>
      <c r="X147" s="3" t="s">
        <v>35</v>
      </c>
      <c r="Y147" s="3" t="s">
        <v>35</v>
      </c>
      <c r="Z147" s="3" t="s">
        <v>35</v>
      </c>
      <c r="AA147" s="3" t="s">
        <v>35</v>
      </c>
    </row>
    <row r="148" s="3" customFormat="1" spans="1:27">
      <c r="A148" s="3" t="s">
        <v>112</v>
      </c>
      <c r="B148" s="3" t="s">
        <v>30</v>
      </c>
      <c r="C148" s="3">
        <v>20986425</v>
      </c>
      <c r="D148" s="13" t="s">
        <v>261</v>
      </c>
      <c r="E148" s="16">
        <v>46048.8818634259</v>
      </c>
      <c r="F148" s="3">
        <v>866.38</v>
      </c>
      <c r="G148" s="3">
        <v>0</v>
      </c>
      <c r="H148" s="3">
        <v>866.38</v>
      </c>
      <c r="I148" s="3">
        <v>159.31</v>
      </c>
      <c r="J148" s="3">
        <v>0</v>
      </c>
      <c r="K148" s="3">
        <v>159.31</v>
      </c>
      <c r="L148" s="3">
        <v>159.31</v>
      </c>
      <c r="M148" s="3">
        <v>2071</v>
      </c>
      <c r="N148" s="3">
        <v>109.77</v>
      </c>
      <c r="O148" s="3">
        <v>1427</v>
      </c>
      <c r="P148" s="3" t="s">
        <v>41</v>
      </c>
      <c r="Q148" s="3" t="s">
        <v>33</v>
      </c>
      <c r="R148" s="3" t="s">
        <v>148</v>
      </c>
      <c r="S148" s="3">
        <v>0</v>
      </c>
      <c r="T148" s="3">
        <v>71</v>
      </c>
      <c r="U148" s="3">
        <v>0</v>
      </c>
      <c r="V148" s="3" t="s">
        <v>35</v>
      </c>
      <c r="W148" s="3" t="s">
        <v>35</v>
      </c>
      <c r="X148" s="3" t="s">
        <v>35</v>
      </c>
      <c r="Y148" s="3" t="s">
        <v>35</v>
      </c>
      <c r="Z148" s="3" t="s">
        <v>35</v>
      </c>
      <c r="AA148" s="3" t="s">
        <v>35</v>
      </c>
    </row>
    <row r="149" s="3" customFormat="1" spans="1:27">
      <c r="A149" s="3" t="s">
        <v>112</v>
      </c>
      <c r="B149" s="3" t="s">
        <v>30</v>
      </c>
      <c r="C149" s="3">
        <v>11869543</v>
      </c>
      <c r="D149" s="13" t="s">
        <v>262</v>
      </c>
      <c r="E149" s="16">
        <v>45292.3863657407</v>
      </c>
      <c r="F149" s="3">
        <v>255.68</v>
      </c>
      <c r="G149" s="3">
        <v>5</v>
      </c>
      <c r="H149" s="3">
        <v>250.68</v>
      </c>
      <c r="I149" s="3">
        <v>19.34</v>
      </c>
      <c r="J149" s="3">
        <v>0.59</v>
      </c>
      <c r="K149" s="3">
        <v>18.75</v>
      </c>
      <c r="L149" s="3">
        <v>64.62</v>
      </c>
      <c r="M149" s="3">
        <v>840</v>
      </c>
      <c r="N149" s="3">
        <v>30.77</v>
      </c>
      <c r="O149" s="3">
        <v>400</v>
      </c>
      <c r="P149" s="3" t="s">
        <v>32</v>
      </c>
      <c r="Q149" s="3" t="s">
        <v>33</v>
      </c>
      <c r="R149" s="3" t="s">
        <v>148</v>
      </c>
      <c r="S149" s="3">
        <v>0</v>
      </c>
      <c r="T149" s="3">
        <v>20</v>
      </c>
      <c r="U149" s="3">
        <v>0</v>
      </c>
      <c r="V149" s="3" t="s">
        <v>35</v>
      </c>
      <c r="W149" s="3" t="s">
        <v>35</v>
      </c>
      <c r="X149" s="3" t="s">
        <v>35</v>
      </c>
      <c r="Y149" s="3" t="s">
        <v>35</v>
      </c>
      <c r="Z149" s="3" t="s">
        <v>35</v>
      </c>
      <c r="AA149" s="3" t="s">
        <v>35</v>
      </c>
    </row>
    <row r="150" s="3" customFormat="1" spans="1:27">
      <c r="A150" s="3" t="s">
        <v>112</v>
      </c>
      <c r="B150" s="3" t="s">
        <v>30</v>
      </c>
      <c r="C150" s="3">
        <v>22912964</v>
      </c>
      <c r="D150" s="13" t="s">
        <v>263</v>
      </c>
      <c r="E150" s="16">
        <v>46159.6226851852</v>
      </c>
      <c r="F150" s="3">
        <v>286.88</v>
      </c>
      <c r="G150" s="3">
        <v>0</v>
      </c>
      <c r="H150" s="3">
        <v>286.88</v>
      </c>
      <c r="I150" s="3">
        <v>25.91</v>
      </c>
      <c r="J150" s="3">
        <v>0</v>
      </c>
      <c r="K150" s="3">
        <v>25.91</v>
      </c>
      <c r="L150" s="3">
        <v>75.38</v>
      </c>
      <c r="M150" s="3">
        <v>980</v>
      </c>
      <c r="N150" s="3">
        <v>75.38</v>
      </c>
      <c r="O150" s="3">
        <v>980</v>
      </c>
      <c r="P150" s="3" t="s">
        <v>32</v>
      </c>
      <c r="Q150" s="3" t="s">
        <v>33</v>
      </c>
      <c r="R150" s="3" t="s">
        <v>148</v>
      </c>
      <c r="S150" s="3">
        <v>0</v>
      </c>
      <c r="T150" s="3">
        <v>49</v>
      </c>
      <c r="U150" s="3">
        <v>0</v>
      </c>
      <c r="V150" s="3" t="s">
        <v>35</v>
      </c>
      <c r="W150" s="3" t="s">
        <v>35</v>
      </c>
      <c r="X150" s="3" t="s">
        <v>35</v>
      </c>
      <c r="Y150" s="3" t="s">
        <v>35</v>
      </c>
      <c r="Z150" s="3" t="s">
        <v>35</v>
      </c>
      <c r="AA150" s="3" t="s">
        <v>35</v>
      </c>
    </row>
    <row r="151" s="3" customFormat="1" spans="1:27">
      <c r="A151" s="3" t="s">
        <v>112</v>
      </c>
      <c r="B151" s="3" t="s">
        <v>30</v>
      </c>
      <c r="C151" s="3">
        <v>21704435</v>
      </c>
      <c r="D151" s="13" t="s">
        <v>264</v>
      </c>
      <c r="E151" s="16">
        <v>46085.8965856481</v>
      </c>
      <c r="F151" s="3">
        <v>3505.18</v>
      </c>
      <c r="G151" s="3">
        <v>0</v>
      </c>
      <c r="H151" s="3">
        <v>3505.18</v>
      </c>
      <c r="I151" s="3">
        <v>13.36</v>
      </c>
      <c r="J151" s="3">
        <v>0</v>
      </c>
      <c r="K151" s="3">
        <v>13.36</v>
      </c>
      <c r="L151" s="3">
        <v>559.31</v>
      </c>
      <c r="M151" s="3">
        <v>7271</v>
      </c>
      <c r="N151" s="3">
        <v>559.23</v>
      </c>
      <c r="O151" s="3">
        <v>7270</v>
      </c>
      <c r="P151" s="3" t="s">
        <v>41</v>
      </c>
      <c r="Q151" s="3" t="s">
        <v>33</v>
      </c>
      <c r="R151" s="3" t="s">
        <v>148</v>
      </c>
      <c r="S151" s="3">
        <v>0</v>
      </c>
      <c r="T151" s="3">
        <v>364</v>
      </c>
      <c r="U151" s="3">
        <v>0</v>
      </c>
      <c r="V151" s="3" t="s">
        <v>35</v>
      </c>
      <c r="W151" s="3" t="s">
        <v>35</v>
      </c>
      <c r="X151" s="3" t="s">
        <v>35</v>
      </c>
      <c r="Y151" s="3" t="s">
        <v>35</v>
      </c>
      <c r="Z151" s="3" t="s">
        <v>35</v>
      </c>
      <c r="AA151" s="3" t="s">
        <v>35</v>
      </c>
    </row>
    <row r="152" s="3" customFormat="1" spans="1:27">
      <c r="A152" s="3" t="s">
        <v>112</v>
      </c>
      <c r="B152" s="3" t="s">
        <v>30</v>
      </c>
      <c r="C152" s="3">
        <v>10229403</v>
      </c>
      <c r="D152" s="13" t="s">
        <v>265</v>
      </c>
      <c r="E152" s="16">
        <v>45120.3491898148</v>
      </c>
      <c r="F152" s="3">
        <v>492.69</v>
      </c>
      <c r="G152" s="3">
        <v>8.85</v>
      </c>
      <c r="H152" s="3">
        <v>483.84</v>
      </c>
      <c r="I152" s="3">
        <v>28.96</v>
      </c>
      <c r="J152" s="3">
        <v>4.96</v>
      </c>
      <c r="K152" s="3">
        <v>24.01</v>
      </c>
      <c r="L152" s="3">
        <v>55.54</v>
      </c>
      <c r="M152" s="3">
        <v>722</v>
      </c>
      <c r="N152" s="3">
        <v>10.23</v>
      </c>
      <c r="O152" s="3">
        <v>133</v>
      </c>
      <c r="P152" s="3" t="s">
        <v>41</v>
      </c>
      <c r="Q152" s="3" t="s">
        <v>33</v>
      </c>
      <c r="R152" s="3" t="s">
        <v>148</v>
      </c>
      <c r="S152" s="3">
        <v>0</v>
      </c>
      <c r="T152" s="3">
        <v>7</v>
      </c>
      <c r="U152" s="3">
        <v>0</v>
      </c>
      <c r="V152" s="3" t="s">
        <v>35</v>
      </c>
      <c r="W152" s="3" t="s">
        <v>35</v>
      </c>
      <c r="X152" s="3" t="s">
        <v>35</v>
      </c>
      <c r="Y152" s="3" t="s">
        <v>35</v>
      </c>
      <c r="Z152" s="3" t="s">
        <v>35</v>
      </c>
      <c r="AA152" s="3" t="s">
        <v>35</v>
      </c>
    </row>
    <row r="153" s="3" customFormat="1" spans="1:27">
      <c r="A153" s="3" t="s">
        <v>112</v>
      </c>
      <c r="B153" s="3" t="s">
        <v>30</v>
      </c>
      <c r="C153" s="3">
        <v>22854244</v>
      </c>
      <c r="D153" s="13" t="s">
        <v>266</v>
      </c>
      <c r="E153" s="16">
        <v>46156.0816203704</v>
      </c>
      <c r="F153" s="3">
        <v>785.69</v>
      </c>
      <c r="G153" s="3">
        <v>40.08</v>
      </c>
      <c r="H153" s="3">
        <v>745.62</v>
      </c>
      <c r="I153" s="3">
        <v>-238.98</v>
      </c>
      <c r="J153" s="3">
        <v>33.9</v>
      </c>
      <c r="K153" s="3">
        <v>-272.88</v>
      </c>
      <c r="L153" s="3">
        <v>115.85</v>
      </c>
      <c r="M153" s="3">
        <v>1506</v>
      </c>
      <c r="N153" s="3">
        <v>115.85</v>
      </c>
      <c r="O153" s="3">
        <v>1506</v>
      </c>
      <c r="P153" s="3" t="s">
        <v>41</v>
      </c>
      <c r="Q153" s="3" t="s">
        <v>33</v>
      </c>
      <c r="R153" s="3" t="s">
        <v>148</v>
      </c>
      <c r="S153" s="3">
        <v>0</v>
      </c>
      <c r="T153" s="3">
        <v>75</v>
      </c>
      <c r="U153" s="3">
        <v>0</v>
      </c>
      <c r="V153" s="3" t="s">
        <v>35</v>
      </c>
      <c r="W153" s="3" t="s">
        <v>35</v>
      </c>
      <c r="X153" s="3" t="s">
        <v>35</v>
      </c>
      <c r="Y153" s="3" t="s">
        <v>35</v>
      </c>
      <c r="Z153" s="3" t="s">
        <v>35</v>
      </c>
      <c r="AA153" s="3" t="s">
        <v>35</v>
      </c>
    </row>
    <row r="154" s="3" customFormat="1" spans="1:27">
      <c r="A154" s="3" t="s">
        <v>112</v>
      </c>
      <c r="B154" s="3" t="s">
        <v>30</v>
      </c>
      <c r="C154" s="3">
        <v>19679654</v>
      </c>
      <c r="D154" s="13" t="s">
        <v>267</v>
      </c>
      <c r="E154" s="16">
        <v>45985.4813310185</v>
      </c>
      <c r="F154" s="3">
        <v>887.61</v>
      </c>
      <c r="G154" s="3">
        <v>0.08</v>
      </c>
      <c r="H154" s="3">
        <v>887.54</v>
      </c>
      <c r="I154" s="3">
        <v>57.27</v>
      </c>
      <c r="J154" s="3">
        <v>0.08</v>
      </c>
      <c r="K154" s="3">
        <v>57.2</v>
      </c>
      <c r="L154" s="3">
        <v>241.54</v>
      </c>
      <c r="M154" s="3">
        <v>3140</v>
      </c>
      <c r="N154" s="3">
        <v>92.08</v>
      </c>
      <c r="O154" s="3">
        <v>1197</v>
      </c>
      <c r="P154" s="3" t="s">
        <v>41</v>
      </c>
      <c r="Q154" s="3" t="s">
        <v>33</v>
      </c>
      <c r="R154" s="3" t="s">
        <v>148</v>
      </c>
      <c r="S154" s="3">
        <v>0</v>
      </c>
      <c r="T154" s="3">
        <v>60</v>
      </c>
      <c r="U154" s="3">
        <v>0</v>
      </c>
      <c r="V154" s="3" t="s">
        <v>35</v>
      </c>
      <c r="W154" s="3" t="s">
        <v>35</v>
      </c>
      <c r="X154" s="3" t="s">
        <v>35</v>
      </c>
      <c r="Y154" s="3" t="s">
        <v>35</v>
      </c>
      <c r="Z154" s="3" t="s">
        <v>35</v>
      </c>
      <c r="AA154" s="3" t="s">
        <v>35</v>
      </c>
    </row>
    <row r="155" s="3" customFormat="1" spans="1:27">
      <c r="A155" s="3" t="s">
        <v>112</v>
      </c>
      <c r="B155" s="3" t="s">
        <v>30</v>
      </c>
      <c r="C155" s="3">
        <v>22933633</v>
      </c>
      <c r="D155" s="13" t="s">
        <v>268</v>
      </c>
      <c r="E155" s="16">
        <v>46161.5536342593</v>
      </c>
      <c r="F155" s="3">
        <v>2030.77</v>
      </c>
      <c r="G155" s="3">
        <v>0</v>
      </c>
      <c r="H155" s="3">
        <v>2030.77</v>
      </c>
      <c r="I155" s="3">
        <v>483.69</v>
      </c>
      <c r="J155" s="3">
        <v>0</v>
      </c>
      <c r="K155" s="3">
        <v>483.69</v>
      </c>
      <c r="L155" s="3">
        <v>500</v>
      </c>
      <c r="M155" s="3">
        <v>6500</v>
      </c>
      <c r="N155" s="3">
        <v>500</v>
      </c>
      <c r="O155" s="3">
        <v>6500</v>
      </c>
      <c r="P155" s="3" t="s">
        <v>41</v>
      </c>
      <c r="Q155" s="3" t="s">
        <v>33</v>
      </c>
      <c r="R155" s="3" t="s">
        <v>148</v>
      </c>
      <c r="S155" s="3">
        <v>0</v>
      </c>
      <c r="T155" s="3">
        <v>325</v>
      </c>
      <c r="U155" s="3">
        <v>0</v>
      </c>
      <c r="V155" s="3" t="s">
        <v>35</v>
      </c>
      <c r="W155" s="3" t="s">
        <v>35</v>
      </c>
      <c r="X155" s="3" t="s">
        <v>35</v>
      </c>
      <c r="Y155" s="3" t="s">
        <v>35</v>
      </c>
      <c r="Z155" s="3" t="s">
        <v>35</v>
      </c>
      <c r="AA155" s="3" t="s">
        <v>35</v>
      </c>
    </row>
    <row r="156" s="3" customFormat="1" spans="1:27">
      <c r="A156" s="3" t="s">
        <v>145</v>
      </c>
      <c r="B156" s="3" t="s">
        <v>30</v>
      </c>
      <c r="C156" s="3">
        <v>22616565</v>
      </c>
      <c r="D156" s="13">
        <v>233200954039</v>
      </c>
      <c r="E156" s="16">
        <v>46138.717349537</v>
      </c>
      <c r="F156" s="3">
        <v>259.53</v>
      </c>
      <c r="G156" s="3">
        <v>0</v>
      </c>
      <c r="H156" s="3">
        <v>259.53</v>
      </c>
      <c r="I156" s="3">
        <v>-71.78</v>
      </c>
      <c r="J156" s="3">
        <v>0</v>
      </c>
      <c r="K156" s="3">
        <v>-71.78</v>
      </c>
      <c r="L156" s="3">
        <v>61.54</v>
      </c>
      <c r="M156" s="3">
        <v>800</v>
      </c>
      <c r="N156" s="3">
        <v>123.08</v>
      </c>
      <c r="O156" s="3">
        <v>1600.04</v>
      </c>
      <c r="P156" s="3" t="s">
        <v>41</v>
      </c>
      <c r="Q156" s="3" t="s">
        <v>33</v>
      </c>
      <c r="R156" s="3" t="s">
        <v>269</v>
      </c>
      <c r="S156" s="3">
        <v>0</v>
      </c>
      <c r="T156" s="3">
        <v>80</v>
      </c>
      <c r="U156" s="3">
        <v>0</v>
      </c>
      <c r="V156" s="3" t="s">
        <v>35</v>
      </c>
      <c r="W156" s="3" t="s">
        <v>35</v>
      </c>
      <c r="X156" s="3" t="s">
        <v>35</v>
      </c>
      <c r="Y156" s="3" t="s">
        <v>35</v>
      </c>
      <c r="Z156" s="3" t="s">
        <v>35</v>
      </c>
      <c r="AA156" s="3" t="s">
        <v>35</v>
      </c>
    </row>
    <row r="157" s="3" customFormat="1" spans="1:27">
      <c r="A157" s="3" t="s">
        <v>145</v>
      </c>
      <c r="B157" s="3" t="s">
        <v>30</v>
      </c>
      <c r="C157" s="3">
        <v>22526883</v>
      </c>
      <c r="D157" s="13">
        <v>233209630228</v>
      </c>
      <c r="E157" s="16">
        <v>46133.1333449074</v>
      </c>
      <c r="F157" s="3">
        <v>935.54</v>
      </c>
      <c r="G157" s="3">
        <v>0</v>
      </c>
      <c r="H157" s="3">
        <v>935.54</v>
      </c>
      <c r="I157" s="3">
        <v>51</v>
      </c>
      <c r="J157" s="3">
        <v>0</v>
      </c>
      <c r="K157" s="3">
        <v>51</v>
      </c>
      <c r="L157" s="3">
        <v>117.69</v>
      </c>
      <c r="M157" s="3">
        <v>1530</v>
      </c>
      <c r="N157" s="3">
        <v>117.69</v>
      </c>
      <c r="O157" s="3">
        <v>1529.97</v>
      </c>
      <c r="P157" s="3" t="s">
        <v>32</v>
      </c>
      <c r="Q157" s="3" t="s">
        <v>33</v>
      </c>
      <c r="R157" s="3" t="s">
        <v>269</v>
      </c>
      <c r="S157" s="3">
        <v>0</v>
      </c>
      <c r="T157" s="3">
        <v>76</v>
      </c>
      <c r="U157" s="3">
        <v>0</v>
      </c>
      <c r="V157" s="3" t="s">
        <v>35</v>
      </c>
      <c r="W157" s="3" t="s">
        <v>35</v>
      </c>
      <c r="X157" s="3" t="s">
        <v>35</v>
      </c>
      <c r="Y157" s="3" t="s">
        <v>35</v>
      </c>
      <c r="Z157" s="3" t="s">
        <v>35</v>
      </c>
      <c r="AA157" s="3" t="s">
        <v>35</v>
      </c>
    </row>
    <row r="158" s="3" customFormat="1" spans="1:27">
      <c r="A158" s="3" t="s">
        <v>145</v>
      </c>
      <c r="B158" s="3" t="s">
        <v>30</v>
      </c>
      <c r="C158" s="3">
        <v>18773205</v>
      </c>
      <c r="D158" s="13">
        <v>233240030903</v>
      </c>
      <c r="E158" s="16">
        <v>45932.7650347222</v>
      </c>
      <c r="F158" s="3">
        <v>1224.2</v>
      </c>
      <c r="G158" s="3">
        <v>0</v>
      </c>
      <c r="H158" s="3">
        <v>1224.2</v>
      </c>
      <c r="I158" s="3">
        <v>103.38</v>
      </c>
      <c r="J158" s="3">
        <v>0</v>
      </c>
      <c r="K158" s="3">
        <v>103.38</v>
      </c>
      <c r="L158" s="3">
        <v>218.62</v>
      </c>
      <c r="M158" s="3">
        <v>2842</v>
      </c>
      <c r="N158" s="3">
        <v>27.77</v>
      </c>
      <c r="O158" s="3">
        <v>361.01</v>
      </c>
      <c r="P158" s="3" t="s">
        <v>41</v>
      </c>
      <c r="Q158" s="3" t="s">
        <v>33</v>
      </c>
      <c r="R158" s="3" t="s">
        <v>269</v>
      </c>
      <c r="S158" s="3">
        <v>0</v>
      </c>
      <c r="T158" s="3">
        <v>18</v>
      </c>
      <c r="U158" s="3">
        <v>0</v>
      </c>
      <c r="V158" s="3" t="s">
        <v>35</v>
      </c>
      <c r="W158" s="3" t="s">
        <v>35</v>
      </c>
      <c r="X158" s="3" t="s">
        <v>35</v>
      </c>
      <c r="Y158" s="3" t="s">
        <v>35</v>
      </c>
      <c r="Z158" s="3" t="s">
        <v>35</v>
      </c>
      <c r="AA158" s="3" t="s">
        <v>35</v>
      </c>
    </row>
    <row r="159" s="3" customFormat="1" spans="1:27">
      <c r="A159" s="3" t="s">
        <v>145</v>
      </c>
      <c r="B159" s="3" t="s">
        <v>30</v>
      </c>
      <c r="C159" s="3">
        <v>22362013</v>
      </c>
      <c r="D159" s="13">
        <v>233244390015</v>
      </c>
      <c r="E159" s="16">
        <v>46122.7168402778</v>
      </c>
      <c r="F159" s="3">
        <v>3001.97</v>
      </c>
      <c r="G159" s="3">
        <v>0.23</v>
      </c>
      <c r="H159" s="3">
        <v>3001.74</v>
      </c>
      <c r="I159" s="3">
        <v>211.02</v>
      </c>
      <c r="J159" s="3">
        <v>0.23</v>
      </c>
      <c r="K159" s="3">
        <v>210.79</v>
      </c>
      <c r="L159" s="3">
        <v>589.69</v>
      </c>
      <c r="M159" s="3">
        <v>7666</v>
      </c>
      <c r="N159" s="3">
        <v>589.69</v>
      </c>
      <c r="O159" s="3">
        <v>7665.97</v>
      </c>
      <c r="P159" s="3" t="s">
        <v>41</v>
      </c>
      <c r="Q159" s="3" t="s">
        <v>33</v>
      </c>
      <c r="R159" s="3" t="s">
        <v>269</v>
      </c>
      <c r="S159" s="3">
        <v>0</v>
      </c>
      <c r="T159" s="3">
        <v>383</v>
      </c>
      <c r="U159" s="3">
        <v>0</v>
      </c>
      <c r="V159" s="3" t="s">
        <v>35</v>
      </c>
      <c r="W159" s="3" t="s">
        <v>35</v>
      </c>
      <c r="X159" s="3" t="s">
        <v>35</v>
      </c>
      <c r="Y159" s="3" t="s">
        <v>35</v>
      </c>
      <c r="Z159" s="3" t="s">
        <v>35</v>
      </c>
      <c r="AA159" s="3" t="s">
        <v>35</v>
      </c>
    </row>
    <row r="160" s="3" customFormat="1" spans="1:27">
      <c r="A160" s="3" t="s">
        <v>145</v>
      </c>
      <c r="B160" s="3" t="s">
        <v>30</v>
      </c>
      <c r="C160" s="3">
        <v>21381565</v>
      </c>
      <c r="D160" s="13">
        <v>233247053975</v>
      </c>
      <c r="E160" s="16">
        <v>46070.4703009259</v>
      </c>
      <c r="F160" s="3">
        <v>129.17</v>
      </c>
      <c r="G160" s="3">
        <v>0</v>
      </c>
      <c r="H160" s="3">
        <v>129.17</v>
      </c>
      <c r="I160" s="3">
        <v>19.66</v>
      </c>
      <c r="J160" s="3">
        <v>0</v>
      </c>
      <c r="K160" s="3">
        <v>19.66</v>
      </c>
      <c r="L160" s="3">
        <v>63.08</v>
      </c>
      <c r="M160" s="3">
        <v>820</v>
      </c>
      <c r="N160" s="3">
        <v>52.46</v>
      </c>
      <c r="O160" s="3">
        <v>681.98</v>
      </c>
      <c r="P160" s="3" t="s">
        <v>32</v>
      </c>
      <c r="Q160" s="3" t="s">
        <v>33</v>
      </c>
      <c r="R160" s="3" t="s">
        <v>269</v>
      </c>
      <c r="S160" s="3">
        <v>0</v>
      </c>
      <c r="T160" s="3">
        <v>34</v>
      </c>
      <c r="U160" s="3">
        <v>0</v>
      </c>
      <c r="V160" s="3" t="s">
        <v>35</v>
      </c>
      <c r="W160" s="3" t="s">
        <v>35</v>
      </c>
      <c r="X160" s="3" t="s">
        <v>35</v>
      </c>
      <c r="Y160" s="3" t="s">
        <v>35</v>
      </c>
      <c r="Z160" s="3" t="s">
        <v>35</v>
      </c>
      <c r="AA160" s="3" t="s">
        <v>35</v>
      </c>
    </row>
    <row r="161" s="3" customFormat="1" spans="1:27">
      <c r="A161" s="3" t="s">
        <v>145</v>
      </c>
      <c r="B161" s="3" t="s">
        <v>30</v>
      </c>
      <c r="C161" s="3">
        <v>9993755</v>
      </c>
      <c r="D161" s="13">
        <v>233247635684</v>
      </c>
      <c r="E161" s="16">
        <v>45068.6023958333</v>
      </c>
      <c r="F161" s="3">
        <v>1573</v>
      </c>
      <c r="G161" s="3">
        <v>0</v>
      </c>
      <c r="H161" s="3">
        <v>1572.54</v>
      </c>
      <c r="I161" s="3">
        <v>144.69</v>
      </c>
      <c r="J161" s="3">
        <v>0</v>
      </c>
      <c r="K161" s="3">
        <v>144.69</v>
      </c>
      <c r="L161" s="3">
        <v>834.92</v>
      </c>
      <c r="M161" s="3">
        <v>10854</v>
      </c>
      <c r="N161" s="3">
        <v>834.92</v>
      </c>
      <c r="O161" s="3">
        <v>10853.96</v>
      </c>
      <c r="P161" s="3" t="s">
        <v>32</v>
      </c>
      <c r="Q161" s="3" t="s">
        <v>33</v>
      </c>
      <c r="R161" s="3" t="s">
        <v>269</v>
      </c>
      <c r="S161" s="3">
        <v>0</v>
      </c>
      <c r="T161" s="3">
        <v>543</v>
      </c>
      <c r="U161" s="3">
        <v>0</v>
      </c>
      <c r="V161" s="3" t="s">
        <v>35</v>
      </c>
      <c r="W161" s="3" t="s">
        <v>35</v>
      </c>
      <c r="X161" s="3" t="s">
        <v>35</v>
      </c>
      <c r="Y161" s="3" t="s">
        <v>35</v>
      </c>
      <c r="Z161" s="3" t="s">
        <v>35</v>
      </c>
      <c r="AA161" s="3" t="s">
        <v>35</v>
      </c>
    </row>
    <row r="162" s="3" customFormat="1" spans="1:27">
      <c r="A162" s="3" t="s">
        <v>145</v>
      </c>
      <c r="B162" s="3" t="s">
        <v>30</v>
      </c>
      <c r="C162" s="3">
        <v>17336353</v>
      </c>
      <c r="D162" s="13">
        <v>233247684827</v>
      </c>
      <c r="E162" s="16">
        <v>45847.4940277778</v>
      </c>
      <c r="F162" s="3">
        <v>164.22</v>
      </c>
      <c r="G162" s="3">
        <v>0.08</v>
      </c>
      <c r="H162" s="3">
        <v>164.14</v>
      </c>
      <c r="I162" s="3">
        <v>10.68</v>
      </c>
      <c r="J162" s="3">
        <v>0.08</v>
      </c>
      <c r="K162" s="3">
        <v>10.6</v>
      </c>
      <c r="L162" s="3">
        <v>111.85</v>
      </c>
      <c r="M162" s="3">
        <v>1454</v>
      </c>
      <c r="N162" s="3">
        <v>0</v>
      </c>
      <c r="O162" s="3">
        <v>0</v>
      </c>
      <c r="P162" s="3" t="s">
        <v>41</v>
      </c>
      <c r="Q162" s="3" t="s">
        <v>33</v>
      </c>
      <c r="R162" s="3" t="s">
        <v>269</v>
      </c>
      <c r="S162" s="3">
        <v>0</v>
      </c>
      <c r="T162" s="3">
        <v>0</v>
      </c>
      <c r="U162" s="3">
        <v>0</v>
      </c>
      <c r="V162" s="3" t="s">
        <v>35</v>
      </c>
      <c r="W162" s="3" t="s">
        <v>35</v>
      </c>
      <c r="X162" s="3" t="s">
        <v>35</v>
      </c>
      <c r="Y162" s="3" t="s">
        <v>35</v>
      </c>
      <c r="Z162" s="3" t="s">
        <v>35</v>
      </c>
      <c r="AA162" s="3" t="s">
        <v>35</v>
      </c>
    </row>
    <row r="163" s="3" customFormat="1" spans="1:27">
      <c r="A163" s="3" t="s">
        <v>145</v>
      </c>
      <c r="B163" s="3" t="s">
        <v>30</v>
      </c>
      <c r="C163" s="3">
        <v>20299783</v>
      </c>
      <c r="D163" s="13">
        <v>233502831808</v>
      </c>
      <c r="E163" s="16">
        <v>46015.7270601852</v>
      </c>
      <c r="F163" s="3">
        <v>10587.84</v>
      </c>
      <c r="G163" s="3">
        <v>0</v>
      </c>
      <c r="H163" s="3">
        <v>10587.84</v>
      </c>
      <c r="I163" s="3">
        <v>25.75</v>
      </c>
      <c r="J163" s="3">
        <v>0</v>
      </c>
      <c r="K163" s="3">
        <v>25.75</v>
      </c>
      <c r="L163" s="3">
        <v>1689.54</v>
      </c>
      <c r="M163" s="3">
        <v>21964</v>
      </c>
      <c r="N163" s="3">
        <v>1681.85</v>
      </c>
      <c r="O163" s="3">
        <v>21864.05</v>
      </c>
      <c r="P163" s="3" t="s">
        <v>41</v>
      </c>
      <c r="Q163" s="3" t="s">
        <v>42</v>
      </c>
      <c r="R163" s="3" t="s">
        <v>269</v>
      </c>
      <c r="S163" s="3">
        <v>0</v>
      </c>
      <c r="T163" s="3">
        <v>1093</v>
      </c>
      <c r="U163" s="3">
        <v>0</v>
      </c>
      <c r="V163" s="3" t="s">
        <v>35</v>
      </c>
      <c r="W163" s="3" t="s">
        <v>35</v>
      </c>
      <c r="X163" s="3" t="s">
        <v>35</v>
      </c>
      <c r="Y163" s="3" t="s">
        <v>35</v>
      </c>
      <c r="Z163" s="3" t="s">
        <v>35</v>
      </c>
      <c r="AA163" s="3" t="s">
        <v>35</v>
      </c>
    </row>
    <row r="164" s="3" customFormat="1" spans="1:27">
      <c r="A164" s="3" t="s">
        <v>145</v>
      </c>
      <c r="B164" s="3" t="s">
        <v>30</v>
      </c>
      <c r="C164" s="3">
        <v>10760743</v>
      </c>
      <c r="D164" s="13">
        <v>233505921496</v>
      </c>
      <c r="E164" s="16">
        <v>45191.663900463</v>
      </c>
      <c r="F164" s="3">
        <v>3205.36</v>
      </c>
      <c r="G164" s="3">
        <v>0</v>
      </c>
      <c r="H164" s="3">
        <v>3205.36</v>
      </c>
      <c r="I164" s="3">
        <v>272.84</v>
      </c>
      <c r="J164" s="3">
        <v>0</v>
      </c>
      <c r="K164" s="3">
        <v>272.84</v>
      </c>
      <c r="L164" s="3">
        <v>726.68</v>
      </c>
      <c r="M164" s="3">
        <v>9446.88</v>
      </c>
      <c r="N164" s="3">
        <v>115.54</v>
      </c>
      <c r="O164" s="3">
        <v>1502.02</v>
      </c>
      <c r="P164" s="3" t="s">
        <v>41</v>
      </c>
      <c r="Q164" s="3" t="s">
        <v>33</v>
      </c>
      <c r="R164" s="3" t="s">
        <v>269</v>
      </c>
      <c r="S164" s="3">
        <v>0</v>
      </c>
      <c r="T164" s="3">
        <v>75</v>
      </c>
      <c r="U164" s="3">
        <v>0</v>
      </c>
      <c r="V164" s="3" t="s">
        <v>35</v>
      </c>
      <c r="W164" s="3" t="s">
        <v>35</v>
      </c>
      <c r="X164" s="3" t="s">
        <v>35</v>
      </c>
      <c r="Y164" s="3" t="s">
        <v>35</v>
      </c>
      <c r="Z164" s="3" t="s">
        <v>35</v>
      </c>
      <c r="AA164" s="3" t="s">
        <v>35</v>
      </c>
    </row>
    <row r="165" s="3" customFormat="1" spans="1:27">
      <c r="A165" s="3" t="s">
        <v>145</v>
      </c>
      <c r="B165" s="3" t="s">
        <v>30</v>
      </c>
      <c r="C165" s="3">
        <v>17720965</v>
      </c>
      <c r="D165" s="13">
        <v>233505979507</v>
      </c>
      <c r="E165" s="16">
        <v>45871.3063194444</v>
      </c>
      <c r="F165" s="3">
        <v>6254.84</v>
      </c>
      <c r="G165" s="3">
        <v>0.15</v>
      </c>
      <c r="H165" s="3">
        <v>6254.69</v>
      </c>
      <c r="I165" s="3">
        <v>471.52</v>
      </c>
      <c r="J165" s="3">
        <v>0.15</v>
      </c>
      <c r="K165" s="3">
        <v>471.37</v>
      </c>
      <c r="L165" s="3">
        <v>749.23</v>
      </c>
      <c r="M165" s="3">
        <v>9740</v>
      </c>
      <c r="N165" s="3">
        <v>0</v>
      </c>
      <c r="O165" s="3">
        <v>0</v>
      </c>
      <c r="P165" s="3" t="s">
        <v>41</v>
      </c>
      <c r="Q165" s="3" t="s">
        <v>33</v>
      </c>
      <c r="R165" s="3" t="s">
        <v>269</v>
      </c>
      <c r="S165" s="3">
        <v>0</v>
      </c>
      <c r="T165" s="3">
        <v>0</v>
      </c>
      <c r="U165" s="3">
        <v>0</v>
      </c>
      <c r="V165" s="3" t="s">
        <v>35</v>
      </c>
      <c r="W165" s="3" t="s">
        <v>35</v>
      </c>
      <c r="X165" s="3" t="s">
        <v>35</v>
      </c>
      <c r="Y165" s="3" t="s">
        <v>35</v>
      </c>
      <c r="Z165" s="3" t="s">
        <v>35</v>
      </c>
      <c r="AA165" s="3" t="s">
        <v>35</v>
      </c>
    </row>
    <row r="166" s="3" customFormat="1" spans="1:27">
      <c r="A166" s="3" t="s">
        <v>145</v>
      </c>
      <c r="B166" s="3" t="s">
        <v>30</v>
      </c>
      <c r="C166" s="3">
        <v>21783173</v>
      </c>
      <c r="D166" s="13">
        <v>233531478264</v>
      </c>
      <c r="E166" s="16">
        <v>46089.9417476852</v>
      </c>
      <c r="F166" s="3">
        <v>429.58</v>
      </c>
      <c r="G166" s="3">
        <v>1.77</v>
      </c>
      <c r="H166" s="3">
        <v>427.81</v>
      </c>
      <c r="I166" s="3">
        <v>5.58</v>
      </c>
      <c r="J166" s="3">
        <v>-0.84</v>
      </c>
      <c r="K166" s="3">
        <v>6.42</v>
      </c>
      <c r="L166" s="3">
        <v>108.92</v>
      </c>
      <c r="M166" s="3">
        <v>1416</v>
      </c>
      <c r="N166" s="3">
        <v>108.92</v>
      </c>
      <c r="O166" s="3">
        <v>1415.96</v>
      </c>
      <c r="P166" s="3" t="s">
        <v>41</v>
      </c>
      <c r="Q166" s="3" t="s">
        <v>33</v>
      </c>
      <c r="R166" s="3" t="s">
        <v>269</v>
      </c>
      <c r="S166" s="3">
        <v>0</v>
      </c>
      <c r="T166" s="3">
        <v>71</v>
      </c>
      <c r="U166" s="3">
        <v>0</v>
      </c>
      <c r="V166" s="3" t="s">
        <v>35</v>
      </c>
      <c r="W166" s="3" t="s">
        <v>35</v>
      </c>
      <c r="X166" s="3" t="s">
        <v>35</v>
      </c>
      <c r="Y166" s="3" t="s">
        <v>35</v>
      </c>
      <c r="Z166" s="3" t="s">
        <v>35</v>
      </c>
      <c r="AA166" s="3" t="s">
        <v>35</v>
      </c>
    </row>
    <row r="167" s="3" customFormat="1" spans="1:27">
      <c r="A167" s="3" t="s">
        <v>145</v>
      </c>
      <c r="B167" s="3" t="s">
        <v>30</v>
      </c>
      <c r="C167" s="3">
        <v>22838524</v>
      </c>
      <c r="D167" s="13">
        <v>233532377608</v>
      </c>
      <c r="E167" s="16">
        <v>46154.7626041667</v>
      </c>
      <c r="F167" s="3">
        <v>56.08</v>
      </c>
      <c r="G167" s="3">
        <v>0</v>
      </c>
      <c r="H167" s="3">
        <v>56.08</v>
      </c>
      <c r="I167" s="3">
        <v>26.13</v>
      </c>
      <c r="J167" s="3">
        <v>0</v>
      </c>
      <c r="K167" s="3">
        <v>26.13</v>
      </c>
      <c r="L167" s="3">
        <v>103.08</v>
      </c>
      <c r="M167" s="3">
        <v>1340</v>
      </c>
      <c r="N167" s="3">
        <v>103.08</v>
      </c>
      <c r="O167" s="3">
        <v>1340.04</v>
      </c>
      <c r="P167" s="3" t="s">
        <v>41</v>
      </c>
      <c r="Q167" s="3" t="s">
        <v>33</v>
      </c>
      <c r="R167" s="3" t="s">
        <v>269</v>
      </c>
      <c r="S167" s="3">
        <v>0</v>
      </c>
      <c r="T167" s="3">
        <v>67</v>
      </c>
      <c r="U167" s="3">
        <v>0</v>
      </c>
      <c r="V167" s="3" t="s">
        <v>35</v>
      </c>
      <c r="W167" s="3" t="s">
        <v>35</v>
      </c>
      <c r="X167" s="3" t="s">
        <v>35</v>
      </c>
      <c r="Y167" s="3" t="s">
        <v>35</v>
      </c>
      <c r="Z167" s="3" t="s">
        <v>35</v>
      </c>
      <c r="AA167" s="3" t="s">
        <v>35</v>
      </c>
    </row>
    <row r="168" s="3" customFormat="1" spans="1:27">
      <c r="A168" s="3" t="s">
        <v>145</v>
      </c>
      <c r="B168" s="3" t="s">
        <v>30</v>
      </c>
      <c r="C168" s="3">
        <v>21967354</v>
      </c>
      <c r="D168" s="13">
        <v>233534632526</v>
      </c>
      <c r="E168" s="16">
        <v>46100.0984490741</v>
      </c>
      <c r="F168" s="3">
        <v>5299.06</v>
      </c>
      <c r="G168" s="3">
        <v>0</v>
      </c>
      <c r="H168" s="3">
        <v>5299.06</v>
      </c>
      <c r="I168" s="3">
        <v>75.38</v>
      </c>
      <c r="J168" s="3">
        <v>0</v>
      </c>
      <c r="K168" s="3">
        <v>75.38</v>
      </c>
      <c r="L168" s="3">
        <v>846.92</v>
      </c>
      <c r="M168" s="3">
        <v>11010</v>
      </c>
      <c r="N168" s="3">
        <v>846.92</v>
      </c>
      <c r="O168" s="3">
        <v>11009.96</v>
      </c>
      <c r="P168" s="3" t="s">
        <v>32</v>
      </c>
      <c r="Q168" s="3" t="s">
        <v>33</v>
      </c>
      <c r="R168" s="3" t="s">
        <v>269</v>
      </c>
      <c r="S168" s="3">
        <v>0</v>
      </c>
      <c r="T168" s="3">
        <v>550</v>
      </c>
      <c r="U168" s="3">
        <v>0</v>
      </c>
      <c r="V168" s="3" t="s">
        <v>35</v>
      </c>
      <c r="W168" s="3" t="s">
        <v>35</v>
      </c>
      <c r="X168" s="3" t="s">
        <v>35</v>
      </c>
      <c r="Y168" s="3" t="s">
        <v>35</v>
      </c>
      <c r="Z168" s="3" t="s">
        <v>35</v>
      </c>
      <c r="AA168" s="3" t="s">
        <v>35</v>
      </c>
    </row>
    <row r="169" s="3" customFormat="1" spans="1:27">
      <c r="A169" s="3" t="s">
        <v>145</v>
      </c>
      <c r="B169" s="3" t="s">
        <v>30</v>
      </c>
      <c r="C169" s="3">
        <v>22475074</v>
      </c>
      <c r="D169" s="13">
        <v>233535142261</v>
      </c>
      <c r="E169" s="16">
        <v>46129.320625</v>
      </c>
      <c r="F169" s="3">
        <v>1270.47</v>
      </c>
      <c r="G169" s="3">
        <v>0</v>
      </c>
      <c r="H169" s="3">
        <v>1270.47</v>
      </c>
      <c r="I169" s="3">
        <v>15.74</v>
      </c>
      <c r="J169" s="3">
        <v>0</v>
      </c>
      <c r="K169" s="3">
        <v>15.74</v>
      </c>
      <c r="L169" s="3">
        <v>69.62</v>
      </c>
      <c r="M169" s="3">
        <v>905</v>
      </c>
      <c r="N169" s="3">
        <v>69.62</v>
      </c>
      <c r="O169" s="3">
        <v>905.06</v>
      </c>
      <c r="P169" s="3" t="s">
        <v>41</v>
      </c>
      <c r="Q169" s="3" t="s">
        <v>33</v>
      </c>
      <c r="R169" s="3" t="s">
        <v>269</v>
      </c>
      <c r="S169" s="3">
        <v>0</v>
      </c>
      <c r="T169" s="3">
        <v>45</v>
      </c>
      <c r="U169" s="3">
        <v>0</v>
      </c>
      <c r="V169" s="3" t="s">
        <v>35</v>
      </c>
      <c r="W169" s="3" t="s">
        <v>35</v>
      </c>
      <c r="X169" s="3" t="s">
        <v>35</v>
      </c>
      <c r="Y169" s="3" t="s">
        <v>35</v>
      </c>
      <c r="Z169" s="3" t="s">
        <v>35</v>
      </c>
      <c r="AA169" s="3" t="s">
        <v>35</v>
      </c>
    </row>
    <row r="170" s="3" customFormat="1" spans="1:27">
      <c r="A170" s="3" t="s">
        <v>145</v>
      </c>
      <c r="B170" s="3" t="s">
        <v>30</v>
      </c>
      <c r="C170" s="3">
        <v>13815184</v>
      </c>
      <c r="D170" s="13">
        <v>233535311866</v>
      </c>
      <c r="E170" s="16">
        <v>45558.9865393518</v>
      </c>
      <c r="F170" s="3">
        <v>5182.38</v>
      </c>
      <c r="G170" s="3">
        <v>0</v>
      </c>
      <c r="H170" s="3">
        <v>5182.38</v>
      </c>
      <c r="I170" s="3">
        <v>209.59</v>
      </c>
      <c r="J170" s="3">
        <v>0</v>
      </c>
      <c r="K170" s="3">
        <v>209.59</v>
      </c>
      <c r="L170" s="3">
        <v>692.77</v>
      </c>
      <c r="M170" s="3">
        <v>9006</v>
      </c>
      <c r="N170" s="3">
        <v>116.77</v>
      </c>
      <c r="O170" s="3">
        <v>1518.01</v>
      </c>
      <c r="P170" s="3" t="s">
        <v>32</v>
      </c>
      <c r="Q170" s="3" t="s">
        <v>33</v>
      </c>
      <c r="R170" s="3" t="s">
        <v>269</v>
      </c>
      <c r="S170" s="3">
        <v>0</v>
      </c>
      <c r="T170" s="3">
        <v>76</v>
      </c>
      <c r="U170" s="3">
        <v>0</v>
      </c>
      <c r="V170" s="3" t="s">
        <v>35</v>
      </c>
      <c r="W170" s="3" t="s">
        <v>35</v>
      </c>
      <c r="X170" s="3" t="s">
        <v>35</v>
      </c>
      <c r="Y170" s="3" t="s">
        <v>35</v>
      </c>
      <c r="Z170" s="3" t="s">
        <v>35</v>
      </c>
      <c r="AA170" s="3" t="s">
        <v>35</v>
      </c>
    </row>
    <row r="171" s="3" customFormat="1" spans="1:27">
      <c r="A171" s="3" t="s">
        <v>145</v>
      </c>
      <c r="B171" s="3" t="s">
        <v>30</v>
      </c>
      <c r="C171" s="3">
        <v>16128585</v>
      </c>
      <c r="D171" s="13">
        <v>233536561433</v>
      </c>
      <c r="E171" s="16">
        <v>45753.3244212963</v>
      </c>
      <c r="F171" s="3">
        <v>203.63</v>
      </c>
      <c r="G171" s="3">
        <v>24.38</v>
      </c>
      <c r="H171" s="3">
        <v>179.24</v>
      </c>
      <c r="I171" s="3">
        <v>65.02</v>
      </c>
      <c r="J171" s="3">
        <v>22.86</v>
      </c>
      <c r="K171" s="3">
        <v>42.16</v>
      </c>
      <c r="L171" s="3">
        <v>90.08</v>
      </c>
      <c r="M171" s="3">
        <v>1171</v>
      </c>
      <c r="N171" s="3">
        <v>0</v>
      </c>
      <c r="O171" s="3">
        <v>0</v>
      </c>
      <c r="P171" s="3" t="s">
        <v>61</v>
      </c>
      <c r="Q171" s="3" t="s">
        <v>33</v>
      </c>
      <c r="R171" s="3" t="s">
        <v>269</v>
      </c>
      <c r="S171" s="3">
        <v>120</v>
      </c>
      <c r="T171" s="3">
        <v>0</v>
      </c>
      <c r="U171" s="3">
        <v>0</v>
      </c>
      <c r="V171" s="3" t="s">
        <v>35</v>
      </c>
      <c r="W171" s="3" t="s">
        <v>35</v>
      </c>
      <c r="X171" s="3" t="s">
        <v>35</v>
      </c>
      <c r="Y171" s="3" t="s">
        <v>35</v>
      </c>
      <c r="Z171" s="3" t="s">
        <v>35</v>
      </c>
      <c r="AA171" s="3" t="s">
        <v>35</v>
      </c>
    </row>
    <row r="172" s="3" customFormat="1" spans="1:27">
      <c r="A172" s="3" t="s">
        <v>145</v>
      </c>
      <c r="B172" s="3" t="s">
        <v>30</v>
      </c>
      <c r="C172" s="3">
        <v>20856573</v>
      </c>
      <c r="D172" s="13">
        <v>233537413674</v>
      </c>
      <c r="E172" s="16">
        <v>46041.7963078704</v>
      </c>
      <c r="F172" s="3">
        <v>953.57</v>
      </c>
      <c r="G172" s="3">
        <v>48.98</v>
      </c>
      <c r="H172" s="3">
        <v>904.36</v>
      </c>
      <c r="I172" s="3">
        <v>-37.8</v>
      </c>
      <c r="J172" s="3">
        <v>-77.52</v>
      </c>
      <c r="K172" s="3">
        <v>39.72</v>
      </c>
      <c r="L172" s="3">
        <v>200.08</v>
      </c>
      <c r="M172" s="3">
        <v>2601</v>
      </c>
      <c r="N172" s="3">
        <v>64.23</v>
      </c>
      <c r="O172" s="3">
        <v>834.99</v>
      </c>
      <c r="P172" s="3" t="s">
        <v>41</v>
      </c>
      <c r="Q172" s="3" t="s">
        <v>33</v>
      </c>
      <c r="R172" s="3" t="s">
        <v>269</v>
      </c>
      <c r="S172" s="3">
        <v>0</v>
      </c>
      <c r="T172" s="3">
        <v>42</v>
      </c>
      <c r="U172" s="3">
        <v>0</v>
      </c>
      <c r="V172" s="3" t="s">
        <v>35</v>
      </c>
      <c r="W172" s="3" t="s">
        <v>35</v>
      </c>
      <c r="X172" s="3" t="s">
        <v>35</v>
      </c>
      <c r="Y172" s="3" t="s">
        <v>35</v>
      </c>
      <c r="Z172" s="3" t="s">
        <v>35</v>
      </c>
      <c r="AA172" s="3" t="s">
        <v>35</v>
      </c>
    </row>
    <row r="173" s="3" customFormat="1" spans="1:27">
      <c r="A173" s="3" t="s">
        <v>145</v>
      </c>
      <c r="B173" s="3" t="s">
        <v>30</v>
      </c>
      <c r="C173" s="3">
        <v>17838754</v>
      </c>
      <c r="D173" s="13">
        <v>233537489835</v>
      </c>
      <c r="E173" s="16">
        <v>45877.905474537</v>
      </c>
      <c r="F173" s="3">
        <v>5392.52</v>
      </c>
      <c r="G173" s="3">
        <v>8.91</v>
      </c>
      <c r="H173" s="3">
        <v>5383.61</v>
      </c>
      <c r="I173" s="3">
        <v>155.31</v>
      </c>
      <c r="J173" s="3">
        <v>-90.38</v>
      </c>
      <c r="K173" s="3">
        <v>245.69</v>
      </c>
      <c r="L173" s="3">
        <v>507.08</v>
      </c>
      <c r="M173" s="3">
        <v>6592</v>
      </c>
      <c r="N173" s="3">
        <v>8.46</v>
      </c>
      <c r="O173" s="3">
        <v>109.98</v>
      </c>
      <c r="P173" s="3" t="s">
        <v>41</v>
      </c>
      <c r="Q173" s="3" t="s">
        <v>33</v>
      </c>
      <c r="R173" s="3" t="s">
        <v>269</v>
      </c>
      <c r="S173" s="3">
        <v>0</v>
      </c>
      <c r="T173" s="3">
        <v>5</v>
      </c>
      <c r="U173" s="3">
        <v>0</v>
      </c>
      <c r="V173" s="3" t="s">
        <v>35</v>
      </c>
      <c r="W173" s="3" t="s">
        <v>35</v>
      </c>
      <c r="X173" s="3" t="s">
        <v>35</v>
      </c>
      <c r="Y173" s="3" t="s">
        <v>35</v>
      </c>
      <c r="Z173" s="3" t="s">
        <v>35</v>
      </c>
      <c r="AA173" s="3" t="s">
        <v>35</v>
      </c>
    </row>
    <row r="174" s="3" customFormat="1" spans="1:27">
      <c r="A174" s="3" t="s">
        <v>145</v>
      </c>
      <c r="B174" s="3" t="s">
        <v>30</v>
      </c>
      <c r="C174" s="3">
        <v>14952293</v>
      </c>
      <c r="D174" s="13">
        <v>233538787059</v>
      </c>
      <c r="E174" s="16">
        <v>45631.7043981481</v>
      </c>
      <c r="F174" s="3">
        <v>69803.04</v>
      </c>
      <c r="G174" s="3">
        <v>0.15</v>
      </c>
      <c r="H174" s="3">
        <v>69802.88</v>
      </c>
      <c r="I174" s="3">
        <v>-1351.04</v>
      </c>
      <c r="J174" s="3">
        <v>0.15</v>
      </c>
      <c r="K174" s="3">
        <v>-1351.2</v>
      </c>
      <c r="L174" s="3">
        <v>16330.23</v>
      </c>
      <c r="M174" s="3">
        <v>212293</v>
      </c>
      <c r="N174" s="3">
        <v>438.46</v>
      </c>
      <c r="O174" s="3">
        <v>5699.98</v>
      </c>
      <c r="P174" s="3" t="s">
        <v>41</v>
      </c>
      <c r="Q174" s="3" t="s">
        <v>42</v>
      </c>
      <c r="R174" s="3" t="s">
        <v>269</v>
      </c>
      <c r="S174" s="3">
        <v>0</v>
      </c>
      <c r="T174" s="3">
        <v>285</v>
      </c>
      <c r="U174" s="3">
        <v>1</v>
      </c>
      <c r="V174" s="3">
        <v>1</v>
      </c>
      <c r="W174" s="3" t="s">
        <v>35</v>
      </c>
      <c r="X174" s="3" t="s">
        <v>35</v>
      </c>
      <c r="Y174" s="3" t="s">
        <v>35</v>
      </c>
      <c r="Z174" s="3" t="s">
        <v>35</v>
      </c>
      <c r="AA174" s="3" t="s">
        <v>35</v>
      </c>
    </row>
    <row r="175" s="3" customFormat="1" spans="1:27">
      <c r="A175" s="3" t="s">
        <v>145</v>
      </c>
      <c r="B175" s="3" t="s">
        <v>30</v>
      </c>
      <c r="C175" s="3">
        <v>21994085</v>
      </c>
      <c r="D175" s="13">
        <v>233539096720</v>
      </c>
      <c r="E175" s="16">
        <v>46101.490625</v>
      </c>
      <c r="F175" s="3">
        <v>2286.82</v>
      </c>
      <c r="G175" s="3">
        <v>0</v>
      </c>
      <c r="H175" s="3">
        <v>2286.82</v>
      </c>
      <c r="I175" s="3">
        <v>206.15</v>
      </c>
      <c r="J175" s="3">
        <v>0</v>
      </c>
      <c r="K175" s="3">
        <v>206.15</v>
      </c>
      <c r="L175" s="3">
        <v>759.23</v>
      </c>
      <c r="M175" s="3">
        <v>9870</v>
      </c>
      <c r="N175" s="3">
        <v>759.23</v>
      </c>
      <c r="O175" s="3">
        <v>9869.99</v>
      </c>
      <c r="P175" s="3" t="s">
        <v>41</v>
      </c>
      <c r="Q175" s="3" t="s">
        <v>33</v>
      </c>
      <c r="R175" s="3" t="s">
        <v>269</v>
      </c>
      <c r="S175" s="3">
        <v>0</v>
      </c>
      <c r="T175" s="3">
        <v>493</v>
      </c>
      <c r="U175" s="3">
        <v>0</v>
      </c>
      <c r="V175" s="3" t="s">
        <v>35</v>
      </c>
      <c r="W175" s="3" t="s">
        <v>35</v>
      </c>
      <c r="X175" s="3" t="s">
        <v>35</v>
      </c>
      <c r="Y175" s="3" t="s">
        <v>35</v>
      </c>
      <c r="Z175" s="3" t="s">
        <v>35</v>
      </c>
      <c r="AA175" s="3" t="s">
        <v>35</v>
      </c>
    </row>
    <row r="176" s="3" customFormat="1" spans="1:27">
      <c r="A176" s="3" t="s">
        <v>145</v>
      </c>
      <c r="B176" s="3" t="s">
        <v>30</v>
      </c>
      <c r="C176" s="3">
        <v>20442123</v>
      </c>
      <c r="D176" s="13">
        <v>233539415619</v>
      </c>
      <c r="E176" s="16">
        <v>46022.2911226852</v>
      </c>
      <c r="F176" s="3">
        <v>266.68</v>
      </c>
      <c r="G176" s="3">
        <v>0</v>
      </c>
      <c r="H176" s="3">
        <v>266.68</v>
      </c>
      <c r="I176" s="3">
        <v>-40.3</v>
      </c>
      <c r="J176" s="3">
        <v>0</v>
      </c>
      <c r="K176" s="3">
        <v>-40.3</v>
      </c>
      <c r="L176" s="3">
        <v>73.31</v>
      </c>
      <c r="M176" s="3">
        <v>953</v>
      </c>
      <c r="N176" s="3">
        <v>14.23</v>
      </c>
      <c r="O176" s="3">
        <v>184.99</v>
      </c>
      <c r="P176" s="3" t="s">
        <v>32</v>
      </c>
      <c r="Q176" s="3" t="s">
        <v>33</v>
      </c>
      <c r="R176" s="3" t="s">
        <v>269</v>
      </c>
      <c r="S176" s="3">
        <v>0</v>
      </c>
      <c r="T176" s="3">
        <v>9</v>
      </c>
      <c r="U176" s="3">
        <v>0</v>
      </c>
      <c r="V176" s="3" t="s">
        <v>35</v>
      </c>
      <c r="W176" s="3" t="s">
        <v>35</v>
      </c>
      <c r="X176" s="3" t="s">
        <v>35</v>
      </c>
      <c r="Y176" s="3" t="s">
        <v>35</v>
      </c>
      <c r="Z176" s="3" t="s">
        <v>35</v>
      </c>
      <c r="AA176" s="3" t="s">
        <v>35</v>
      </c>
    </row>
    <row r="177" s="3" customFormat="1" spans="1:27">
      <c r="A177" s="3" t="s">
        <v>145</v>
      </c>
      <c r="B177" s="3" t="s">
        <v>30</v>
      </c>
      <c r="C177" s="3">
        <v>21364615</v>
      </c>
      <c r="D177" s="13">
        <v>233539962898</v>
      </c>
      <c r="E177" s="16">
        <v>46069.5033680556</v>
      </c>
      <c r="F177" s="3">
        <v>1041.26</v>
      </c>
      <c r="G177" s="3">
        <v>0</v>
      </c>
      <c r="H177" s="3">
        <v>1041.26</v>
      </c>
      <c r="I177" s="3">
        <v>74.77</v>
      </c>
      <c r="J177" s="3">
        <v>0</v>
      </c>
      <c r="K177" s="3">
        <v>74.77</v>
      </c>
      <c r="L177" s="3">
        <v>182.69</v>
      </c>
      <c r="M177" s="3">
        <v>2375</v>
      </c>
      <c r="N177" s="3">
        <v>182.69</v>
      </c>
      <c r="O177" s="3">
        <v>2374.97</v>
      </c>
      <c r="P177" s="3" t="s">
        <v>41</v>
      </c>
      <c r="Q177" s="3" t="s">
        <v>33</v>
      </c>
      <c r="R177" s="3" t="s">
        <v>269</v>
      </c>
      <c r="S177" s="3">
        <v>0</v>
      </c>
      <c r="T177" s="3">
        <v>119</v>
      </c>
      <c r="U177" s="3">
        <v>0</v>
      </c>
      <c r="V177" s="3" t="s">
        <v>35</v>
      </c>
      <c r="W177" s="3" t="s">
        <v>35</v>
      </c>
      <c r="X177" s="3" t="s">
        <v>35</v>
      </c>
      <c r="Y177" s="3" t="s">
        <v>35</v>
      </c>
      <c r="Z177" s="3" t="s">
        <v>35</v>
      </c>
      <c r="AA177" s="3" t="s">
        <v>35</v>
      </c>
    </row>
    <row r="178" s="3" customFormat="1" spans="1:27">
      <c r="A178" s="3" t="s">
        <v>145</v>
      </c>
      <c r="B178" s="3" t="s">
        <v>30</v>
      </c>
      <c r="C178" s="3">
        <v>18487115</v>
      </c>
      <c r="D178" s="13">
        <v>233543593321</v>
      </c>
      <c r="E178" s="16">
        <v>45915.3949768519</v>
      </c>
      <c r="F178" s="3">
        <v>13547.76</v>
      </c>
      <c r="G178" s="3">
        <v>62.08</v>
      </c>
      <c r="H178" s="3">
        <v>13485.68</v>
      </c>
      <c r="I178" s="3">
        <v>-25.16</v>
      </c>
      <c r="J178" s="3">
        <v>62.08</v>
      </c>
      <c r="K178" s="3">
        <v>-87.23</v>
      </c>
      <c r="L178" s="3">
        <v>5199</v>
      </c>
      <c r="M178" s="3">
        <v>67587</v>
      </c>
      <c r="N178" s="3">
        <v>923.54</v>
      </c>
      <c r="O178" s="3">
        <v>12006.02</v>
      </c>
      <c r="P178" s="3" t="s">
        <v>41</v>
      </c>
      <c r="Q178" s="3" t="s">
        <v>42</v>
      </c>
      <c r="R178" s="3" t="s">
        <v>269</v>
      </c>
      <c r="S178" s="3">
        <v>0</v>
      </c>
      <c r="T178" s="3">
        <v>600</v>
      </c>
      <c r="U178" s="3">
        <v>1</v>
      </c>
      <c r="V178" s="3">
        <v>1</v>
      </c>
      <c r="W178" s="3" t="s">
        <v>35</v>
      </c>
      <c r="X178" s="3" t="s">
        <v>35</v>
      </c>
      <c r="Y178" s="3" t="s">
        <v>35</v>
      </c>
      <c r="Z178" s="3" t="s">
        <v>35</v>
      </c>
      <c r="AA178" s="3" t="s">
        <v>35</v>
      </c>
    </row>
    <row r="179" s="3" customFormat="1" spans="1:27">
      <c r="A179" s="3" t="s">
        <v>145</v>
      </c>
      <c r="B179" s="3" t="s">
        <v>30</v>
      </c>
      <c r="C179" s="3">
        <v>19995494</v>
      </c>
      <c r="D179" s="13">
        <v>233546431205</v>
      </c>
      <c r="E179" s="16">
        <v>46000.5817013889</v>
      </c>
      <c r="F179" s="3">
        <v>10259.98</v>
      </c>
      <c r="G179" s="3">
        <v>6.54</v>
      </c>
      <c r="H179" s="3">
        <v>10253.45</v>
      </c>
      <c r="I179" s="3">
        <v>104.05</v>
      </c>
      <c r="J179" s="3">
        <v>4.92</v>
      </c>
      <c r="K179" s="3">
        <v>99.13</v>
      </c>
      <c r="L179" s="3">
        <v>1863.08</v>
      </c>
      <c r="M179" s="3">
        <v>24220</v>
      </c>
      <c r="N179" s="3">
        <v>1051.77</v>
      </c>
      <c r="O179" s="3">
        <v>13673.01</v>
      </c>
      <c r="P179" s="3" t="s">
        <v>32</v>
      </c>
      <c r="Q179" s="3" t="s">
        <v>42</v>
      </c>
      <c r="R179" s="3" t="s">
        <v>269</v>
      </c>
      <c r="S179" s="3">
        <v>0</v>
      </c>
      <c r="T179" s="3">
        <v>684</v>
      </c>
      <c r="U179" s="3">
        <v>0</v>
      </c>
      <c r="V179" s="3" t="s">
        <v>35</v>
      </c>
      <c r="W179" s="3" t="s">
        <v>35</v>
      </c>
      <c r="X179" s="3" t="s">
        <v>35</v>
      </c>
      <c r="Y179" s="3" t="s">
        <v>35</v>
      </c>
      <c r="Z179" s="3" t="s">
        <v>35</v>
      </c>
      <c r="AA179" s="3" t="s">
        <v>35</v>
      </c>
    </row>
    <row r="180" s="3" customFormat="1" spans="1:27">
      <c r="A180" s="3" t="s">
        <v>145</v>
      </c>
      <c r="B180" s="3" t="s">
        <v>30</v>
      </c>
      <c r="C180" s="3">
        <v>21753145</v>
      </c>
      <c r="D180" s="13">
        <v>233546961527</v>
      </c>
      <c r="E180" s="16">
        <v>46088.4767361111</v>
      </c>
      <c r="F180" s="3">
        <v>312.43</v>
      </c>
      <c r="G180" s="3">
        <v>0</v>
      </c>
      <c r="H180" s="3">
        <v>312.43</v>
      </c>
      <c r="I180" s="3">
        <v>-27.01</v>
      </c>
      <c r="J180" s="3">
        <v>0</v>
      </c>
      <c r="K180" s="3">
        <v>-27.01</v>
      </c>
      <c r="L180" s="3">
        <v>105.92</v>
      </c>
      <c r="M180" s="3">
        <v>1377</v>
      </c>
      <c r="N180" s="3">
        <v>105.92</v>
      </c>
      <c r="O180" s="3">
        <v>1376.96</v>
      </c>
      <c r="P180" s="3" t="s">
        <v>32</v>
      </c>
      <c r="Q180" s="3" t="s">
        <v>33</v>
      </c>
      <c r="R180" s="3" t="s">
        <v>269</v>
      </c>
      <c r="S180" s="3">
        <v>0</v>
      </c>
      <c r="T180" s="3">
        <v>69</v>
      </c>
      <c r="U180" s="3">
        <v>0</v>
      </c>
      <c r="V180" s="3" t="s">
        <v>35</v>
      </c>
      <c r="W180" s="3" t="s">
        <v>35</v>
      </c>
      <c r="X180" s="3" t="s">
        <v>35</v>
      </c>
      <c r="Y180" s="3" t="s">
        <v>35</v>
      </c>
      <c r="Z180" s="3" t="s">
        <v>35</v>
      </c>
      <c r="AA180" s="3" t="s">
        <v>35</v>
      </c>
    </row>
    <row r="181" s="3" customFormat="1" spans="1:27">
      <c r="A181" s="3" t="s">
        <v>145</v>
      </c>
      <c r="B181" s="3" t="s">
        <v>30</v>
      </c>
      <c r="C181" s="3">
        <v>20555245</v>
      </c>
      <c r="D181" s="13">
        <v>233548307931</v>
      </c>
      <c r="E181" s="16">
        <v>46027.4913541667</v>
      </c>
      <c r="F181" s="3">
        <v>20350.34</v>
      </c>
      <c r="G181" s="3">
        <v>0</v>
      </c>
      <c r="H181" s="3">
        <v>20350.34</v>
      </c>
      <c r="I181" s="3">
        <v>805.65</v>
      </c>
      <c r="J181" s="3">
        <v>0</v>
      </c>
      <c r="K181" s="3">
        <v>805.65</v>
      </c>
      <c r="L181" s="3">
        <v>2126.08</v>
      </c>
      <c r="M181" s="3">
        <v>27639</v>
      </c>
      <c r="N181" s="3">
        <v>1232.85</v>
      </c>
      <c r="O181" s="3">
        <v>16027.05</v>
      </c>
      <c r="P181" s="3" t="s">
        <v>41</v>
      </c>
      <c r="Q181" s="3" t="s">
        <v>42</v>
      </c>
      <c r="R181" s="3" t="s">
        <v>269</v>
      </c>
      <c r="S181" s="3">
        <v>0</v>
      </c>
      <c r="T181" s="3">
        <v>801</v>
      </c>
      <c r="U181" s="3">
        <v>0</v>
      </c>
      <c r="V181" s="3" t="s">
        <v>35</v>
      </c>
      <c r="W181" s="3" t="s">
        <v>35</v>
      </c>
      <c r="X181" s="3" t="s">
        <v>35</v>
      </c>
      <c r="Y181" s="3" t="s">
        <v>35</v>
      </c>
      <c r="Z181" s="3" t="s">
        <v>35</v>
      </c>
      <c r="AA181" s="3" t="s">
        <v>35</v>
      </c>
    </row>
    <row r="182" s="3" customFormat="1" spans="1:27">
      <c r="A182" s="3" t="s">
        <v>145</v>
      </c>
      <c r="B182" s="3" t="s">
        <v>30</v>
      </c>
      <c r="C182" s="3">
        <v>3640113</v>
      </c>
      <c r="D182" s="13">
        <v>233550321617</v>
      </c>
      <c r="E182" s="16">
        <v>44253.9386805556</v>
      </c>
      <c r="F182" s="3">
        <v>863.9</v>
      </c>
      <c r="G182" s="3">
        <v>0</v>
      </c>
      <c r="H182" s="3">
        <v>863.9</v>
      </c>
      <c r="I182" s="3">
        <v>190.7</v>
      </c>
      <c r="J182" s="3">
        <v>0</v>
      </c>
      <c r="K182" s="3">
        <v>190.7</v>
      </c>
      <c r="L182" s="3">
        <v>400.77</v>
      </c>
      <c r="M182" s="3">
        <v>5210</v>
      </c>
      <c r="N182" s="3">
        <v>801.54</v>
      </c>
      <c r="O182" s="3">
        <v>10420.02</v>
      </c>
      <c r="P182" s="3" t="s">
        <v>41</v>
      </c>
      <c r="Q182" s="3" t="s">
        <v>33</v>
      </c>
      <c r="R182" s="3" t="s">
        <v>269</v>
      </c>
      <c r="S182" s="3">
        <v>0</v>
      </c>
      <c r="T182" s="3">
        <v>521</v>
      </c>
      <c r="U182" s="3">
        <v>0</v>
      </c>
      <c r="V182" s="3" t="s">
        <v>35</v>
      </c>
      <c r="W182" s="3" t="s">
        <v>35</v>
      </c>
      <c r="X182" s="3" t="s">
        <v>35</v>
      </c>
      <c r="Y182" s="3" t="s">
        <v>35</v>
      </c>
      <c r="Z182" s="3" t="s">
        <v>35</v>
      </c>
      <c r="AA182" s="3" t="s">
        <v>35</v>
      </c>
    </row>
    <row r="183" s="3" customFormat="1" spans="1:27">
      <c r="A183" s="3" t="s">
        <v>145</v>
      </c>
      <c r="B183" s="3" t="s">
        <v>30</v>
      </c>
      <c r="C183" s="3">
        <v>22617023</v>
      </c>
      <c r="D183" s="13">
        <v>233552532803</v>
      </c>
      <c r="E183" s="16">
        <v>46138.7498958333</v>
      </c>
      <c r="F183" s="3">
        <v>125.35</v>
      </c>
      <c r="G183" s="3">
        <v>0</v>
      </c>
      <c r="H183" s="3">
        <v>125.35</v>
      </c>
      <c r="I183" s="3">
        <v>-16.95</v>
      </c>
      <c r="J183" s="3">
        <v>0</v>
      </c>
      <c r="K183" s="3">
        <v>-16.95</v>
      </c>
      <c r="L183" s="3">
        <v>60</v>
      </c>
      <c r="M183" s="3">
        <v>780</v>
      </c>
      <c r="N183" s="3">
        <v>120</v>
      </c>
      <c r="O183" s="3">
        <v>1560</v>
      </c>
      <c r="P183" s="3" t="s">
        <v>41</v>
      </c>
      <c r="Q183" s="3" t="s">
        <v>33</v>
      </c>
      <c r="R183" s="3" t="s">
        <v>269</v>
      </c>
      <c r="S183" s="3">
        <v>0</v>
      </c>
      <c r="T183" s="3">
        <v>78</v>
      </c>
      <c r="U183" s="3">
        <v>0</v>
      </c>
      <c r="V183" s="3" t="s">
        <v>35</v>
      </c>
      <c r="W183" s="3" t="s">
        <v>35</v>
      </c>
      <c r="X183" s="3" t="s">
        <v>35</v>
      </c>
      <c r="Y183" s="3" t="s">
        <v>35</v>
      </c>
      <c r="Z183" s="3" t="s">
        <v>35</v>
      </c>
      <c r="AA183" s="3" t="s">
        <v>35</v>
      </c>
    </row>
    <row r="184" s="3" customFormat="1" spans="1:27">
      <c r="A184" s="3" t="s">
        <v>145</v>
      </c>
      <c r="B184" s="3" t="s">
        <v>30</v>
      </c>
      <c r="C184" s="3">
        <v>21796395</v>
      </c>
      <c r="D184" s="13">
        <v>233554012450</v>
      </c>
      <c r="E184" s="16">
        <v>46090.7072685185</v>
      </c>
      <c r="F184" s="3">
        <v>1586.64</v>
      </c>
      <c r="G184" s="3">
        <v>0.77</v>
      </c>
      <c r="H184" s="3">
        <v>1585.87</v>
      </c>
      <c r="I184" s="3">
        <v>10.55</v>
      </c>
      <c r="J184" s="3">
        <v>0.62</v>
      </c>
      <c r="K184" s="3">
        <v>9.93</v>
      </c>
      <c r="L184" s="3">
        <v>281</v>
      </c>
      <c r="M184" s="3">
        <v>3653</v>
      </c>
      <c r="N184" s="3">
        <v>281</v>
      </c>
      <c r="O184" s="3">
        <v>3653</v>
      </c>
      <c r="P184" s="3" t="s">
        <v>32</v>
      </c>
      <c r="Q184" s="3" t="s">
        <v>33</v>
      </c>
      <c r="R184" s="3" t="s">
        <v>269</v>
      </c>
      <c r="S184" s="3">
        <v>0</v>
      </c>
      <c r="T184" s="3">
        <v>183</v>
      </c>
      <c r="U184" s="3">
        <v>0</v>
      </c>
      <c r="V184" s="3" t="s">
        <v>35</v>
      </c>
      <c r="W184" s="3" t="s">
        <v>35</v>
      </c>
      <c r="X184" s="3" t="s">
        <v>35</v>
      </c>
      <c r="Y184" s="3" t="s">
        <v>35</v>
      </c>
      <c r="Z184" s="3" t="s">
        <v>35</v>
      </c>
      <c r="AA184" s="3" t="s">
        <v>35</v>
      </c>
    </row>
    <row r="185" s="3" customFormat="1" spans="1:27">
      <c r="A185" s="3" t="s">
        <v>145</v>
      </c>
      <c r="B185" s="3" t="s">
        <v>30</v>
      </c>
      <c r="C185" s="3">
        <v>20412445</v>
      </c>
      <c r="D185" s="13">
        <v>233555041183</v>
      </c>
      <c r="E185" s="16">
        <v>46020.6755208333</v>
      </c>
      <c r="F185" s="3">
        <v>67.46</v>
      </c>
      <c r="G185" s="3">
        <v>5.85</v>
      </c>
      <c r="H185" s="3">
        <v>61.62</v>
      </c>
      <c r="I185" s="3">
        <v>67.46</v>
      </c>
      <c r="J185" s="3">
        <v>5.85</v>
      </c>
      <c r="K185" s="3">
        <v>61.62</v>
      </c>
      <c r="L185" s="3">
        <v>67.46</v>
      </c>
      <c r="M185" s="3">
        <v>877</v>
      </c>
      <c r="N185" s="3">
        <v>0</v>
      </c>
      <c r="O185" s="3">
        <v>0</v>
      </c>
      <c r="P185" s="3" t="s">
        <v>41</v>
      </c>
      <c r="Q185" s="3" t="s">
        <v>33</v>
      </c>
      <c r="R185" s="3" t="s">
        <v>269</v>
      </c>
      <c r="S185" s="3">
        <v>0</v>
      </c>
      <c r="T185" s="3">
        <v>0</v>
      </c>
      <c r="U185" s="3">
        <v>0</v>
      </c>
      <c r="V185" s="3" t="s">
        <v>35</v>
      </c>
      <c r="W185" s="3" t="s">
        <v>35</v>
      </c>
      <c r="X185" s="3" t="s">
        <v>35</v>
      </c>
      <c r="Y185" s="3" t="s">
        <v>35</v>
      </c>
      <c r="Z185" s="3" t="s">
        <v>35</v>
      </c>
      <c r="AA185" s="3" t="s">
        <v>35</v>
      </c>
    </row>
    <row r="186" s="3" customFormat="1" spans="1:27">
      <c r="A186" s="3" t="s">
        <v>145</v>
      </c>
      <c r="B186" s="3" t="s">
        <v>30</v>
      </c>
      <c r="C186" s="3">
        <v>20126465</v>
      </c>
      <c r="D186" s="13">
        <v>233555142411</v>
      </c>
      <c r="E186" s="16">
        <v>46006.5619328704</v>
      </c>
      <c r="F186" s="3">
        <v>115.61</v>
      </c>
      <c r="G186" s="3">
        <v>0.38</v>
      </c>
      <c r="H186" s="3">
        <v>115.22</v>
      </c>
      <c r="I186" s="3">
        <v>19.99</v>
      </c>
      <c r="J186" s="3">
        <v>0.38</v>
      </c>
      <c r="K186" s="3">
        <v>19.61</v>
      </c>
      <c r="L186" s="3">
        <v>74.62</v>
      </c>
      <c r="M186" s="3">
        <v>970</v>
      </c>
      <c r="N186" s="3">
        <v>7.23</v>
      </c>
      <c r="O186" s="3">
        <v>93.99</v>
      </c>
      <c r="P186" s="3" t="s">
        <v>32</v>
      </c>
      <c r="Q186" s="3" t="s">
        <v>33</v>
      </c>
      <c r="R186" s="3" t="s">
        <v>269</v>
      </c>
      <c r="S186" s="3">
        <v>0</v>
      </c>
      <c r="T186" s="3">
        <v>5</v>
      </c>
      <c r="U186" s="3">
        <v>0</v>
      </c>
      <c r="V186" s="3" t="s">
        <v>35</v>
      </c>
      <c r="W186" s="3" t="s">
        <v>35</v>
      </c>
      <c r="X186" s="3" t="s">
        <v>35</v>
      </c>
      <c r="Y186" s="3" t="s">
        <v>35</v>
      </c>
      <c r="Z186" s="3" t="s">
        <v>35</v>
      </c>
      <c r="AA186" s="3" t="s">
        <v>35</v>
      </c>
    </row>
    <row r="187" s="3" customFormat="1" spans="1:27">
      <c r="A187" s="3" t="s">
        <v>145</v>
      </c>
      <c r="B187" s="3" t="s">
        <v>30</v>
      </c>
      <c r="C187" s="3">
        <v>13349373</v>
      </c>
      <c r="D187" s="13">
        <v>233558170596</v>
      </c>
      <c r="E187" s="16">
        <v>45493.951087963</v>
      </c>
      <c r="F187" s="3">
        <v>2399.34</v>
      </c>
      <c r="G187" s="3">
        <v>0.38</v>
      </c>
      <c r="H187" s="3">
        <v>2398.96</v>
      </c>
      <c r="I187" s="3">
        <v>67.85</v>
      </c>
      <c r="J187" s="3">
        <v>-0.1</v>
      </c>
      <c r="K187" s="3">
        <v>67.95</v>
      </c>
      <c r="L187" s="3">
        <v>579.46</v>
      </c>
      <c r="M187" s="3">
        <v>7533</v>
      </c>
      <c r="N187" s="3">
        <v>326.46</v>
      </c>
      <c r="O187" s="3">
        <v>4243.98</v>
      </c>
      <c r="P187" s="3" t="s">
        <v>41</v>
      </c>
      <c r="Q187" s="3" t="s">
        <v>33</v>
      </c>
      <c r="R187" s="3" t="s">
        <v>269</v>
      </c>
      <c r="S187" s="3">
        <v>0</v>
      </c>
      <c r="T187" s="3">
        <v>212</v>
      </c>
      <c r="U187" s="3">
        <v>0</v>
      </c>
      <c r="V187" s="3" t="s">
        <v>35</v>
      </c>
      <c r="W187" s="3" t="s">
        <v>35</v>
      </c>
      <c r="X187" s="3" t="s">
        <v>35</v>
      </c>
      <c r="Y187" s="3" t="s">
        <v>35</v>
      </c>
      <c r="Z187" s="3" t="s">
        <v>35</v>
      </c>
      <c r="AA187" s="3" t="s">
        <v>35</v>
      </c>
    </row>
    <row r="188" s="3" customFormat="1" spans="1:27">
      <c r="A188" s="3" t="s">
        <v>145</v>
      </c>
      <c r="B188" s="3" t="s">
        <v>30</v>
      </c>
      <c r="C188" s="3">
        <v>17757335</v>
      </c>
      <c r="D188" s="13">
        <v>233559072236</v>
      </c>
      <c r="E188" s="16">
        <v>45874.1154513889</v>
      </c>
      <c r="F188" s="3">
        <v>458.51</v>
      </c>
      <c r="G188" s="3">
        <v>0</v>
      </c>
      <c r="H188" s="3">
        <v>458.51</v>
      </c>
      <c r="I188" s="3">
        <v>34</v>
      </c>
      <c r="J188" s="3">
        <v>0</v>
      </c>
      <c r="K188" s="3">
        <v>34</v>
      </c>
      <c r="L188" s="3">
        <v>56</v>
      </c>
      <c r="M188" s="3">
        <v>728</v>
      </c>
      <c r="N188" s="3">
        <v>3.38</v>
      </c>
      <c r="O188" s="3">
        <v>43.94</v>
      </c>
      <c r="P188" s="3" t="s">
        <v>41</v>
      </c>
      <c r="Q188" s="3" t="s">
        <v>33</v>
      </c>
      <c r="R188" s="3" t="s">
        <v>269</v>
      </c>
      <c r="S188" s="3">
        <v>0</v>
      </c>
      <c r="T188" s="3">
        <v>2</v>
      </c>
      <c r="U188" s="3">
        <v>0</v>
      </c>
      <c r="V188" s="3" t="s">
        <v>35</v>
      </c>
      <c r="W188" s="3" t="s">
        <v>35</v>
      </c>
      <c r="X188" s="3" t="s">
        <v>35</v>
      </c>
      <c r="Y188" s="3" t="s">
        <v>35</v>
      </c>
      <c r="Z188" s="3" t="s">
        <v>35</v>
      </c>
      <c r="AA188" s="3" t="s">
        <v>35</v>
      </c>
    </row>
    <row r="189" s="3" customFormat="1" spans="1:27">
      <c r="A189" s="3" t="s">
        <v>145</v>
      </c>
      <c r="B189" s="3" t="s">
        <v>30</v>
      </c>
      <c r="C189" s="3">
        <v>3737923</v>
      </c>
      <c r="D189" s="13">
        <v>233593223711</v>
      </c>
      <c r="E189" s="16">
        <v>44255.3948611111</v>
      </c>
      <c r="F189" s="3">
        <v>123.19</v>
      </c>
      <c r="G189" s="3">
        <v>56</v>
      </c>
      <c r="H189" s="3">
        <v>67.19</v>
      </c>
      <c r="I189" s="3">
        <v>42.06</v>
      </c>
      <c r="J189" s="3">
        <v>11.95</v>
      </c>
      <c r="K189" s="3">
        <v>30.12</v>
      </c>
      <c r="L189" s="3">
        <v>70.54</v>
      </c>
      <c r="M189" s="3">
        <v>917</v>
      </c>
      <c r="N189" s="3">
        <v>3.85</v>
      </c>
      <c r="O189" s="3">
        <v>50.05</v>
      </c>
      <c r="P189" s="3" t="s">
        <v>61</v>
      </c>
      <c r="Q189" s="3" t="s">
        <v>33</v>
      </c>
      <c r="R189" s="3" t="s">
        <v>269</v>
      </c>
      <c r="S189" s="3">
        <v>120</v>
      </c>
      <c r="T189" s="3">
        <v>1</v>
      </c>
      <c r="U189" s="3">
        <v>0</v>
      </c>
      <c r="V189" s="3" t="s">
        <v>35</v>
      </c>
      <c r="W189" s="3" t="s">
        <v>35</v>
      </c>
      <c r="X189" s="3" t="s">
        <v>35</v>
      </c>
      <c r="Y189" s="3" t="s">
        <v>35</v>
      </c>
      <c r="Z189" s="3" t="s">
        <v>35</v>
      </c>
      <c r="AA189" s="3" t="s">
        <v>35</v>
      </c>
    </row>
    <row r="190" s="3" customFormat="1" spans="1:27">
      <c r="A190" s="3" t="s">
        <v>145</v>
      </c>
      <c r="B190" s="3" t="s">
        <v>30</v>
      </c>
      <c r="C190" s="3">
        <v>8519314</v>
      </c>
      <c r="D190" s="13">
        <v>233593748193</v>
      </c>
      <c r="E190" s="16">
        <v>44791.5455671296</v>
      </c>
      <c r="F190" s="3">
        <v>6929.1</v>
      </c>
      <c r="G190" s="3">
        <v>0</v>
      </c>
      <c r="H190" s="3">
        <v>6929.1</v>
      </c>
      <c r="I190" s="3">
        <v>206.95</v>
      </c>
      <c r="J190" s="3">
        <v>0</v>
      </c>
      <c r="K190" s="3">
        <v>206.95</v>
      </c>
      <c r="L190" s="3">
        <v>1529.62</v>
      </c>
      <c r="M190" s="3">
        <v>19885</v>
      </c>
      <c r="N190" s="3">
        <v>91.31</v>
      </c>
      <c r="O190" s="3">
        <v>1187.03</v>
      </c>
      <c r="P190" s="3" t="s">
        <v>32</v>
      </c>
      <c r="Q190" s="3" t="s">
        <v>42</v>
      </c>
      <c r="R190" s="3" t="s">
        <v>269</v>
      </c>
      <c r="S190" s="3">
        <v>0</v>
      </c>
      <c r="T190" s="3">
        <v>59</v>
      </c>
      <c r="U190" s="3">
        <v>0</v>
      </c>
      <c r="V190" s="3" t="s">
        <v>35</v>
      </c>
      <c r="W190" s="3" t="s">
        <v>35</v>
      </c>
      <c r="X190" s="3" t="s">
        <v>35</v>
      </c>
      <c r="Y190" s="3" t="s">
        <v>35</v>
      </c>
      <c r="Z190" s="3" t="s">
        <v>35</v>
      </c>
      <c r="AA190" s="3" t="s">
        <v>35</v>
      </c>
    </row>
    <row r="191" s="3" customFormat="1" spans="1:27">
      <c r="A191" s="3" t="s">
        <v>145</v>
      </c>
      <c r="B191" s="3" t="s">
        <v>30</v>
      </c>
      <c r="C191" s="3">
        <v>19917533</v>
      </c>
      <c r="D191" s="13">
        <v>233594177677</v>
      </c>
      <c r="E191" s="16">
        <v>45996.4710532407</v>
      </c>
      <c r="F191" s="3">
        <v>5.85</v>
      </c>
      <c r="G191" s="3">
        <v>0.92</v>
      </c>
      <c r="H191" s="3">
        <v>4.93</v>
      </c>
      <c r="I191" s="3">
        <v>1.93</v>
      </c>
      <c r="J191" s="3">
        <v>0.8</v>
      </c>
      <c r="K191" s="3">
        <v>1.13</v>
      </c>
      <c r="L191" s="3">
        <v>120.77</v>
      </c>
      <c r="M191" s="3">
        <v>1570</v>
      </c>
      <c r="N191" s="3">
        <v>0</v>
      </c>
      <c r="O191" s="3">
        <v>0</v>
      </c>
      <c r="P191" s="3" t="s">
        <v>61</v>
      </c>
      <c r="Q191" s="3" t="s">
        <v>33</v>
      </c>
      <c r="R191" s="3" t="s">
        <v>269</v>
      </c>
      <c r="S191" s="3">
        <v>120</v>
      </c>
      <c r="T191" s="3">
        <v>0</v>
      </c>
      <c r="U191" s="3">
        <v>0</v>
      </c>
      <c r="V191" s="3" t="s">
        <v>35</v>
      </c>
      <c r="W191" s="3" t="s">
        <v>35</v>
      </c>
      <c r="X191" s="3" t="s">
        <v>35</v>
      </c>
      <c r="Y191" s="3" t="s">
        <v>35</v>
      </c>
      <c r="Z191" s="3" t="s">
        <v>35</v>
      </c>
      <c r="AA191" s="3" t="s">
        <v>35</v>
      </c>
    </row>
    <row r="192" s="3" customFormat="1" spans="1:27">
      <c r="A192" s="3" t="s">
        <v>145</v>
      </c>
      <c r="B192" s="3" t="s">
        <v>30</v>
      </c>
      <c r="C192" s="3">
        <v>22381275</v>
      </c>
      <c r="D192" s="13">
        <v>233596464412</v>
      </c>
      <c r="E192" s="16">
        <v>46123.8476736111</v>
      </c>
      <c r="F192" s="3">
        <v>2242.28</v>
      </c>
      <c r="G192" s="3">
        <v>9.23</v>
      </c>
      <c r="H192" s="3">
        <v>2233.05</v>
      </c>
      <c r="I192" s="3">
        <v>155.69</v>
      </c>
      <c r="J192" s="3">
        <v>9.23</v>
      </c>
      <c r="K192" s="3">
        <v>146.47</v>
      </c>
      <c r="L192" s="3">
        <v>323.15</v>
      </c>
      <c r="M192" s="3">
        <v>4201</v>
      </c>
      <c r="N192" s="3">
        <v>323.15</v>
      </c>
      <c r="O192" s="3">
        <v>4200.95</v>
      </c>
      <c r="P192" s="3" t="s">
        <v>32</v>
      </c>
      <c r="Q192" s="3" t="s">
        <v>33</v>
      </c>
      <c r="R192" s="3" t="s">
        <v>269</v>
      </c>
      <c r="S192" s="3">
        <v>0</v>
      </c>
      <c r="T192" s="3">
        <v>210</v>
      </c>
      <c r="U192" s="3">
        <v>0</v>
      </c>
      <c r="V192" s="3" t="s">
        <v>35</v>
      </c>
      <c r="W192" s="3" t="s">
        <v>35</v>
      </c>
      <c r="X192" s="3" t="s">
        <v>35</v>
      </c>
      <c r="Y192" s="3" t="s">
        <v>35</v>
      </c>
      <c r="Z192" s="3" t="s">
        <v>35</v>
      </c>
      <c r="AA192" s="3" t="s">
        <v>35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31"/>
  <sheetViews>
    <sheetView workbookViewId="0">
      <selection activeCell="R2" sqref="R2:R11"/>
    </sheetView>
  </sheetViews>
  <sheetFormatPr defaultColWidth="9" defaultRowHeight="13.5"/>
  <cols>
    <col min="1" max="1" width="13.6814159292035" customWidth="1"/>
    <col min="4" max="4" width="18.3893805309735" style="12"/>
  </cols>
  <sheetData>
    <row r="1" s="3" customFormat="1" spans="1:29">
      <c r="A1" s="3" t="s">
        <v>0</v>
      </c>
      <c r="B1" s="3" t="s">
        <v>1</v>
      </c>
      <c r="C1" s="3" t="s">
        <v>2</v>
      </c>
      <c r="D1" s="1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="3" customFormat="1" spans="1:29">
      <c r="A2" s="3" t="s">
        <v>29</v>
      </c>
      <c r="B2" s="3" t="s">
        <v>30</v>
      </c>
      <c r="C2" s="3">
        <v>22965717</v>
      </c>
      <c r="D2" s="13" t="s">
        <v>270</v>
      </c>
      <c r="E2" s="16">
        <v>46163.6176388889</v>
      </c>
      <c r="F2" s="3">
        <v>1971.46</v>
      </c>
      <c r="G2" s="3">
        <v>0</v>
      </c>
      <c r="H2" s="3">
        <v>1971.46</v>
      </c>
      <c r="I2" s="3">
        <v>214.54</v>
      </c>
      <c r="J2" s="3">
        <v>0</v>
      </c>
      <c r="K2" s="3">
        <v>214.54</v>
      </c>
      <c r="L2" s="3">
        <v>336.85</v>
      </c>
      <c r="M2" s="3">
        <v>4379</v>
      </c>
      <c r="N2" s="3">
        <v>336.85</v>
      </c>
      <c r="O2" s="3">
        <v>4379</v>
      </c>
      <c r="P2" s="3" t="s">
        <v>41</v>
      </c>
      <c r="Q2" s="3" t="s">
        <v>33</v>
      </c>
      <c r="R2" s="3" t="s">
        <v>271</v>
      </c>
      <c r="S2" s="3">
        <v>0</v>
      </c>
      <c r="T2" s="3">
        <v>219</v>
      </c>
      <c r="U2" s="3">
        <v>0</v>
      </c>
      <c r="V2" s="3" t="s">
        <v>35</v>
      </c>
      <c r="W2" s="3" t="s">
        <v>35</v>
      </c>
      <c r="X2" s="3" t="s">
        <v>35</v>
      </c>
      <c r="Y2" s="3" t="s">
        <v>35</v>
      </c>
      <c r="Z2" s="3" t="s">
        <v>35</v>
      </c>
      <c r="AA2" s="3" t="s">
        <v>35</v>
      </c>
      <c r="AB2" s="3" t="s">
        <v>36</v>
      </c>
      <c r="AC2" s="3" t="s">
        <v>37</v>
      </c>
    </row>
    <row r="3" s="3" customFormat="1" spans="1:29">
      <c r="A3" s="3" t="s">
        <v>29</v>
      </c>
      <c r="B3" s="3" t="s">
        <v>30</v>
      </c>
      <c r="C3" s="3">
        <v>17022597</v>
      </c>
      <c r="D3" s="13" t="s">
        <v>272</v>
      </c>
      <c r="E3" s="16">
        <v>45824.5005555555</v>
      </c>
      <c r="F3" s="3">
        <v>379.19</v>
      </c>
      <c r="G3" s="3">
        <v>66.51</v>
      </c>
      <c r="H3" s="3">
        <v>312.68</v>
      </c>
      <c r="I3" s="3">
        <v>3.83</v>
      </c>
      <c r="J3" s="3">
        <v>-49.3</v>
      </c>
      <c r="K3" s="3">
        <v>53.13</v>
      </c>
      <c r="L3" s="3">
        <v>160.15</v>
      </c>
      <c r="M3" s="3">
        <v>2082</v>
      </c>
      <c r="N3" s="3">
        <v>97.46</v>
      </c>
      <c r="O3" s="3">
        <v>1267</v>
      </c>
      <c r="P3" s="3" t="s">
        <v>61</v>
      </c>
      <c r="Q3" s="3" t="s">
        <v>33</v>
      </c>
      <c r="R3" s="3" t="s">
        <v>271</v>
      </c>
      <c r="S3" s="3">
        <v>120</v>
      </c>
      <c r="T3" s="3">
        <v>52</v>
      </c>
      <c r="U3" s="3">
        <v>0</v>
      </c>
      <c r="V3" s="3" t="s">
        <v>35</v>
      </c>
      <c r="W3" s="3" t="s">
        <v>35</v>
      </c>
      <c r="X3" s="3" t="s">
        <v>35</v>
      </c>
      <c r="Y3" s="3" t="s">
        <v>35</v>
      </c>
      <c r="Z3" s="3" t="s">
        <v>35</v>
      </c>
      <c r="AA3" s="3" t="s">
        <v>35</v>
      </c>
      <c r="AB3" s="3" t="s">
        <v>43</v>
      </c>
      <c r="AC3" s="3" t="s">
        <v>37</v>
      </c>
    </row>
    <row r="4" s="3" customFormat="1" spans="1:29">
      <c r="A4" s="3" t="s">
        <v>29</v>
      </c>
      <c r="B4" s="3" t="s">
        <v>30</v>
      </c>
      <c r="C4" s="3">
        <v>21942736</v>
      </c>
      <c r="D4" s="13" t="s">
        <v>273</v>
      </c>
      <c r="E4" s="16">
        <v>46098.630162037</v>
      </c>
      <c r="F4" s="3">
        <v>630.23</v>
      </c>
      <c r="G4" s="3">
        <v>0</v>
      </c>
      <c r="H4" s="3">
        <v>630.23</v>
      </c>
      <c r="I4" s="3">
        <v>237.95</v>
      </c>
      <c r="J4" s="3">
        <v>0</v>
      </c>
      <c r="K4" s="3">
        <v>237.95</v>
      </c>
      <c r="L4" s="3">
        <v>384.62</v>
      </c>
      <c r="M4" s="3">
        <v>5000</v>
      </c>
      <c r="N4" s="3">
        <v>384.62</v>
      </c>
      <c r="O4" s="3">
        <v>5000</v>
      </c>
      <c r="P4" s="3" t="s">
        <v>32</v>
      </c>
      <c r="Q4" s="3" t="s">
        <v>33</v>
      </c>
      <c r="R4" s="3" t="s">
        <v>271</v>
      </c>
      <c r="S4" s="3">
        <v>0</v>
      </c>
      <c r="T4" s="3">
        <v>250</v>
      </c>
      <c r="U4" s="3">
        <v>0</v>
      </c>
      <c r="V4" s="3" t="s">
        <v>35</v>
      </c>
      <c r="W4" s="3" t="s">
        <v>35</v>
      </c>
      <c r="X4" s="3" t="s">
        <v>35</v>
      </c>
      <c r="Y4" s="3" t="s">
        <v>35</v>
      </c>
      <c r="Z4" s="3" t="s">
        <v>35</v>
      </c>
      <c r="AA4" s="3" t="s">
        <v>35</v>
      </c>
      <c r="AB4" s="3" t="s">
        <v>43</v>
      </c>
      <c r="AC4" s="3" t="s">
        <v>37</v>
      </c>
    </row>
    <row r="5" s="3" customFormat="1" spans="1:29">
      <c r="A5" s="3" t="s">
        <v>29</v>
      </c>
      <c r="B5" s="3" t="s">
        <v>30</v>
      </c>
      <c r="C5" s="3">
        <v>21330248</v>
      </c>
      <c r="D5" s="13" t="s">
        <v>274</v>
      </c>
      <c r="E5" s="16">
        <v>46067.6032291667</v>
      </c>
      <c r="F5" s="3">
        <v>728.91</v>
      </c>
      <c r="G5" s="3">
        <v>422.48</v>
      </c>
      <c r="H5" s="3">
        <v>306.43</v>
      </c>
      <c r="I5" s="3">
        <v>-254.69</v>
      </c>
      <c r="J5" s="3">
        <v>-324.08</v>
      </c>
      <c r="K5" s="3">
        <v>69.39</v>
      </c>
      <c r="L5" s="3">
        <v>454</v>
      </c>
      <c r="M5" s="3">
        <v>5902</v>
      </c>
      <c r="N5" s="3">
        <v>356.69</v>
      </c>
      <c r="O5" s="3">
        <v>4637</v>
      </c>
      <c r="P5" s="3" t="s">
        <v>61</v>
      </c>
      <c r="Q5" s="3" t="s">
        <v>33</v>
      </c>
      <c r="R5" s="3" t="s">
        <v>271</v>
      </c>
      <c r="S5" s="3">
        <v>120</v>
      </c>
      <c r="T5" s="3">
        <v>148</v>
      </c>
      <c r="U5" s="3">
        <v>0</v>
      </c>
      <c r="V5" s="3" t="s">
        <v>35</v>
      </c>
      <c r="W5" s="3" t="s">
        <v>35</v>
      </c>
      <c r="X5" s="3" t="s">
        <v>35</v>
      </c>
      <c r="Y5" s="3" t="s">
        <v>35</v>
      </c>
      <c r="Z5" s="3" t="s">
        <v>35</v>
      </c>
      <c r="AA5" s="3" t="s">
        <v>35</v>
      </c>
      <c r="AB5" s="3" t="s">
        <v>43</v>
      </c>
      <c r="AC5" s="3" t="s">
        <v>37</v>
      </c>
    </row>
    <row r="6" s="3" customFormat="1" spans="1:29">
      <c r="A6" s="3" t="s">
        <v>29</v>
      </c>
      <c r="B6" s="3" t="s">
        <v>30</v>
      </c>
      <c r="C6" s="3">
        <v>6990358</v>
      </c>
      <c r="D6" s="13" t="s">
        <v>275</v>
      </c>
      <c r="E6" s="16">
        <v>44625.4245949074</v>
      </c>
      <c r="F6" s="3">
        <v>7119.97</v>
      </c>
      <c r="G6" s="3">
        <v>0.85</v>
      </c>
      <c r="H6" s="3">
        <v>7119.12</v>
      </c>
      <c r="I6" s="3">
        <v>311.22</v>
      </c>
      <c r="J6" s="3">
        <v>0.85</v>
      </c>
      <c r="K6" s="3">
        <v>310.38</v>
      </c>
      <c r="L6" s="3">
        <v>865.69</v>
      </c>
      <c r="M6" s="3">
        <v>11254</v>
      </c>
      <c r="N6" s="3">
        <v>98.85</v>
      </c>
      <c r="O6" s="3">
        <v>1285</v>
      </c>
      <c r="P6" s="3" t="s">
        <v>32</v>
      </c>
      <c r="Q6" s="3" t="s">
        <v>33</v>
      </c>
      <c r="R6" s="3" t="s">
        <v>271</v>
      </c>
      <c r="S6" s="3">
        <v>0</v>
      </c>
      <c r="T6" s="3">
        <v>563</v>
      </c>
      <c r="U6" s="3">
        <v>0</v>
      </c>
      <c r="V6" s="3" t="s">
        <v>35</v>
      </c>
      <c r="W6" s="3" t="s">
        <v>35</v>
      </c>
      <c r="X6" s="3" t="s">
        <v>35</v>
      </c>
      <c r="Y6" s="3" t="s">
        <v>35</v>
      </c>
      <c r="Z6" s="3" t="s">
        <v>35</v>
      </c>
      <c r="AA6" s="3" t="s">
        <v>35</v>
      </c>
      <c r="AB6" s="3" t="s">
        <v>231</v>
      </c>
      <c r="AC6" s="3" t="s">
        <v>159</v>
      </c>
    </row>
    <row r="7" s="3" customFormat="1" spans="1:29">
      <c r="A7" s="3" t="s">
        <v>29</v>
      </c>
      <c r="B7" s="3" t="s">
        <v>30</v>
      </c>
      <c r="C7" s="3">
        <v>20414886</v>
      </c>
      <c r="D7" s="13" t="s">
        <v>276</v>
      </c>
      <c r="E7" s="16">
        <v>46020.7780208333</v>
      </c>
      <c r="F7" s="3">
        <v>273.27</v>
      </c>
      <c r="G7" s="3">
        <v>0</v>
      </c>
      <c r="H7" s="3">
        <v>273.27</v>
      </c>
      <c r="I7" s="3">
        <v>15.52</v>
      </c>
      <c r="J7" s="3">
        <v>0</v>
      </c>
      <c r="K7" s="3">
        <v>15.52</v>
      </c>
      <c r="L7" s="3">
        <v>70.15</v>
      </c>
      <c r="M7" s="3">
        <v>912</v>
      </c>
      <c r="N7" s="3">
        <v>1.54</v>
      </c>
      <c r="O7" s="3">
        <v>20</v>
      </c>
      <c r="P7" s="3" t="s">
        <v>32</v>
      </c>
      <c r="Q7" s="3" t="s">
        <v>33</v>
      </c>
      <c r="R7" s="3" t="s">
        <v>271</v>
      </c>
      <c r="S7" s="3">
        <v>0</v>
      </c>
      <c r="T7" s="3">
        <v>46</v>
      </c>
      <c r="U7" s="3">
        <v>0</v>
      </c>
      <c r="V7" s="3" t="s">
        <v>35</v>
      </c>
      <c r="W7" s="3" t="s">
        <v>35</v>
      </c>
      <c r="X7" s="3" t="s">
        <v>35</v>
      </c>
      <c r="Y7" s="3" t="s">
        <v>35</v>
      </c>
      <c r="Z7" s="3" t="s">
        <v>35</v>
      </c>
      <c r="AA7" s="3" t="s">
        <v>35</v>
      </c>
      <c r="AB7" s="3" t="s">
        <v>231</v>
      </c>
      <c r="AC7" s="3" t="s">
        <v>159</v>
      </c>
    </row>
    <row r="8" s="3" customFormat="1" spans="1:29">
      <c r="A8" s="3" t="s">
        <v>29</v>
      </c>
      <c r="B8" s="3" t="s">
        <v>30</v>
      </c>
      <c r="C8" s="3">
        <v>22506286</v>
      </c>
      <c r="D8" s="13" t="s">
        <v>277</v>
      </c>
      <c r="E8" s="16">
        <v>46131.5411805556</v>
      </c>
      <c r="F8" s="3">
        <v>296.65</v>
      </c>
      <c r="G8" s="3">
        <v>0</v>
      </c>
      <c r="H8" s="3">
        <v>296.65</v>
      </c>
      <c r="I8" s="3">
        <v>18.07</v>
      </c>
      <c r="J8" s="3">
        <v>0</v>
      </c>
      <c r="K8" s="3">
        <v>18.07</v>
      </c>
      <c r="L8" s="3">
        <v>177.08</v>
      </c>
      <c r="M8" s="3">
        <v>2302</v>
      </c>
      <c r="N8" s="3">
        <v>177.08</v>
      </c>
      <c r="O8" s="3">
        <v>2302</v>
      </c>
      <c r="P8" s="3" t="s">
        <v>32</v>
      </c>
      <c r="Q8" s="3" t="s">
        <v>33</v>
      </c>
      <c r="R8" s="3" t="s">
        <v>271</v>
      </c>
      <c r="S8" s="3">
        <v>0</v>
      </c>
      <c r="T8" s="3">
        <v>115</v>
      </c>
      <c r="U8" s="3">
        <v>0</v>
      </c>
      <c r="V8" s="3" t="s">
        <v>35</v>
      </c>
      <c r="W8" s="3" t="s">
        <v>35</v>
      </c>
      <c r="X8" s="3" t="s">
        <v>35</v>
      </c>
      <c r="Y8" s="3" t="s">
        <v>35</v>
      </c>
      <c r="Z8" s="3" t="s">
        <v>35</v>
      </c>
      <c r="AA8" s="3" t="s">
        <v>35</v>
      </c>
      <c r="AB8" s="3" t="s">
        <v>48</v>
      </c>
      <c r="AC8" s="3" t="s">
        <v>49</v>
      </c>
    </row>
    <row r="9" s="3" customFormat="1" spans="1:29">
      <c r="A9" s="3" t="s">
        <v>29</v>
      </c>
      <c r="B9" s="3" t="s">
        <v>30</v>
      </c>
      <c r="C9" s="3">
        <v>9587987</v>
      </c>
      <c r="D9" s="13" t="s">
        <v>278</v>
      </c>
      <c r="E9" s="16">
        <v>44998.7783101852</v>
      </c>
      <c r="F9" s="3">
        <v>281.35</v>
      </c>
      <c r="G9" s="3">
        <v>0</v>
      </c>
      <c r="H9" s="3">
        <v>281.35</v>
      </c>
      <c r="I9" s="3">
        <v>35.77</v>
      </c>
      <c r="J9" s="3">
        <v>0</v>
      </c>
      <c r="K9" s="3">
        <v>35.77</v>
      </c>
      <c r="L9" s="3">
        <v>66.54</v>
      </c>
      <c r="M9" s="3">
        <v>865</v>
      </c>
      <c r="N9" s="3">
        <v>16.15</v>
      </c>
      <c r="O9" s="3">
        <v>210</v>
      </c>
      <c r="P9" s="3" t="s">
        <v>32</v>
      </c>
      <c r="Q9" s="3" t="s">
        <v>33</v>
      </c>
      <c r="R9" s="3" t="s">
        <v>271</v>
      </c>
      <c r="S9" s="3">
        <v>0</v>
      </c>
      <c r="T9" s="3">
        <v>43</v>
      </c>
      <c r="U9" s="3">
        <v>0</v>
      </c>
      <c r="V9" s="3" t="s">
        <v>35</v>
      </c>
      <c r="W9" s="3" t="s">
        <v>35</v>
      </c>
      <c r="X9" s="3" t="s">
        <v>35</v>
      </c>
      <c r="Y9" s="3" t="s">
        <v>35</v>
      </c>
      <c r="Z9" s="3" t="s">
        <v>35</v>
      </c>
      <c r="AA9" s="3" t="s">
        <v>35</v>
      </c>
      <c r="AB9" s="3" t="s">
        <v>48</v>
      </c>
      <c r="AC9" s="3" t="s">
        <v>49</v>
      </c>
    </row>
    <row r="10" s="3" customFormat="1" spans="1:29">
      <c r="A10" s="3" t="s">
        <v>29</v>
      </c>
      <c r="B10" s="3" t="s">
        <v>30</v>
      </c>
      <c r="C10" s="3">
        <v>17414157</v>
      </c>
      <c r="D10" s="13" t="s">
        <v>279</v>
      </c>
      <c r="E10" s="16">
        <v>45853.0480555556</v>
      </c>
      <c r="F10" s="3">
        <v>7053</v>
      </c>
      <c r="G10" s="3">
        <v>0</v>
      </c>
      <c r="H10" s="3">
        <v>7053</v>
      </c>
      <c r="I10" s="3">
        <v>184.96</v>
      </c>
      <c r="J10" s="3">
        <v>0</v>
      </c>
      <c r="K10" s="3">
        <v>184.96</v>
      </c>
      <c r="L10" s="3">
        <v>599.15</v>
      </c>
      <c r="M10" s="3">
        <v>7789</v>
      </c>
      <c r="N10" s="3">
        <v>129.92</v>
      </c>
      <c r="O10" s="3">
        <v>1689</v>
      </c>
      <c r="P10" s="3" t="s">
        <v>32</v>
      </c>
      <c r="Q10" s="3" t="s">
        <v>33</v>
      </c>
      <c r="R10" s="3" t="s">
        <v>271</v>
      </c>
      <c r="S10" s="3">
        <v>0</v>
      </c>
      <c r="T10" s="3">
        <v>389</v>
      </c>
      <c r="U10" s="3">
        <v>0</v>
      </c>
      <c r="V10" s="3" t="s">
        <v>35</v>
      </c>
      <c r="W10" s="3" t="s">
        <v>35</v>
      </c>
      <c r="X10" s="3" t="s">
        <v>35</v>
      </c>
      <c r="Y10" s="3" t="s">
        <v>35</v>
      </c>
      <c r="Z10" s="3" t="s">
        <v>35</v>
      </c>
      <c r="AA10" s="3" t="s">
        <v>35</v>
      </c>
      <c r="AB10" s="3" t="s">
        <v>48</v>
      </c>
      <c r="AC10" s="3" t="s">
        <v>49</v>
      </c>
    </row>
    <row r="11" s="3" customFormat="1" spans="1:29">
      <c r="A11" s="3" t="s">
        <v>29</v>
      </c>
      <c r="B11" s="3" t="s">
        <v>30</v>
      </c>
      <c r="C11" s="3">
        <v>21012646</v>
      </c>
      <c r="D11" s="13" t="s">
        <v>280</v>
      </c>
      <c r="E11" s="16">
        <v>46050.6115740741</v>
      </c>
      <c r="F11" s="3">
        <v>744.2</v>
      </c>
      <c r="G11" s="3">
        <v>0</v>
      </c>
      <c r="H11" s="3">
        <v>744.2</v>
      </c>
      <c r="I11" s="3">
        <v>47.05</v>
      </c>
      <c r="J11" s="3">
        <v>0</v>
      </c>
      <c r="K11" s="3">
        <v>47.05</v>
      </c>
      <c r="L11" s="3">
        <v>267.15</v>
      </c>
      <c r="M11" s="3">
        <v>3473</v>
      </c>
      <c r="N11" s="3">
        <v>89.69</v>
      </c>
      <c r="O11" s="3">
        <v>1166</v>
      </c>
      <c r="P11" s="3" t="s">
        <v>32</v>
      </c>
      <c r="Q11" s="3" t="s">
        <v>33</v>
      </c>
      <c r="R11" s="3" t="s">
        <v>271</v>
      </c>
      <c r="S11" s="3">
        <v>0</v>
      </c>
      <c r="T11" s="3">
        <v>174</v>
      </c>
      <c r="U11" s="3">
        <v>0</v>
      </c>
      <c r="V11" s="3" t="s">
        <v>35</v>
      </c>
      <c r="W11" s="3" t="s">
        <v>35</v>
      </c>
      <c r="X11" s="3" t="s">
        <v>35</v>
      </c>
      <c r="Y11" s="3" t="s">
        <v>35</v>
      </c>
      <c r="Z11" s="3" t="s">
        <v>35</v>
      </c>
      <c r="AA11" s="3" t="s">
        <v>35</v>
      </c>
      <c r="AB11" s="3" t="s">
        <v>48</v>
      </c>
      <c r="AC11" s="3" t="s">
        <v>49</v>
      </c>
    </row>
    <row r="12" s="3" customFormat="1" spans="1:29">
      <c r="A12" s="3" t="s">
        <v>29</v>
      </c>
      <c r="B12" s="3" t="s">
        <v>30</v>
      </c>
      <c r="C12" s="3">
        <v>22884327</v>
      </c>
      <c r="D12" s="13" t="s">
        <v>281</v>
      </c>
      <c r="E12" s="16">
        <v>46157.4060300926</v>
      </c>
      <c r="F12" s="3">
        <v>132.27</v>
      </c>
      <c r="G12" s="3">
        <v>0</v>
      </c>
      <c r="H12" s="3">
        <v>132.27</v>
      </c>
      <c r="I12" s="3">
        <v>31.89</v>
      </c>
      <c r="J12" s="3">
        <v>0</v>
      </c>
      <c r="K12" s="3">
        <v>31.89</v>
      </c>
      <c r="L12" s="3">
        <v>84.23</v>
      </c>
      <c r="M12" s="3">
        <v>1095</v>
      </c>
      <c r="N12" s="3">
        <v>84.23</v>
      </c>
      <c r="O12" s="3">
        <v>1095</v>
      </c>
      <c r="P12" s="3" t="s">
        <v>41</v>
      </c>
      <c r="Q12" s="3" t="s">
        <v>33</v>
      </c>
      <c r="R12" s="3" t="s">
        <v>271</v>
      </c>
      <c r="S12" s="3">
        <v>0</v>
      </c>
      <c r="T12" s="3">
        <v>55</v>
      </c>
      <c r="U12" s="3">
        <v>0</v>
      </c>
      <c r="V12" s="3" t="s">
        <v>35</v>
      </c>
      <c r="W12" s="3" t="s">
        <v>35</v>
      </c>
      <c r="X12" s="3" t="s">
        <v>35</v>
      </c>
      <c r="Y12" s="3" t="s">
        <v>35</v>
      </c>
      <c r="Z12" s="3" t="s">
        <v>35</v>
      </c>
      <c r="AA12" s="3" t="s">
        <v>35</v>
      </c>
      <c r="AB12" s="3" t="s">
        <v>48</v>
      </c>
      <c r="AC12" s="3" t="s">
        <v>49</v>
      </c>
    </row>
    <row r="13" s="3" customFormat="1" spans="1:29">
      <c r="A13" s="3" t="s">
        <v>29</v>
      </c>
      <c r="B13" s="3" t="s">
        <v>30</v>
      </c>
      <c r="C13" s="3">
        <v>10343166</v>
      </c>
      <c r="D13" s="13" t="s">
        <v>282</v>
      </c>
      <c r="E13" s="16">
        <v>45138.5537615741</v>
      </c>
      <c r="F13" s="3">
        <v>1076.85</v>
      </c>
      <c r="G13" s="3">
        <v>174</v>
      </c>
      <c r="H13" s="3">
        <v>902.85</v>
      </c>
      <c r="I13" s="3">
        <v>133.15</v>
      </c>
      <c r="J13" s="3">
        <v>64.67</v>
      </c>
      <c r="K13" s="3">
        <v>68.48</v>
      </c>
      <c r="L13" s="3">
        <v>366.54</v>
      </c>
      <c r="M13" s="3">
        <v>4765</v>
      </c>
      <c r="N13" s="3">
        <v>209.08</v>
      </c>
      <c r="O13" s="3">
        <v>2718</v>
      </c>
      <c r="P13" s="3" t="s">
        <v>61</v>
      </c>
      <c r="Q13" s="3" t="s">
        <v>33</v>
      </c>
      <c r="R13" s="3" t="s">
        <v>271</v>
      </c>
      <c r="S13" s="3">
        <v>120</v>
      </c>
      <c r="T13" s="3">
        <v>119</v>
      </c>
      <c r="U13" s="3">
        <v>0</v>
      </c>
      <c r="V13" s="3" t="s">
        <v>35</v>
      </c>
      <c r="W13" s="3" t="s">
        <v>35</v>
      </c>
      <c r="X13" s="3" t="s">
        <v>35</v>
      </c>
      <c r="Y13" s="3" t="s">
        <v>35</v>
      </c>
      <c r="Z13" s="3" t="s">
        <v>35</v>
      </c>
      <c r="AA13" s="3" t="s">
        <v>35</v>
      </c>
      <c r="AB13" s="3" t="s">
        <v>58</v>
      </c>
      <c r="AC13" s="3" t="s">
        <v>49</v>
      </c>
    </row>
    <row r="14" s="3" customFormat="1" spans="1:29">
      <c r="A14" s="3" t="s">
        <v>29</v>
      </c>
      <c r="B14" s="3" t="s">
        <v>30</v>
      </c>
      <c r="C14" s="3">
        <v>22409646</v>
      </c>
      <c r="D14" s="13" t="s">
        <v>283</v>
      </c>
      <c r="E14" s="16">
        <v>46125.5638773148</v>
      </c>
      <c r="F14" s="3">
        <v>1481.58</v>
      </c>
      <c r="G14" s="3">
        <v>0</v>
      </c>
      <c r="H14" s="3">
        <v>1481.58</v>
      </c>
      <c r="I14" s="3">
        <v>14.97</v>
      </c>
      <c r="J14" s="3">
        <v>0</v>
      </c>
      <c r="K14" s="3">
        <v>14.97</v>
      </c>
      <c r="L14" s="3">
        <v>206.31</v>
      </c>
      <c r="M14" s="3">
        <v>2682</v>
      </c>
      <c r="N14" s="3">
        <v>206.31</v>
      </c>
      <c r="O14" s="3">
        <v>2682</v>
      </c>
      <c r="P14" s="3" t="s">
        <v>41</v>
      </c>
      <c r="Q14" s="3" t="s">
        <v>33</v>
      </c>
      <c r="R14" s="3" t="s">
        <v>271</v>
      </c>
      <c r="S14" s="3">
        <v>0</v>
      </c>
      <c r="T14" s="3">
        <v>134</v>
      </c>
      <c r="U14" s="3">
        <v>0</v>
      </c>
      <c r="V14" s="3" t="s">
        <v>35</v>
      </c>
      <c r="W14" s="3" t="s">
        <v>35</v>
      </c>
      <c r="X14" s="3" t="s">
        <v>35</v>
      </c>
      <c r="Y14" s="3" t="s">
        <v>35</v>
      </c>
      <c r="Z14" s="3" t="s">
        <v>35</v>
      </c>
      <c r="AA14" s="3" t="s">
        <v>35</v>
      </c>
      <c r="AB14" s="3" t="s">
        <v>58</v>
      </c>
      <c r="AC14" s="3" t="s">
        <v>49</v>
      </c>
    </row>
    <row r="15" s="3" customFormat="1" spans="1:29">
      <c r="A15" s="3" t="s">
        <v>29</v>
      </c>
      <c r="B15" s="3" t="s">
        <v>30</v>
      </c>
      <c r="C15" s="3">
        <v>21784758</v>
      </c>
      <c r="D15" s="13" t="s">
        <v>284</v>
      </c>
      <c r="E15" s="16">
        <v>46090.1130439815</v>
      </c>
      <c r="F15" s="3">
        <v>1075.7</v>
      </c>
      <c r="G15" s="3">
        <v>0.15</v>
      </c>
      <c r="H15" s="3">
        <v>1075.55</v>
      </c>
      <c r="I15" s="3">
        <v>45.28</v>
      </c>
      <c r="J15" s="3">
        <v>0.15</v>
      </c>
      <c r="K15" s="3">
        <v>45.12</v>
      </c>
      <c r="L15" s="3">
        <v>160.08</v>
      </c>
      <c r="M15" s="3">
        <v>2081</v>
      </c>
      <c r="N15" s="3">
        <v>160.08</v>
      </c>
      <c r="O15" s="3">
        <v>2081</v>
      </c>
      <c r="P15" s="3" t="s">
        <v>32</v>
      </c>
      <c r="Q15" s="3" t="s">
        <v>33</v>
      </c>
      <c r="R15" s="3" t="s">
        <v>271</v>
      </c>
      <c r="S15" s="3">
        <v>0</v>
      </c>
      <c r="T15" s="3">
        <v>104</v>
      </c>
      <c r="U15" s="3">
        <v>0</v>
      </c>
      <c r="V15" s="3" t="s">
        <v>35</v>
      </c>
      <c r="W15" s="3" t="s">
        <v>35</v>
      </c>
      <c r="X15" s="3" t="s">
        <v>35</v>
      </c>
      <c r="Y15" s="3" t="s">
        <v>35</v>
      </c>
      <c r="Z15" s="3" t="s">
        <v>35</v>
      </c>
      <c r="AA15" s="3" t="s">
        <v>35</v>
      </c>
      <c r="AB15" s="3" t="s">
        <v>58</v>
      </c>
      <c r="AC15" s="3" t="s">
        <v>49</v>
      </c>
    </row>
    <row r="16" s="3" customFormat="1" spans="1:29">
      <c r="A16" s="3" t="s">
        <v>29</v>
      </c>
      <c r="B16" s="3" t="s">
        <v>30</v>
      </c>
      <c r="C16" s="3">
        <v>21195457</v>
      </c>
      <c r="D16" s="13" t="s">
        <v>285</v>
      </c>
      <c r="E16" s="16">
        <v>46060.5093171296</v>
      </c>
      <c r="F16" s="3">
        <v>79.02</v>
      </c>
      <c r="G16" s="3">
        <v>12</v>
      </c>
      <c r="H16" s="3">
        <v>67.02</v>
      </c>
      <c r="I16" s="3">
        <v>54.61</v>
      </c>
      <c r="J16" s="3">
        <v>12</v>
      </c>
      <c r="K16" s="3">
        <v>42.61</v>
      </c>
      <c r="L16" s="3">
        <v>54.62</v>
      </c>
      <c r="M16" s="3">
        <v>710</v>
      </c>
      <c r="N16" s="3">
        <v>38.46</v>
      </c>
      <c r="O16" s="3">
        <v>500</v>
      </c>
      <c r="P16" s="3" t="s">
        <v>61</v>
      </c>
      <c r="Q16" s="3" t="s">
        <v>33</v>
      </c>
      <c r="R16" s="3" t="s">
        <v>271</v>
      </c>
      <c r="S16" s="3">
        <v>120</v>
      </c>
      <c r="T16" s="3">
        <v>18</v>
      </c>
      <c r="U16" s="3">
        <v>0</v>
      </c>
      <c r="V16" s="3" t="s">
        <v>35</v>
      </c>
      <c r="W16" s="3" t="s">
        <v>35</v>
      </c>
      <c r="X16" s="3" t="s">
        <v>35</v>
      </c>
      <c r="Y16" s="3" t="s">
        <v>35</v>
      </c>
      <c r="Z16" s="3" t="s">
        <v>35</v>
      </c>
      <c r="AA16" s="3" t="s">
        <v>35</v>
      </c>
      <c r="AB16" s="3" t="s">
        <v>58</v>
      </c>
      <c r="AC16" s="3" t="s">
        <v>49</v>
      </c>
    </row>
    <row r="17" s="3" customFormat="1" spans="1:29">
      <c r="A17" s="3" t="s">
        <v>29</v>
      </c>
      <c r="B17" s="3" t="s">
        <v>30</v>
      </c>
      <c r="C17" s="3">
        <v>14873809</v>
      </c>
      <c r="D17" s="13" t="s">
        <v>286</v>
      </c>
      <c r="E17" s="16">
        <v>45625.1238773148</v>
      </c>
      <c r="F17" s="3">
        <v>318.23</v>
      </c>
      <c r="G17" s="3">
        <v>0</v>
      </c>
      <c r="H17" s="3">
        <v>318.23</v>
      </c>
      <c r="I17" s="3">
        <v>85.24</v>
      </c>
      <c r="J17" s="3">
        <v>0</v>
      </c>
      <c r="K17" s="3">
        <v>85.24</v>
      </c>
      <c r="L17" s="3">
        <v>143.38</v>
      </c>
      <c r="M17" s="3">
        <v>1864</v>
      </c>
      <c r="N17" s="3">
        <v>0</v>
      </c>
      <c r="O17" s="3">
        <v>0</v>
      </c>
      <c r="P17" s="3" t="s">
        <v>32</v>
      </c>
      <c r="Q17" s="3" t="s">
        <v>33</v>
      </c>
      <c r="R17" s="3" t="s">
        <v>271</v>
      </c>
      <c r="S17" s="3">
        <v>0</v>
      </c>
      <c r="T17" s="3">
        <v>93</v>
      </c>
      <c r="U17" s="3">
        <v>0</v>
      </c>
      <c r="V17" s="3" t="s">
        <v>35</v>
      </c>
      <c r="W17" s="3" t="s">
        <v>35</v>
      </c>
      <c r="X17" s="3" t="s">
        <v>35</v>
      </c>
      <c r="Y17" s="3" t="s">
        <v>35</v>
      </c>
      <c r="Z17" s="3" t="s">
        <v>35</v>
      </c>
      <c r="AA17" s="3" t="s">
        <v>35</v>
      </c>
      <c r="AB17" s="3" t="s">
        <v>58</v>
      </c>
      <c r="AC17" s="3" t="s">
        <v>49</v>
      </c>
    </row>
    <row r="18" s="3" customFormat="1" spans="1:29">
      <c r="A18" s="3" t="s">
        <v>29</v>
      </c>
      <c r="B18" s="3" t="s">
        <v>30</v>
      </c>
      <c r="C18" s="3">
        <v>17404887</v>
      </c>
      <c r="D18" s="13" t="s">
        <v>287</v>
      </c>
      <c r="E18" s="16">
        <v>45852.0052662037</v>
      </c>
      <c r="F18" s="3">
        <v>1177.21</v>
      </c>
      <c r="G18" s="3">
        <v>0</v>
      </c>
      <c r="H18" s="3">
        <v>1177.21</v>
      </c>
      <c r="I18" s="3">
        <v>45.08</v>
      </c>
      <c r="J18" s="3">
        <v>0</v>
      </c>
      <c r="K18" s="3">
        <v>45.08</v>
      </c>
      <c r="L18" s="3">
        <v>200.31</v>
      </c>
      <c r="M18" s="3">
        <v>2604</v>
      </c>
      <c r="N18" s="3">
        <v>36.77</v>
      </c>
      <c r="O18" s="3">
        <v>478</v>
      </c>
      <c r="P18" s="3" t="s">
        <v>41</v>
      </c>
      <c r="Q18" s="3" t="s">
        <v>33</v>
      </c>
      <c r="R18" s="3" t="s">
        <v>271</v>
      </c>
      <c r="S18" s="3">
        <v>0</v>
      </c>
      <c r="T18" s="3">
        <v>130</v>
      </c>
      <c r="U18" s="3">
        <v>0</v>
      </c>
      <c r="V18" s="3" t="s">
        <v>35</v>
      </c>
      <c r="W18" s="3" t="s">
        <v>35</v>
      </c>
      <c r="X18" s="3" t="s">
        <v>35</v>
      </c>
      <c r="Y18" s="3" t="s">
        <v>35</v>
      </c>
      <c r="Z18" s="3" t="s">
        <v>35</v>
      </c>
      <c r="AA18" s="3" t="s">
        <v>35</v>
      </c>
      <c r="AB18" s="3" t="s">
        <v>58</v>
      </c>
      <c r="AC18" s="3" t="s">
        <v>49</v>
      </c>
    </row>
    <row r="19" s="3" customFormat="1" spans="1:29">
      <c r="A19" s="3" t="s">
        <v>29</v>
      </c>
      <c r="B19" s="3" t="s">
        <v>30</v>
      </c>
      <c r="C19" s="3">
        <v>16955619</v>
      </c>
      <c r="D19" s="13" t="s">
        <v>288</v>
      </c>
      <c r="E19" s="16">
        <v>45818.9538657407</v>
      </c>
      <c r="F19" s="3">
        <v>240.35</v>
      </c>
      <c r="G19" s="3">
        <v>0.23</v>
      </c>
      <c r="H19" s="3">
        <v>240.12</v>
      </c>
      <c r="I19" s="3">
        <v>24.69</v>
      </c>
      <c r="J19" s="3">
        <v>0.23</v>
      </c>
      <c r="K19" s="3">
        <v>24.46</v>
      </c>
      <c r="L19" s="3">
        <v>100.38</v>
      </c>
      <c r="M19" s="3">
        <v>1305</v>
      </c>
      <c r="N19" s="3">
        <v>13.31</v>
      </c>
      <c r="O19" s="3">
        <v>173</v>
      </c>
      <c r="P19" s="3" t="s">
        <v>41</v>
      </c>
      <c r="Q19" s="3" t="s">
        <v>33</v>
      </c>
      <c r="R19" s="3" t="s">
        <v>271</v>
      </c>
      <c r="S19" s="3">
        <v>0</v>
      </c>
      <c r="T19" s="3">
        <v>65</v>
      </c>
      <c r="U19" s="3">
        <v>0</v>
      </c>
      <c r="V19" s="3" t="s">
        <v>35</v>
      </c>
      <c r="W19" s="3" t="s">
        <v>35</v>
      </c>
      <c r="X19" s="3" t="s">
        <v>35</v>
      </c>
      <c r="Y19" s="3" t="s">
        <v>35</v>
      </c>
      <c r="Z19" s="3" t="s">
        <v>35</v>
      </c>
      <c r="AA19" s="3" t="s">
        <v>35</v>
      </c>
      <c r="AB19" s="3" t="s">
        <v>58</v>
      </c>
      <c r="AC19" s="3" t="s">
        <v>49</v>
      </c>
    </row>
    <row r="20" s="3" customFormat="1" spans="1:29">
      <c r="A20" s="3" t="s">
        <v>29</v>
      </c>
      <c r="B20" s="3" t="s">
        <v>30</v>
      </c>
      <c r="C20" s="3">
        <v>12352438</v>
      </c>
      <c r="D20" s="13" t="s">
        <v>289</v>
      </c>
      <c r="E20" s="16">
        <v>45345.0144560185</v>
      </c>
      <c r="F20" s="3">
        <v>269.11</v>
      </c>
      <c r="G20" s="3">
        <v>103.05</v>
      </c>
      <c r="H20" s="3">
        <v>166.06</v>
      </c>
      <c r="I20" s="3">
        <v>4.49</v>
      </c>
      <c r="J20" s="3">
        <v>-13.7</v>
      </c>
      <c r="K20" s="3">
        <v>18.19</v>
      </c>
      <c r="L20" s="3">
        <v>153</v>
      </c>
      <c r="M20" s="3">
        <v>1989</v>
      </c>
      <c r="N20" s="3">
        <v>0</v>
      </c>
      <c r="O20" s="3">
        <v>0</v>
      </c>
      <c r="P20" s="3" t="s">
        <v>61</v>
      </c>
      <c r="Q20" s="3" t="s">
        <v>33</v>
      </c>
      <c r="R20" s="3" t="s">
        <v>271</v>
      </c>
      <c r="S20" s="3">
        <v>120</v>
      </c>
      <c r="T20" s="3">
        <v>50</v>
      </c>
      <c r="U20" s="3">
        <v>0</v>
      </c>
      <c r="V20" s="3" t="s">
        <v>35</v>
      </c>
      <c r="W20" s="3" t="s">
        <v>35</v>
      </c>
      <c r="X20" s="3" t="s">
        <v>35</v>
      </c>
      <c r="Y20" s="3" t="s">
        <v>35</v>
      </c>
      <c r="Z20" s="3" t="s">
        <v>35</v>
      </c>
      <c r="AA20" s="3" t="s">
        <v>35</v>
      </c>
      <c r="AB20" s="3" t="s">
        <v>58</v>
      </c>
      <c r="AC20" s="3" t="s">
        <v>49</v>
      </c>
    </row>
    <row r="21" s="3" customFormat="1" spans="1:29">
      <c r="A21" s="3" t="s">
        <v>29</v>
      </c>
      <c r="B21" s="3" t="s">
        <v>30</v>
      </c>
      <c r="C21" s="3">
        <v>13226456</v>
      </c>
      <c r="D21" s="13" t="s">
        <v>290</v>
      </c>
      <c r="E21" s="16">
        <v>45469.8608217593</v>
      </c>
      <c r="F21" s="3">
        <v>6230.87</v>
      </c>
      <c r="G21" s="3">
        <v>19.69</v>
      </c>
      <c r="H21" s="3">
        <v>6211.18</v>
      </c>
      <c r="I21" s="3">
        <v>-31.11</v>
      </c>
      <c r="J21" s="3">
        <v>18.9</v>
      </c>
      <c r="K21" s="3">
        <v>-50.01</v>
      </c>
      <c r="L21" s="3">
        <v>1210.65</v>
      </c>
      <c r="M21" s="3">
        <v>15738.5</v>
      </c>
      <c r="N21" s="3">
        <v>23.46</v>
      </c>
      <c r="O21" s="3">
        <v>305</v>
      </c>
      <c r="P21" s="3" t="s">
        <v>41</v>
      </c>
      <c r="Q21" s="3" t="s">
        <v>42</v>
      </c>
      <c r="R21" s="3" t="s">
        <v>271</v>
      </c>
      <c r="S21" s="3">
        <v>0</v>
      </c>
      <c r="T21" s="3">
        <v>787</v>
      </c>
      <c r="U21" s="3">
        <v>0</v>
      </c>
      <c r="V21" s="3" t="s">
        <v>35</v>
      </c>
      <c r="W21" s="3" t="s">
        <v>35</v>
      </c>
      <c r="X21" s="3" t="s">
        <v>35</v>
      </c>
      <c r="Y21" s="3" t="s">
        <v>35</v>
      </c>
      <c r="Z21" s="3" t="s">
        <v>35</v>
      </c>
      <c r="AA21" s="3" t="s">
        <v>35</v>
      </c>
      <c r="AB21" s="3" t="s">
        <v>58</v>
      </c>
      <c r="AC21" s="3" t="s">
        <v>49</v>
      </c>
    </row>
    <row r="22" s="3" customFormat="1" spans="1:29">
      <c r="A22" s="3" t="s">
        <v>29</v>
      </c>
      <c r="B22" s="3" t="s">
        <v>30</v>
      </c>
      <c r="C22" s="3">
        <v>22656206</v>
      </c>
      <c r="D22" s="13" t="s">
        <v>291</v>
      </c>
      <c r="E22" s="16">
        <v>46141.981412037</v>
      </c>
      <c r="F22" s="3">
        <v>313.88</v>
      </c>
      <c r="G22" s="3">
        <v>0</v>
      </c>
      <c r="H22" s="3">
        <v>313.88</v>
      </c>
      <c r="I22" s="3">
        <v>8.92</v>
      </c>
      <c r="J22" s="3">
        <v>0</v>
      </c>
      <c r="K22" s="3">
        <v>8.92</v>
      </c>
      <c r="L22" s="3">
        <v>63.23</v>
      </c>
      <c r="M22" s="3">
        <v>822</v>
      </c>
      <c r="N22" s="3">
        <v>63.23</v>
      </c>
      <c r="O22" s="3">
        <v>822</v>
      </c>
      <c r="P22" s="3" t="s">
        <v>32</v>
      </c>
      <c r="Q22" s="3" t="s">
        <v>33</v>
      </c>
      <c r="R22" s="3" t="s">
        <v>271</v>
      </c>
      <c r="S22" s="3">
        <v>0</v>
      </c>
      <c r="T22" s="3">
        <v>41</v>
      </c>
      <c r="U22" s="3">
        <v>0</v>
      </c>
      <c r="V22" s="3" t="s">
        <v>35</v>
      </c>
      <c r="W22" s="3" t="s">
        <v>35</v>
      </c>
      <c r="X22" s="3" t="s">
        <v>35</v>
      </c>
      <c r="Y22" s="3" t="s">
        <v>35</v>
      </c>
      <c r="Z22" s="3" t="s">
        <v>35</v>
      </c>
      <c r="AA22" s="3" t="s">
        <v>35</v>
      </c>
      <c r="AB22" s="3" t="s">
        <v>58</v>
      </c>
      <c r="AC22" s="3" t="s">
        <v>49</v>
      </c>
    </row>
    <row r="23" s="3" customFormat="1" spans="1:29">
      <c r="A23" s="3" t="s">
        <v>29</v>
      </c>
      <c r="B23" s="3" t="s">
        <v>30</v>
      </c>
      <c r="C23" s="3">
        <v>19428007</v>
      </c>
      <c r="D23" s="13" t="s">
        <v>292</v>
      </c>
      <c r="E23" s="16">
        <v>45974.6175810185</v>
      </c>
      <c r="F23" s="3">
        <v>1055.4</v>
      </c>
      <c r="G23" s="3">
        <v>0</v>
      </c>
      <c r="H23" s="3">
        <v>1055.4</v>
      </c>
      <c r="I23" s="3">
        <v>40.52</v>
      </c>
      <c r="J23" s="3">
        <v>0</v>
      </c>
      <c r="K23" s="3">
        <v>40.52</v>
      </c>
      <c r="L23" s="3">
        <v>58.15</v>
      </c>
      <c r="M23" s="3">
        <v>756</v>
      </c>
      <c r="N23" s="3">
        <v>50</v>
      </c>
      <c r="O23" s="3">
        <v>650</v>
      </c>
      <c r="P23" s="3" t="s">
        <v>41</v>
      </c>
      <c r="Q23" s="3" t="s">
        <v>33</v>
      </c>
      <c r="R23" s="3" t="s">
        <v>271</v>
      </c>
      <c r="S23" s="3">
        <v>0</v>
      </c>
      <c r="T23" s="3">
        <v>38</v>
      </c>
      <c r="U23" s="3">
        <v>0</v>
      </c>
      <c r="V23" s="3" t="s">
        <v>35</v>
      </c>
      <c r="W23" s="3" t="s">
        <v>35</v>
      </c>
      <c r="X23" s="3" t="s">
        <v>35</v>
      </c>
      <c r="Y23" s="3" t="s">
        <v>35</v>
      </c>
      <c r="Z23" s="3" t="s">
        <v>35</v>
      </c>
      <c r="AA23" s="3" t="s">
        <v>35</v>
      </c>
      <c r="AB23" s="3" t="s">
        <v>58</v>
      </c>
      <c r="AC23" s="3" t="s">
        <v>49</v>
      </c>
    </row>
    <row r="24" s="3" customFormat="1" spans="1:29">
      <c r="A24" s="3" t="s">
        <v>29</v>
      </c>
      <c r="B24" s="3" t="s">
        <v>30</v>
      </c>
      <c r="C24" s="3">
        <v>18685406</v>
      </c>
      <c r="D24" s="13" t="s">
        <v>293</v>
      </c>
      <c r="E24" s="16">
        <v>45926.9318981481</v>
      </c>
      <c r="F24" s="3">
        <v>680.31</v>
      </c>
      <c r="G24" s="3">
        <v>0</v>
      </c>
      <c r="H24" s="3">
        <v>680.31</v>
      </c>
      <c r="I24" s="3">
        <v>61.12</v>
      </c>
      <c r="J24" s="3">
        <v>0</v>
      </c>
      <c r="K24" s="3">
        <v>61.12</v>
      </c>
      <c r="L24" s="3">
        <v>122.69</v>
      </c>
      <c r="M24" s="3">
        <v>1595</v>
      </c>
      <c r="N24" s="3">
        <v>1.92</v>
      </c>
      <c r="O24" s="3">
        <v>25</v>
      </c>
      <c r="P24" s="3" t="s">
        <v>32</v>
      </c>
      <c r="Q24" s="3" t="s">
        <v>33</v>
      </c>
      <c r="R24" s="3" t="s">
        <v>271</v>
      </c>
      <c r="S24" s="3">
        <v>0</v>
      </c>
      <c r="T24" s="3">
        <v>80</v>
      </c>
      <c r="U24" s="3">
        <v>0</v>
      </c>
      <c r="V24" s="3" t="s">
        <v>35</v>
      </c>
      <c r="W24" s="3" t="s">
        <v>35</v>
      </c>
      <c r="X24" s="3" t="s">
        <v>35</v>
      </c>
      <c r="Y24" s="3" t="s">
        <v>35</v>
      </c>
      <c r="Z24" s="3" t="s">
        <v>35</v>
      </c>
      <c r="AA24" s="3" t="s">
        <v>35</v>
      </c>
      <c r="AB24" s="3" t="s">
        <v>70</v>
      </c>
      <c r="AC24" s="3" t="s">
        <v>49</v>
      </c>
    </row>
    <row r="25" s="3" customFormat="1" spans="1:29">
      <c r="A25" s="3" t="s">
        <v>29</v>
      </c>
      <c r="B25" s="3" t="s">
        <v>30</v>
      </c>
      <c r="C25" s="3">
        <v>22811906</v>
      </c>
      <c r="D25" s="13" t="s">
        <v>294</v>
      </c>
      <c r="E25" s="16">
        <v>46152.5037037037</v>
      </c>
      <c r="F25" s="3">
        <v>112.64</v>
      </c>
      <c r="G25" s="3">
        <v>58.72</v>
      </c>
      <c r="H25" s="3">
        <v>53.92</v>
      </c>
      <c r="I25" s="3">
        <v>-39.7</v>
      </c>
      <c r="J25" s="3">
        <v>-43.54</v>
      </c>
      <c r="K25" s="3">
        <v>3.84</v>
      </c>
      <c r="L25" s="3">
        <v>107.69</v>
      </c>
      <c r="M25" s="3">
        <v>1400</v>
      </c>
      <c r="N25" s="3">
        <v>107.69</v>
      </c>
      <c r="O25" s="3">
        <v>1400</v>
      </c>
      <c r="P25" s="3" t="s">
        <v>61</v>
      </c>
      <c r="Q25" s="3" t="s">
        <v>33</v>
      </c>
      <c r="R25" s="3" t="s">
        <v>271</v>
      </c>
      <c r="S25" s="3">
        <v>120</v>
      </c>
      <c r="T25" s="3">
        <v>35</v>
      </c>
      <c r="U25" s="3">
        <v>0</v>
      </c>
      <c r="V25" s="3" t="s">
        <v>35</v>
      </c>
      <c r="W25" s="3" t="s">
        <v>35</v>
      </c>
      <c r="X25" s="3" t="s">
        <v>35</v>
      </c>
      <c r="Y25" s="3" t="s">
        <v>35</v>
      </c>
      <c r="Z25" s="3" t="s">
        <v>35</v>
      </c>
      <c r="AA25" s="3" t="s">
        <v>35</v>
      </c>
      <c r="AB25" s="3" t="s">
        <v>70</v>
      </c>
      <c r="AC25" s="3" t="s">
        <v>49</v>
      </c>
    </row>
    <row r="26" s="3" customFormat="1" spans="1:29">
      <c r="A26" s="3" t="s">
        <v>29</v>
      </c>
      <c r="B26" s="3" t="s">
        <v>30</v>
      </c>
      <c r="C26" s="3">
        <v>11497298</v>
      </c>
      <c r="D26" s="13" t="s">
        <v>295</v>
      </c>
      <c r="E26" s="16">
        <v>45257.5159259259</v>
      </c>
      <c r="F26" s="3">
        <v>514.9</v>
      </c>
      <c r="G26" s="3">
        <v>7.48</v>
      </c>
      <c r="H26" s="3">
        <v>507.42</v>
      </c>
      <c r="I26" s="3">
        <v>6.57</v>
      </c>
      <c r="J26" s="3">
        <v>7.48</v>
      </c>
      <c r="K26" s="3">
        <v>-0.91</v>
      </c>
      <c r="L26" s="3">
        <v>78.08</v>
      </c>
      <c r="M26" s="3">
        <v>1015</v>
      </c>
      <c r="N26" s="3">
        <v>0</v>
      </c>
      <c r="O26" s="3">
        <v>0</v>
      </c>
      <c r="P26" s="3" t="s">
        <v>32</v>
      </c>
      <c r="Q26" s="3" t="s">
        <v>33</v>
      </c>
      <c r="R26" s="3" t="s">
        <v>271</v>
      </c>
      <c r="S26" s="3">
        <v>0</v>
      </c>
      <c r="T26" s="3">
        <v>51</v>
      </c>
      <c r="U26" s="3">
        <v>0</v>
      </c>
      <c r="V26" s="3" t="s">
        <v>35</v>
      </c>
      <c r="W26" s="3" t="s">
        <v>35</v>
      </c>
      <c r="X26" s="3" t="s">
        <v>35</v>
      </c>
      <c r="Y26" s="3" t="s">
        <v>35</v>
      </c>
      <c r="Z26" s="3" t="s">
        <v>35</v>
      </c>
      <c r="AA26" s="3" t="s">
        <v>35</v>
      </c>
      <c r="AB26" s="3" t="s">
        <v>70</v>
      </c>
      <c r="AC26" s="3" t="s">
        <v>49</v>
      </c>
    </row>
    <row r="27" s="3" customFormat="1" spans="1:29">
      <c r="A27" s="3" t="s">
        <v>29</v>
      </c>
      <c r="B27" s="3" t="s">
        <v>30</v>
      </c>
      <c r="C27" s="3">
        <v>18112359</v>
      </c>
      <c r="D27" s="13" t="s">
        <v>296</v>
      </c>
      <c r="E27" s="16">
        <v>45892.9960648148</v>
      </c>
      <c r="F27" s="3">
        <v>172.72</v>
      </c>
      <c r="G27" s="3">
        <v>0</v>
      </c>
      <c r="H27" s="3">
        <v>172.72</v>
      </c>
      <c r="I27" s="3">
        <v>103.38</v>
      </c>
      <c r="J27" s="3">
        <v>0</v>
      </c>
      <c r="K27" s="3">
        <v>103.38</v>
      </c>
      <c r="L27" s="3">
        <v>103.38</v>
      </c>
      <c r="M27" s="3">
        <v>1344</v>
      </c>
      <c r="N27" s="3">
        <v>100</v>
      </c>
      <c r="O27" s="3">
        <v>1300</v>
      </c>
      <c r="P27" s="3" t="s">
        <v>41</v>
      </c>
      <c r="Q27" s="3" t="s">
        <v>33</v>
      </c>
      <c r="R27" s="3" t="s">
        <v>271</v>
      </c>
      <c r="S27" s="3">
        <v>0</v>
      </c>
      <c r="T27" s="3">
        <v>67</v>
      </c>
      <c r="U27" s="3">
        <v>0</v>
      </c>
      <c r="V27" s="3" t="s">
        <v>35</v>
      </c>
      <c r="W27" s="3" t="s">
        <v>35</v>
      </c>
      <c r="X27" s="3" t="s">
        <v>35</v>
      </c>
      <c r="Y27" s="3" t="s">
        <v>35</v>
      </c>
      <c r="Z27" s="3" t="s">
        <v>35</v>
      </c>
      <c r="AA27" s="3" t="s">
        <v>35</v>
      </c>
      <c r="AB27" s="3" t="s">
        <v>70</v>
      </c>
      <c r="AC27" s="3" t="s">
        <v>49</v>
      </c>
    </row>
    <row r="28" s="3" customFormat="1" spans="1:29">
      <c r="A28" s="3" t="s">
        <v>29</v>
      </c>
      <c r="B28" s="3" t="s">
        <v>30</v>
      </c>
      <c r="C28" s="3">
        <v>22721147</v>
      </c>
      <c r="D28" s="13" t="s">
        <v>297</v>
      </c>
      <c r="E28" s="16">
        <v>46146.3100462963</v>
      </c>
      <c r="F28" s="3">
        <v>1744.58</v>
      </c>
      <c r="G28" s="3">
        <v>0</v>
      </c>
      <c r="H28" s="3">
        <v>1744.58</v>
      </c>
      <c r="I28" s="3">
        <v>395.55</v>
      </c>
      <c r="J28" s="3">
        <v>0</v>
      </c>
      <c r="K28" s="3">
        <v>395.55</v>
      </c>
      <c r="L28" s="3">
        <v>901.54</v>
      </c>
      <c r="M28" s="3">
        <v>11720</v>
      </c>
      <c r="N28" s="3">
        <v>901.54</v>
      </c>
      <c r="O28" s="3">
        <v>11720</v>
      </c>
      <c r="P28" s="3" t="s">
        <v>41</v>
      </c>
      <c r="Q28" s="3" t="s">
        <v>33</v>
      </c>
      <c r="R28" s="3" t="s">
        <v>271</v>
      </c>
      <c r="S28" s="3">
        <v>0</v>
      </c>
      <c r="T28" s="3">
        <v>586</v>
      </c>
      <c r="U28" s="3">
        <v>0</v>
      </c>
      <c r="V28" s="3" t="s">
        <v>35</v>
      </c>
      <c r="W28" s="3" t="s">
        <v>35</v>
      </c>
      <c r="X28" s="3" t="s">
        <v>35</v>
      </c>
      <c r="Y28" s="3" t="s">
        <v>35</v>
      </c>
      <c r="Z28" s="3" t="s">
        <v>35</v>
      </c>
      <c r="AA28" s="3" t="s">
        <v>35</v>
      </c>
      <c r="AB28" s="3" t="s">
        <v>70</v>
      </c>
      <c r="AC28" s="3" t="s">
        <v>49</v>
      </c>
    </row>
    <row r="29" s="3" customFormat="1" spans="1:29">
      <c r="A29" s="3" t="s">
        <v>29</v>
      </c>
      <c r="B29" s="3" t="s">
        <v>30</v>
      </c>
      <c r="C29" s="3">
        <v>20356166</v>
      </c>
      <c r="D29" s="13" t="s">
        <v>298</v>
      </c>
      <c r="E29" s="16">
        <v>46017.9038078704</v>
      </c>
      <c r="F29" s="3">
        <v>5464.65</v>
      </c>
      <c r="G29" s="3">
        <v>3.65</v>
      </c>
      <c r="H29" s="3">
        <v>5460.99</v>
      </c>
      <c r="I29" s="3">
        <v>253.77</v>
      </c>
      <c r="J29" s="3">
        <v>3.65</v>
      </c>
      <c r="K29" s="3">
        <v>250.12</v>
      </c>
      <c r="L29" s="3">
        <v>608.62</v>
      </c>
      <c r="M29" s="3">
        <v>7912</v>
      </c>
      <c r="N29" s="3">
        <v>0</v>
      </c>
      <c r="O29" s="3">
        <v>0</v>
      </c>
      <c r="P29" s="3" t="s">
        <v>41</v>
      </c>
      <c r="Q29" s="3" t="s">
        <v>33</v>
      </c>
      <c r="R29" s="3" t="s">
        <v>271</v>
      </c>
      <c r="S29" s="3">
        <v>0</v>
      </c>
      <c r="T29" s="3">
        <v>396</v>
      </c>
      <c r="U29" s="3">
        <v>0</v>
      </c>
      <c r="V29" s="3" t="s">
        <v>35</v>
      </c>
      <c r="W29" s="3" t="s">
        <v>35</v>
      </c>
      <c r="X29" s="3" t="s">
        <v>35</v>
      </c>
      <c r="Y29" s="3" t="s">
        <v>35</v>
      </c>
      <c r="Z29" s="3" t="s">
        <v>35</v>
      </c>
      <c r="AA29" s="3" t="s">
        <v>35</v>
      </c>
      <c r="AB29" s="3" t="s">
        <v>70</v>
      </c>
      <c r="AC29" s="3" t="s">
        <v>49</v>
      </c>
    </row>
    <row r="30" s="3" customFormat="1" spans="1:29">
      <c r="A30" s="3" t="s">
        <v>29</v>
      </c>
      <c r="B30" s="3" t="s">
        <v>30</v>
      </c>
      <c r="C30" s="3">
        <v>9653917</v>
      </c>
      <c r="D30" s="13" t="s">
        <v>299</v>
      </c>
      <c r="E30" s="16">
        <v>45011.5216550926</v>
      </c>
      <c r="F30" s="3">
        <v>1266.22</v>
      </c>
      <c r="G30" s="3">
        <v>1.08</v>
      </c>
      <c r="H30" s="3">
        <v>1265.14</v>
      </c>
      <c r="I30" s="3">
        <v>22.97</v>
      </c>
      <c r="J30" s="3">
        <v>0.32</v>
      </c>
      <c r="K30" s="3">
        <v>22.65</v>
      </c>
      <c r="L30" s="3">
        <v>242.15</v>
      </c>
      <c r="M30" s="3">
        <v>3148</v>
      </c>
      <c r="N30" s="3">
        <v>148.08</v>
      </c>
      <c r="O30" s="3">
        <v>1925</v>
      </c>
      <c r="P30" s="3" t="s">
        <v>41</v>
      </c>
      <c r="Q30" s="3" t="s">
        <v>33</v>
      </c>
      <c r="R30" s="3" t="s">
        <v>271</v>
      </c>
      <c r="S30" s="3">
        <v>0</v>
      </c>
      <c r="T30" s="3">
        <v>157</v>
      </c>
      <c r="U30" s="3">
        <v>0</v>
      </c>
      <c r="V30" s="3" t="s">
        <v>35</v>
      </c>
      <c r="W30" s="3" t="s">
        <v>35</v>
      </c>
      <c r="X30" s="3" t="s">
        <v>35</v>
      </c>
      <c r="Y30" s="3" t="s">
        <v>35</v>
      </c>
      <c r="Z30" s="3" t="s">
        <v>35</v>
      </c>
      <c r="AA30" s="3" t="s">
        <v>35</v>
      </c>
      <c r="AB30" s="3" t="s">
        <v>70</v>
      </c>
      <c r="AC30" s="3" t="s">
        <v>49</v>
      </c>
    </row>
    <row r="31" s="3" customFormat="1" spans="1:29">
      <c r="A31" s="3" t="s">
        <v>29</v>
      </c>
      <c r="B31" s="3" t="s">
        <v>30</v>
      </c>
      <c r="C31" s="3">
        <v>19660176</v>
      </c>
      <c r="D31" s="13" t="s">
        <v>300</v>
      </c>
      <c r="E31" s="16">
        <v>45984.3814467593</v>
      </c>
      <c r="F31" s="3">
        <v>74.86</v>
      </c>
      <c r="G31" s="3">
        <v>37.83</v>
      </c>
      <c r="H31" s="3">
        <v>37.04</v>
      </c>
      <c r="I31" s="3">
        <v>41.23</v>
      </c>
      <c r="J31" s="3">
        <v>37.69</v>
      </c>
      <c r="K31" s="3">
        <v>3.53</v>
      </c>
      <c r="L31" s="3">
        <v>53.92</v>
      </c>
      <c r="M31" s="3">
        <v>701</v>
      </c>
      <c r="N31" s="3">
        <v>0</v>
      </c>
      <c r="O31" s="3">
        <v>0</v>
      </c>
      <c r="P31" s="3" t="s">
        <v>61</v>
      </c>
      <c r="Q31" s="3" t="s">
        <v>33</v>
      </c>
      <c r="R31" s="3" t="s">
        <v>271</v>
      </c>
      <c r="S31" s="3">
        <v>120</v>
      </c>
      <c r="T31" s="3">
        <v>18</v>
      </c>
      <c r="U31" s="3">
        <v>0</v>
      </c>
      <c r="V31" s="3" t="s">
        <v>35</v>
      </c>
      <c r="W31" s="3" t="s">
        <v>35</v>
      </c>
      <c r="X31" s="3" t="s">
        <v>35</v>
      </c>
      <c r="Y31" s="3" t="s">
        <v>35</v>
      </c>
      <c r="Z31" s="3" t="s">
        <v>35</v>
      </c>
      <c r="AA31" s="3" t="s">
        <v>35</v>
      </c>
      <c r="AB31" s="3" t="s">
        <v>70</v>
      </c>
      <c r="AC31" s="3" t="s">
        <v>49</v>
      </c>
    </row>
    <row r="32" s="3" customFormat="1" spans="1:29">
      <c r="A32" s="3" t="s">
        <v>29</v>
      </c>
      <c r="B32" s="3" t="s">
        <v>30</v>
      </c>
      <c r="C32" s="3">
        <v>21451739</v>
      </c>
      <c r="D32" s="13" t="s">
        <v>301</v>
      </c>
      <c r="E32" s="16">
        <v>46073.7957407407</v>
      </c>
      <c r="F32" s="3">
        <v>486.52</v>
      </c>
      <c r="G32" s="3">
        <v>0</v>
      </c>
      <c r="H32" s="3">
        <v>486.52</v>
      </c>
      <c r="I32" s="3">
        <v>29.73</v>
      </c>
      <c r="J32" s="3">
        <v>0</v>
      </c>
      <c r="K32" s="3">
        <v>29.73</v>
      </c>
      <c r="L32" s="3">
        <v>106.69</v>
      </c>
      <c r="M32" s="3">
        <v>1387</v>
      </c>
      <c r="N32" s="3">
        <v>106.69</v>
      </c>
      <c r="O32" s="3">
        <v>1387</v>
      </c>
      <c r="P32" s="3" t="s">
        <v>41</v>
      </c>
      <c r="Q32" s="3" t="s">
        <v>33</v>
      </c>
      <c r="R32" s="3" t="s">
        <v>271</v>
      </c>
      <c r="S32" s="3">
        <v>0</v>
      </c>
      <c r="T32" s="3">
        <v>69</v>
      </c>
      <c r="U32" s="3">
        <v>0</v>
      </c>
      <c r="V32" s="3" t="s">
        <v>35</v>
      </c>
      <c r="W32" s="3" t="s">
        <v>35</v>
      </c>
      <c r="X32" s="3" t="s">
        <v>35</v>
      </c>
      <c r="Y32" s="3" t="s">
        <v>35</v>
      </c>
      <c r="Z32" s="3" t="s">
        <v>35</v>
      </c>
      <c r="AA32" s="3" t="s">
        <v>35</v>
      </c>
      <c r="AB32" s="3" t="s">
        <v>70</v>
      </c>
      <c r="AC32" s="3" t="s">
        <v>49</v>
      </c>
    </row>
    <row r="33" s="3" customFormat="1" spans="1:29">
      <c r="A33" s="3" t="s">
        <v>29</v>
      </c>
      <c r="B33" s="3" t="s">
        <v>30</v>
      </c>
      <c r="C33" s="3">
        <v>10685749</v>
      </c>
      <c r="D33" s="13" t="s">
        <v>302</v>
      </c>
      <c r="E33" s="16">
        <v>45184.6562152778</v>
      </c>
      <c r="F33" s="3">
        <v>4315.94</v>
      </c>
      <c r="G33" s="3">
        <v>0</v>
      </c>
      <c r="H33" s="3">
        <v>4315.94</v>
      </c>
      <c r="I33" s="3">
        <v>58.69</v>
      </c>
      <c r="J33" s="3">
        <v>0</v>
      </c>
      <c r="K33" s="3">
        <v>58.69</v>
      </c>
      <c r="L33" s="3">
        <v>630.77</v>
      </c>
      <c r="M33" s="3">
        <v>8200</v>
      </c>
      <c r="N33" s="3">
        <v>0</v>
      </c>
      <c r="O33" s="3">
        <v>0</v>
      </c>
      <c r="P33" s="3" t="s">
        <v>32</v>
      </c>
      <c r="Q33" s="3" t="s">
        <v>33</v>
      </c>
      <c r="R33" s="3" t="s">
        <v>271</v>
      </c>
      <c r="S33" s="3">
        <v>0</v>
      </c>
      <c r="T33" s="3">
        <v>410</v>
      </c>
      <c r="U33" s="3">
        <v>0</v>
      </c>
      <c r="V33" s="3" t="s">
        <v>35</v>
      </c>
      <c r="W33" s="3" t="s">
        <v>35</v>
      </c>
      <c r="X33" s="3" t="s">
        <v>35</v>
      </c>
      <c r="Y33" s="3" t="s">
        <v>35</v>
      </c>
      <c r="Z33" s="3" t="s">
        <v>35</v>
      </c>
      <c r="AA33" s="3" t="s">
        <v>35</v>
      </c>
      <c r="AB33" s="3" t="s">
        <v>80</v>
      </c>
      <c r="AC33" s="3" t="s">
        <v>49</v>
      </c>
    </row>
    <row r="34" s="3" customFormat="1" spans="1:29">
      <c r="A34" s="3" t="s">
        <v>29</v>
      </c>
      <c r="B34" s="3" t="s">
        <v>30</v>
      </c>
      <c r="C34" s="3">
        <v>22169459</v>
      </c>
      <c r="D34" s="13" t="s">
        <v>303</v>
      </c>
      <c r="E34" s="16">
        <v>46111.9355208333</v>
      </c>
      <c r="F34" s="3">
        <v>2375.85</v>
      </c>
      <c r="G34" s="3">
        <v>11.74</v>
      </c>
      <c r="H34" s="3">
        <v>2364.12</v>
      </c>
      <c r="I34" s="3">
        <v>114.04</v>
      </c>
      <c r="J34" s="3">
        <v>-4.67</v>
      </c>
      <c r="K34" s="3">
        <v>118.71</v>
      </c>
      <c r="L34" s="3">
        <v>357.54</v>
      </c>
      <c r="M34" s="3">
        <v>4648</v>
      </c>
      <c r="N34" s="3">
        <v>357.54</v>
      </c>
      <c r="O34" s="3">
        <v>4648</v>
      </c>
      <c r="P34" s="3" t="s">
        <v>41</v>
      </c>
      <c r="Q34" s="3" t="s">
        <v>33</v>
      </c>
      <c r="R34" s="3" t="s">
        <v>271</v>
      </c>
      <c r="S34" s="3">
        <v>0</v>
      </c>
      <c r="T34" s="3">
        <v>232</v>
      </c>
      <c r="U34" s="3">
        <v>0</v>
      </c>
      <c r="V34" s="3" t="s">
        <v>35</v>
      </c>
      <c r="W34" s="3" t="s">
        <v>35</v>
      </c>
      <c r="X34" s="3" t="s">
        <v>35</v>
      </c>
      <c r="Y34" s="3" t="s">
        <v>35</v>
      </c>
      <c r="Z34" s="3" t="s">
        <v>35</v>
      </c>
      <c r="AA34" s="3" t="s">
        <v>35</v>
      </c>
      <c r="AB34" s="3" t="s">
        <v>80</v>
      </c>
      <c r="AC34" s="3" t="s">
        <v>49</v>
      </c>
    </row>
    <row r="35" s="3" customFormat="1" spans="1:29">
      <c r="A35" s="3" t="s">
        <v>29</v>
      </c>
      <c r="B35" s="3" t="s">
        <v>30</v>
      </c>
      <c r="C35" s="3">
        <v>22780517</v>
      </c>
      <c r="D35" s="13" t="s">
        <v>304</v>
      </c>
      <c r="E35" s="16">
        <v>46150.0571412037</v>
      </c>
      <c r="F35" s="3">
        <v>885.35</v>
      </c>
      <c r="G35" s="3">
        <v>0</v>
      </c>
      <c r="H35" s="3">
        <v>885.35</v>
      </c>
      <c r="I35" s="3">
        <v>60.81</v>
      </c>
      <c r="J35" s="3">
        <v>0</v>
      </c>
      <c r="K35" s="3">
        <v>60.81</v>
      </c>
      <c r="L35" s="3">
        <v>207.85</v>
      </c>
      <c r="M35" s="3">
        <v>2702</v>
      </c>
      <c r="N35" s="3">
        <v>207.85</v>
      </c>
      <c r="O35" s="3">
        <v>2702</v>
      </c>
      <c r="P35" s="3" t="s">
        <v>41</v>
      </c>
      <c r="Q35" s="3" t="s">
        <v>33</v>
      </c>
      <c r="R35" s="3" t="s">
        <v>271</v>
      </c>
      <c r="S35" s="3">
        <v>0</v>
      </c>
      <c r="T35" s="3">
        <v>135</v>
      </c>
      <c r="U35" s="3">
        <v>0</v>
      </c>
      <c r="V35" s="3" t="s">
        <v>35</v>
      </c>
      <c r="W35" s="3" t="s">
        <v>35</v>
      </c>
      <c r="X35" s="3" t="s">
        <v>35</v>
      </c>
      <c r="Y35" s="3" t="s">
        <v>35</v>
      </c>
      <c r="Z35" s="3" t="s">
        <v>35</v>
      </c>
      <c r="AA35" s="3" t="s">
        <v>35</v>
      </c>
      <c r="AB35" s="3" t="s">
        <v>80</v>
      </c>
      <c r="AC35" s="3" t="s">
        <v>49</v>
      </c>
    </row>
    <row r="36" s="3" customFormat="1" spans="1:29">
      <c r="A36" s="3" t="s">
        <v>29</v>
      </c>
      <c r="B36" s="3" t="s">
        <v>30</v>
      </c>
      <c r="C36" s="3">
        <v>22710429</v>
      </c>
      <c r="D36" s="13" t="s">
        <v>305</v>
      </c>
      <c r="E36" s="16">
        <v>46145.3857523148</v>
      </c>
      <c r="F36" s="3">
        <v>5171.98</v>
      </c>
      <c r="G36" s="3">
        <v>0</v>
      </c>
      <c r="H36" s="3">
        <v>5171.98</v>
      </c>
      <c r="I36" s="3">
        <v>509.35</v>
      </c>
      <c r="J36" s="3">
        <v>0</v>
      </c>
      <c r="K36" s="3">
        <v>509.35</v>
      </c>
      <c r="L36" s="3">
        <v>586.31</v>
      </c>
      <c r="M36" s="3">
        <v>7622</v>
      </c>
      <c r="N36" s="3">
        <v>586.31</v>
      </c>
      <c r="O36" s="3">
        <v>7622</v>
      </c>
      <c r="P36" s="3" t="s">
        <v>32</v>
      </c>
      <c r="Q36" s="3" t="s">
        <v>33</v>
      </c>
      <c r="R36" s="3" t="s">
        <v>271</v>
      </c>
      <c r="S36" s="3">
        <v>0</v>
      </c>
      <c r="T36" s="3">
        <v>381</v>
      </c>
      <c r="U36" s="3">
        <v>0</v>
      </c>
      <c r="V36" s="3" t="s">
        <v>35</v>
      </c>
      <c r="W36" s="3" t="s">
        <v>35</v>
      </c>
      <c r="X36" s="3" t="s">
        <v>35</v>
      </c>
      <c r="Y36" s="3" t="s">
        <v>35</v>
      </c>
      <c r="Z36" s="3" t="s">
        <v>35</v>
      </c>
      <c r="AA36" s="3" t="s">
        <v>35</v>
      </c>
      <c r="AB36" s="3" t="s">
        <v>80</v>
      </c>
      <c r="AC36" s="3" t="s">
        <v>49</v>
      </c>
    </row>
    <row r="37" s="3" customFormat="1" spans="1:29">
      <c r="A37" s="3" t="s">
        <v>29</v>
      </c>
      <c r="B37" s="3" t="s">
        <v>30</v>
      </c>
      <c r="C37" s="3">
        <v>22071506</v>
      </c>
      <c r="D37" s="13" t="s">
        <v>306</v>
      </c>
      <c r="E37" s="16">
        <v>46105.9573148148</v>
      </c>
      <c r="F37" s="3">
        <v>529.96</v>
      </c>
      <c r="G37" s="3">
        <v>5.08</v>
      </c>
      <c r="H37" s="3">
        <v>524.42</v>
      </c>
      <c r="I37" s="3">
        <v>-3.65</v>
      </c>
      <c r="J37" s="3">
        <v>3.1</v>
      </c>
      <c r="K37" s="3">
        <v>-6.75</v>
      </c>
      <c r="L37" s="3">
        <v>226.85</v>
      </c>
      <c r="M37" s="3">
        <v>2949</v>
      </c>
      <c r="N37" s="3">
        <v>226.85</v>
      </c>
      <c r="O37" s="3">
        <v>2949</v>
      </c>
      <c r="P37" s="3" t="s">
        <v>32</v>
      </c>
      <c r="Q37" s="3" t="s">
        <v>33</v>
      </c>
      <c r="R37" s="3" t="s">
        <v>271</v>
      </c>
      <c r="S37" s="3">
        <v>0</v>
      </c>
      <c r="T37" s="3">
        <v>147</v>
      </c>
      <c r="U37" s="3">
        <v>0</v>
      </c>
      <c r="V37" s="3" t="s">
        <v>35</v>
      </c>
      <c r="W37" s="3" t="s">
        <v>35</v>
      </c>
      <c r="X37" s="3" t="s">
        <v>35</v>
      </c>
      <c r="Y37" s="3" t="s">
        <v>35</v>
      </c>
      <c r="Z37" s="3" t="s">
        <v>35</v>
      </c>
      <c r="AA37" s="3" t="s">
        <v>35</v>
      </c>
      <c r="AB37" s="3" t="s">
        <v>80</v>
      </c>
      <c r="AC37" s="3" t="s">
        <v>49</v>
      </c>
    </row>
    <row r="38" s="3" customFormat="1" spans="1:29">
      <c r="A38" s="3" t="s">
        <v>29</v>
      </c>
      <c r="B38" s="3" t="s">
        <v>30</v>
      </c>
      <c r="C38" s="3">
        <v>20878619</v>
      </c>
      <c r="D38" s="13" t="s">
        <v>307</v>
      </c>
      <c r="E38" s="16">
        <v>46042.9003587963</v>
      </c>
      <c r="F38" s="3">
        <v>1868.02</v>
      </c>
      <c r="G38" s="3">
        <v>0</v>
      </c>
      <c r="H38" s="3">
        <v>1868.02</v>
      </c>
      <c r="I38" s="3">
        <v>265.51</v>
      </c>
      <c r="J38" s="3">
        <v>0</v>
      </c>
      <c r="K38" s="3">
        <v>265.51</v>
      </c>
      <c r="L38" s="3">
        <v>266.08</v>
      </c>
      <c r="M38" s="3">
        <v>3459</v>
      </c>
      <c r="N38" s="3">
        <v>176.92</v>
      </c>
      <c r="O38" s="3">
        <v>2300</v>
      </c>
      <c r="P38" s="3" t="s">
        <v>41</v>
      </c>
      <c r="Q38" s="3" t="s">
        <v>33</v>
      </c>
      <c r="R38" s="3" t="s">
        <v>271</v>
      </c>
      <c r="S38" s="3">
        <v>0</v>
      </c>
      <c r="T38" s="3">
        <v>173</v>
      </c>
      <c r="U38" s="3">
        <v>0</v>
      </c>
      <c r="V38" s="3" t="s">
        <v>35</v>
      </c>
      <c r="W38" s="3" t="s">
        <v>35</v>
      </c>
      <c r="X38" s="3" t="s">
        <v>35</v>
      </c>
      <c r="Y38" s="3" t="s">
        <v>35</v>
      </c>
      <c r="Z38" s="3" t="s">
        <v>35</v>
      </c>
      <c r="AA38" s="3" t="s">
        <v>35</v>
      </c>
      <c r="AB38" s="3" t="s">
        <v>80</v>
      </c>
      <c r="AC38" s="3" t="s">
        <v>49</v>
      </c>
    </row>
    <row r="39" s="3" customFormat="1" spans="1:29">
      <c r="A39" s="3" t="s">
        <v>29</v>
      </c>
      <c r="B39" s="3" t="s">
        <v>30</v>
      </c>
      <c r="C39" s="3">
        <v>19217737</v>
      </c>
      <c r="D39" s="13" t="s">
        <v>308</v>
      </c>
      <c r="E39" s="16">
        <v>45961.9022337963</v>
      </c>
      <c r="F39" s="3">
        <v>428.03</v>
      </c>
      <c r="G39" s="3">
        <v>4.62</v>
      </c>
      <c r="H39" s="3">
        <v>422.49</v>
      </c>
      <c r="I39" s="3">
        <v>21.98</v>
      </c>
      <c r="J39" s="3">
        <v>4.07</v>
      </c>
      <c r="K39" s="3">
        <v>17.91</v>
      </c>
      <c r="L39" s="3">
        <v>80.08</v>
      </c>
      <c r="M39" s="3">
        <v>1041</v>
      </c>
      <c r="N39" s="3">
        <v>3.08</v>
      </c>
      <c r="O39" s="3">
        <v>40</v>
      </c>
      <c r="P39" s="3" t="s">
        <v>32</v>
      </c>
      <c r="Q39" s="3" t="s">
        <v>33</v>
      </c>
      <c r="R39" s="3" t="s">
        <v>271</v>
      </c>
      <c r="S39" s="3">
        <v>0</v>
      </c>
      <c r="T39" s="3">
        <v>52</v>
      </c>
      <c r="U39" s="3">
        <v>0</v>
      </c>
      <c r="V39" s="3" t="s">
        <v>35</v>
      </c>
      <c r="W39" s="3" t="s">
        <v>35</v>
      </c>
      <c r="X39" s="3" t="s">
        <v>35</v>
      </c>
      <c r="Y39" s="3" t="s">
        <v>35</v>
      </c>
      <c r="Z39" s="3" t="s">
        <v>35</v>
      </c>
      <c r="AA39" s="3" t="s">
        <v>35</v>
      </c>
      <c r="AB39" s="3" t="s">
        <v>80</v>
      </c>
      <c r="AC39" s="3" t="s">
        <v>49</v>
      </c>
    </row>
    <row r="40" s="3" customFormat="1" spans="1:29">
      <c r="A40" s="3" t="s">
        <v>29</v>
      </c>
      <c r="B40" s="3" t="s">
        <v>30</v>
      </c>
      <c r="C40" s="3">
        <v>22021019</v>
      </c>
      <c r="D40" s="13" t="s">
        <v>309</v>
      </c>
      <c r="E40" s="16">
        <v>46103.1122569444</v>
      </c>
      <c r="F40" s="3">
        <v>44803.84</v>
      </c>
      <c r="G40" s="3">
        <v>0</v>
      </c>
      <c r="H40" s="3">
        <v>44803.84</v>
      </c>
      <c r="I40" s="3">
        <v>985.3</v>
      </c>
      <c r="J40" s="3">
        <v>-0.21</v>
      </c>
      <c r="K40" s="3">
        <v>985.52</v>
      </c>
      <c r="L40" s="3">
        <v>5958.85</v>
      </c>
      <c r="M40" s="3">
        <v>77465</v>
      </c>
      <c r="N40" s="3">
        <v>5958.85</v>
      </c>
      <c r="O40" s="3">
        <v>77465</v>
      </c>
      <c r="P40" s="3" t="s">
        <v>41</v>
      </c>
      <c r="Q40" s="3" t="s">
        <v>42</v>
      </c>
      <c r="R40" s="3" t="s">
        <v>271</v>
      </c>
      <c r="S40" s="3">
        <v>0</v>
      </c>
      <c r="T40" s="3">
        <v>3873</v>
      </c>
      <c r="U40" s="3">
        <v>1</v>
      </c>
      <c r="V40" s="3">
        <v>1</v>
      </c>
      <c r="W40" s="3" t="s">
        <v>35</v>
      </c>
      <c r="X40" s="3" t="s">
        <v>35</v>
      </c>
      <c r="Y40" s="3" t="s">
        <v>35</v>
      </c>
      <c r="Z40" s="3" t="s">
        <v>35</v>
      </c>
      <c r="AA40" s="3" t="s">
        <v>35</v>
      </c>
      <c r="AB40" s="3" t="s">
        <v>84</v>
      </c>
      <c r="AC40" s="3" t="s">
        <v>49</v>
      </c>
    </row>
    <row r="41" s="3" customFormat="1" spans="1:29">
      <c r="A41" s="3" t="s">
        <v>29</v>
      </c>
      <c r="B41" s="3" t="s">
        <v>30</v>
      </c>
      <c r="C41" s="3">
        <v>22938699</v>
      </c>
      <c r="D41" s="13" t="s">
        <v>310</v>
      </c>
      <c r="E41" s="16">
        <v>46161.9815509259</v>
      </c>
      <c r="F41" s="3">
        <v>3295.49</v>
      </c>
      <c r="G41" s="3">
        <v>0</v>
      </c>
      <c r="H41" s="3">
        <v>3295.49</v>
      </c>
      <c r="I41" s="3">
        <v>170.68</v>
      </c>
      <c r="J41" s="3">
        <v>0</v>
      </c>
      <c r="K41" s="3">
        <v>170.68</v>
      </c>
      <c r="L41" s="3">
        <v>329.46</v>
      </c>
      <c r="M41" s="3">
        <v>4283</v>
      </c>
      <c r="N41" s="3">
        <v>329.46</v>
      </c>
      <c r="O41" s="3">
        <v>4283</v>
      </c>
      <c r="P41" s="3" t="s">
        <v>41</v>
      </c>
      <c r="Q41" s="3" t="s">
        <v>33</v>
      </c>
      <c r="R41" s="3" t="s">
        <v>271</v>
      </c>
      <c r="S41" s="3">
        <v>0</v>
      </c>
      <c r="T41" s="3">
        <v>214</v>
      </c>
      <c r="U41" s="3">
        <v>0</v>
      </c>
      <c r="V41" s="3" t="s">
        <v>35</v>
      </c>
      <c r="W41" s="3" t="s">
        <v>35</v>
      </c>
      <c r="X41" s="3" t="s">
        <v>35</v>
      </c>
      <c r="Y41" s="3" t="s">
        <v>35</v>
      </c>
      <c r="Z41" s="3" t="s">
        <v>35</v>
      </c>
      <c r="AA41" s="3" t="s">
        <v>35</v>
      </c>
      <c r="AB41" s="3" t="s">
        <v>84</v>
      </c>
      <c r="AC41" s="3" t="s">
        <v>49</v>
      </c>
    </row>
    <row r="42" s="3" customFormat="1" spans="1:29">
      <c r="A42" s="3" t="s">
        <v>29</v>
      </c>
      <c r="B42" s="3" t="s">
        <v>30</v>
      </c>
      <c r="C42" s="3">
        <v>22160276</v>
      </c>
      <c r="D42" s="13" t="s">
        <v>311</v>
      </c>
      <c r="E42" s="16">
        <v>46111.4536574074</v>
      </c>
      <c r="F42" s="3">
        <v>186.91</v>
      </c>
      <c r="G42" s="3">
        <v>7.11</v>
      </c>
      <c r="H42" s="3">
        <v>179.8</v>
      </c>
      <c r="I42" s="3">
        <v>34.54</v>
      </c>
      <c r="J42" s="3">
        <v>7.11</v>
      </c>
      <c r="K42" s="3">
        <v>27.43</v>
      </c>
      <c r="L42" s="3">
        <v>52.69</v>
      </c>
      <c r="M42" s="3">
        <v>685</v>
      </c>
      <c r="N42" s="3">
        <v>52.69</v>
      </c>
      <c r="O42" s="3">
        <v>685</v>
      </c>
      <c r="P42" s="3" t="s">
        <v>41</v>
      </c>
      <c r="Q42" s="3" t="s">
        <v>33</v>
      </c>
      <c r="R42" s="3" t="s">
        <v>271</v>
      </c>
      <c r="S42" s="3">
        <v>0</v>
      </c>
      <c r="T42" s="3">
        <v>34</v>
      </c>
      <c r="U42" s="3">
        <v>0</v>
      </c>
      <c r="V42" s="3" t="s">
        <v>35</v>
      </c>
      <c r="W42" s="3" t="s">
        <v>35</v>
      </c>
      <c r="X42" s="3" t="s">
        <v>35</v>
      </c>
      <c r="Y42" s="3" t="s">
        <v>35</v>
      </c>
      <c r="Z42" s="3" t="s">
        <v>35</v>
      </c>
      <c r="AA42" s="3" t="s">
        <v>35</v>
      </c>
      <c r="AB42" s="3" t="s">
        <v>84</v>
      </c>
      <c r="AC42" s="3" t="s">
        <v>49</v>
      </c>
    </row>
    <row r="43" s="3" customFormat="1" spans="1:29">
      <c r="A43" s="3" t="s">
        <v>29</v>
      </c>
      <c r="B43" s="3" t="s">
        <v>30</v>
      </c>
      <c r="C43" s="3">
        <v>6931167</v>
      </c>
      <c r="D43" s="13" t="s">
        <v>312</v>
      </c>
      <c r="E43" s="16">
        <v>44619.5371412037</v>
      </c>
      <c r="F43" s="3">
        <v>2590.97</v>
      </c>
      <c r="G43" s="3">
        <v>0.23</v>
      </c>
      <c r="H43" s="3">
        <v>2590.74</v>
      </c>
      <c r="I43" s="3">
        <v>424.27</v>
      </c>
      <c r="J43" s="3">
        <v>-0.57</v>
      </c>
      <c r="K43" s="3">
        <v>424.84</v>
      </c>
      <c r="L43" s="3">
        <v>1476.38</v>
      </c>
      <c r="M43" s="3">
        <v>19193</v>
      </c>
      <c r="N43" s="3">
        <v>1376.38</v>
      </c>
      <c r="O43" s="3">
        <v>17893</v>
      </c>
      <c r="P43" s="3" t="s">
        <v>41</v>
      </c>
      <c r="Q43" s="3" t="s">
        <v>42</v>
      </c>
      <c r="R43" s="3" t="s">
        <v>271</v>
      </c>
      <c r="S43" s="3">
        <v>0</v>
      </c>
      <c r="T43" s="3">
        <v>960</v>
      </c>
      <c r="U43" s="3">
        <v>0</v>
      </c>
      <c r="V43" s="3" t="s">
        <v>35</v>
      </c>
      <c r="W43" s="3" t="s">
        <v>35</v>
      </c>
      <c r="X43" s="3" t="s">
        <v>35</v>
      </c>
      <c r="Y43" s="3" t="s">
        <v>35</v>
      </c>
      <c r="Z43" s="3" t="s">
        <v>35</v>
      </c>
      <c r="AA43" s="3" t="s">
        <v>35</v>
      </c>
      <c r="AB43" s="3" t="s">
        <v>84</v>
      </c>
      <c r="AC43" s="3" t="s">
        <v>49</v>
      </c>
    </row>
    <row r="44" s="3" customFormat="1" spans="1:29">
      <c r="A44" s="3" t="s">
        <v>29</v>
      </c>
      <c r="B44" s="3" t="s">
        <v>30</v>
      </c>
      <c r="C44" s="3">
        <v>20404189</v>
      </c>
      <c r="D44" s="13" t="s">
        <v>313</v>
      </c>
      <c r="E44" s="16">
        <v>46020.3823263889</v>
      </c>
      <c r="F44" s="3">
        <v>1272.85</v>
      </c>
      <c r="G44" s="3">
        <v>0</v>
      </c>
      <c r="H44" s="3">
        <v>1272.85</v>
      </c>
      <c r="I44" s="3">
        <v>87.81</v>
      </c>
      <c r="J44" s="3">
        <v>0</v>
      </c>
      <c r="K44" s="3">
        <v>87.81</v>
      </c>
      <c r="L44" s="3">
        <v>265.15</v>
      </c>
      <c r="M44" s="3">
        <v>3447</v>
      </c>
      <c r="N44" s="3">
        <v>100.69</v>
      </c>
      <c r="O44" s="3">
        <v>1309</v>
      </c>
      <c r="P44" s="3" t="s">
        <v>32</v>
      </c>
      <c r="Q44" s="3" t="s">
        <v>33</v>
      </c>
      <c r="R44" s="3" t="s">
        <v>271</v>
      </c>
      <c r="S44" s="3">
        <v>0</v>
      </c>
      <c r="T44" s="3">
        <v>172</v>
      </c>
      <c r="U44" s="3">
        <v>0</v>
      </c>
      <c r="V44" s="3" t="s">
        <v>35</v>
      </c>
      <c r="W44" s="3" t="s">
        <v>35</v>
      </c>
      <c r="X44" s="3" t="s">
        <v>35</v>
      </c>
      <c r="Y44" s="3" t="s">
        <v>35</v>
      </c>
      <c r="Z44" s="3" t="s">
        <v>35</v>
      </c>
      <c r="AA44" s="3" t="s">
        <v>35</v>
      </c>
      <c r="AB44" s="3" t="s">
        <v>84</v>
      </c>
      <c r="AC44" s="3" t="s">
        <v>49</v>
      </c>
    </row>
    <row r="45" s="3" customFormat="1" spans="1:29">
      <c r="A45" s="3" t="s">
        <v>29</v>
      </c>
      <c r="B45" s="3" t="s">
        <v>30</v>
      </c>
      <c r="C45" s="3">
        <v>18440676</v>
      </c>
      <c r="D45" s="13" t="s">
        <v>314</v>
      </c>
      <c r="E45" s="16">
        <v>45911.8712268519</v>
      </c>
      <c r="F45" s="3">
        <v>441.39</v>
      </c>
      <c r="G45" s="3">
        <v>50.18</v>
      </c>
      <c r="H45" s="3">
        <v>391.2</v>
      </c>
      <c r="I45" s="3">
        <v>62.38</v>
      </c>
      <c r="J45" s="3">
        <v>41.27</v>
      </c>
      <c r="K45" s="3">
        <v>21.11</v>
      </c>
      <c r="L45" s="3">
        <v>96.08</v>
      </c>
      <c r="M45" s="3">
        <v>1249</v>
      </c>
      <c r="N45" s="3">
        <v>20</v>
      </c>
      <c r="O45" s="3">
        <v>260</v>
      </c>
      <c r="P45" s="3" t="s">
        <v>61</v>
      </c>
      <c r="Q45" s="3" t="s">
        <v>33</v>
      </c>
      <c r="R45" s="3" t="s">
        <v>271</v>
      </c>
      <c r="S45" s="3">
        <v>120</v>
      </c>
      <c r="T45" s="3">
        <v>31</v>
      </c>
      <c r="U45" s="3">
        <v>0</v>
      </c>
      <c r="V45" s="3" t="s">
        <v>35</v>
      </c>
      <c r="W45" s="3" t="s">
        <v>35</v>
      </c>
      <c r="X45" s="3" t="s">
        <v>35</v>
      </c>
      <c r="Y45" s="3" t="s">
        <v>35</v>
      </c>
      <c r="Z45" s="3" t="s">
        <v>35</v>
      </c>
      <c r="AA45" s="3" t="s">
        <v>35</v>
      </c>
      <c r="AB45" s="3" t="s">
        <v>84</v>
      </c>
      <c r="AC45" s="3" t="s">
        <v>49</v>
      </c>
    </row>
    <row r="46" s="3" customFormat="1" spans="1:29">
      <c r="A46" s="3" t="s">
        <v>29</v>
      </c>
      <c r="B46" s="3" t="s">
        <v>30</v>
      </c>
      <c r="C46" s="3">
        <v>19998717</v>
      </c>
      <c r="D46" s="13" t="s">
        <v>315</v>
      </c>
      <c r="E46" s="16">
        <v>46000.7146180556</v>
      </c>
      <c r="F46" s="3">
        <v>129.21</v>
      </c>
      <c r="G46" s="3">
        <v>64.09</v>
      </c>
      <c r="H46" s="3">
        <v>65.12</v>
      </c>
      <c r="I46" s="3">
        <v>58.18</v>
      </c>
      <c r="J46" s="3">
        <v>55.11</v>
      </c>
      <c r="K46" s="3">
        <v>3.07</v>
      </c>
      <c r="L46" s="3">
        <v>79.38</v>
      </c>
      <c r="M46" s="3">
        <v>1032</v>
      </c>
      <c r="N46" s="3">
        <v>9.54</v>
      </c>
      <c r="O46" s="3">
        <v>124</v>
      </c>
      <c r="P46" s="3" t="s">
        <v>61</v>
      </c>
      <c r="Q46" s="3" t="s">
        <v>33</v>
      </c>
      <c r="R46" s="3" t="s">
        <v>271</v>
      </c>
      <c r="S46" s="3">
        <v>120</v>
      </c>
      <c r="T46" s="3">
        <v>26</v>
      </c>
      <c r="U46" s="3">
        <v>0</v>
      </c>
      <c r="V46" s="3" t="s">
        <v>35</v>
      </c>
      <c r="W46" s="3" t="s">
        <v>35</v>
      </c>
      <c r="X46" s="3" t="s">
        <v>35</v>
      </c>
      <c r="Y46" s="3" t="s">
        <v>35</v>
      </c>
      <c r="Z46" s="3" t="s">
        <v>35</v>
      </c>
      <c r="AA46" s="3" t="s">
        <v>35</v>
      </c>
      <c r="AB46" s="3" t="s">
        <v>84</v>
      </c>
      <c r="AC46" s="3" t="s">
        <v>49</v>
      </c>
    </row>
    <row r="47" s="3" customFormat="1" spans="1:29">
      <c r="A47" s="3" t="s">
        <v>85</v>
      </c>
      <c r="B47" s="3" t="s">
        <v>30</v>
      </c>
      <c r="C47" s="3">
        <v>16687596</v>
      </c>
      <c r="D47" s="13" t="s">
        <v>316</v>
      </c>
      <c r="E47" s="16">
        <v>45792.4811689815</v>
      </c>
      <c r="F47" s="3">
        <v>1143.79</v>
      </c>
      <c r="G47" s="3">
        <v>5.69</v>
      </c>
      <c r="H47" s="3">
        <v>1138.1</v>
      </c>
      <c r="I47" s="3">
        <v>-115.18</v>
      </c>
      <c r="J47" s="3">
        <v>5.69</v>
      </c>
      <c r="K47" s="3">
        <v>-120.87</v>
      </c>
      <c r="L47" s="3">
        <v>230.69</v>
      </c>
      <c r="M47" s="3">
        <v>2999</v>
      </c>
      <c r="N47" s="3">
        <v>94.23</v>
      </c>
      <c r="O47" s="3">
        <v>1225</v>
      </c>
      <c r="P47" s="3" t="s">
        <v>32</v>
      </c>
      <c r="Q47" s="3" t="s">
        <v>33</v>
      </c>
      <c r="R47" s="3" t="s">
        <v>271</v>
      </c>
      <c r="S47" s="3">
        <v>0</v>
      </c>
      <c r="T47" s="3">
        <v>150</v>
      </c>
      <c r="U47" s="3">
        <v>0</v>
      </c>
      <c r="V47" s="3" t="s">
        <v>35</v>
      </c>
      <c r="W47" s="3" t="s">
        <v>35</v>
      </c>
      <c r="X47" s="3" t="s">
        <v>35</v>
      </c>
      <c r="Y47" s="3" t="s">
        <v>35</v>
      </c>
      <c r="Z47" s="3" t="s">
        <v>35</v>
      </c>
      <c r="AA47" s="3" t="s">
        <v>35</v>
      </c>
      <c r="AB47" s="3" t="s">
        <v>36</v>
      </c>
      <c r="AC47" s="3" t="s">
        <v>37</v>
      </c>
    </row>
    <row r="48" s="3" customFormat="1" spans="1:29">
      <c r="A48" s="3" t="s">
        <v>85</v>
      </c>
      <c r="B48" s="3" t="s">
        <v>30</v>
      </c>
      <c r="C48" s="3">
        <v>11946799</v>
      </c>
      <c r="D48" s="13" t="s">
        <v>317</v>
      </c>
      <c r="E48" s="16">
        <v>45298.8414467593</v>
      </c>
      <c r="F48" s="3">
        <v>1598.84</v>
      </c>
      <c r="G48" s="3">
        <v>0</v>
      </c>
      <c r="H48" s="3">
        <v>1598.84</v>
      </c>
      <c r="I48" s="3">
        <v>176.38</v>
      </c>
      <c r="J48" s="3">
        <v>0</v>
      </c>
      <c r="K48" s="3">
        <v>176.38</v>
      </c>
      <c r="L48" s="3">
        <v>381.15</v>
      </c>
      <c r="M48" s="3">
        <v>4955</v>
      </c>
      <c r="N48" s="3">
        <v>166.31</v>
      </c>
      <c r="O48" s="3">
        <v>2162</v>
      </c>
      <c r="P48" s="3" t="s">
        <v>41</v>
      </c>
      <c r="Q48" s="3" t="s">
        <v>33</v>
      </c>
      <c r="R48" s="3" t="s">
        <v>271</v>
      </c>
      <c r="S48" s="3">
        <v>0</v>
      </c>
      <c r="T48" s="3">
        <v>248</v>
      </c>
      <c r="U48" s="3">
        <v>0</v>
      </c>
      <c r="V48" s="3" t="s">
        <v>35</v>
      </c>
      <c r="W48" s="3" t="s">
        <v>35</v>
      </c>
      <c r="X48" s="3" t="s">
        <v>35</v>
      </c>
      <c r="Y48" s="3" t="s">
        <v>35</v>
      </c>
      <c r="Z48" s="3" t="s">
        <v>35</v>
      </c>
      <c r="AA48" s="3" t="s">
        <v>35</v>
      </c>
      <c r="AB48" s="3" t="s">
        <v>36</v>
      </c>
      <c r="AC48" s="3" t="s">
        <v>37</v>
      </c>
    </row>
    <row r="49" s="3" customFormat="1" spans="1:29">
      <c r="A49" s="3" t="s">
        <v>85</v>
      </c>
      <c r="B49" s="3" t="s">
        <v>30</v>
      </c>
      <c r="C49" s="3">
        <v>10504058</v>
      </c>
      <c r="D49" s="13" t="s">
        <v>318</v>
      </c>
      <c r="E49" s="16">
        <v>45162.3895023148</v>
      </c>
      <c r="F49" s="3">
        <v>2279.03</v>
      </c>
      <c r="G49" s="3">
        <v>0</v>
      </c>
      <c r="H49" s="3">
        <v>2279.03</v>
      </c>
      <c r="I49" s="3">
        <v>450.76</v>
      </c>
      <c r="J49" s="3">
        <v>0</v>
      </c>
      <c r="K49" s="3">
        <v>450.76</v>
      </c>
      <c r="L49" s="3">
        <v>777.69</v>
      </c>
      <c r="M49" s="3">
        <v>10110</v>
      </c>
      <c r="N49" s="3">
        <v>777.69</v>
      </c>
      <c r="O49" s="3">
        <v>10110</v>
      </c>
      <c r="P49" s="3" t="s">
        <v>32</v>
      </c>
      <c r="Q49" s="3" t="s">
        <v>33</v>
      </c>
      <c r="R49" s="3" t="s">
        <v>271</v>
      </c>
      <c r="S49" s="3">
        <v>0</v>
      </c>
      <c r="T49" s="3">
        <v>506</v>
      </c>
      <c r="U49" s="3">
        <v>0</v>
      </c>
      <c r="V49" s="3" t="s">
        <v>35</v>
      </c>
      <c r="W49" s="3" t="s">
        <v>35</v>
      </c>
      <c r="X49" s="3" t="s">
        <v>35</v>
      </c>
      <c r="Y49" s="3" t="s">
        <v>35</v>
      </c>
      <c r="Z49" s="3" t="s">
        <v>35</v>
      </c>
      <c r="AA49" s="3" t="s">
        <v>35</v>
      </c>
      <c r="AB49" s="3" t="s">
        <v>36</v>
      </c>
      <c r="AC49" s="3" t="s">
        <v>37</v>
      </c>
    </row>
    <row r="50" s="3" customFormat="1" spans="1:29">
      <c r="A50" s="3" t="s">
        <v>85</v>
      </c>
      <c r="B50" s="3" t="s">
        <v>30</v>
      </c>
      <c r="C50" s="3">
        <v>14110309</v>
      </c>
      <c r="D50" s="13" t="s">
        <v>319</v>
      </c>
      <c r="E50" s="16">
        <v>45577.5595023148</v>
      </c>
      <c r="F50" s="3">
        <v>148.68</v>
      </c>
      <c r="G50" s="3">
        <v>5.08</v>
      </c>
      <c r="H50" s="3">
        <v>143.59</v>
      </c>
      <c r="I50" s="3">
        <v>13.13</v>
      </c>
      <c r="J50" s="3">
        <v>5.08</v>
      </c>
      <c r="K50" s="3">
        <v>8.05</v>
      </c>
      <c r="L50" s="3">
        <v>52.08</v>
      </c>
      <c r="M50" s="3">
        <v>677</v>
      </c>
      <c r="N50" s="3">
        <v>24.15</v>
      </c>
      <c r="O50" s="3">
        <v>314</v>
      </c>
      <c r="P50" s="3" t="s">
        <v>32</v>
      </c>
      <c r="Q50" s="3" t="s">
        <v>33</v>
      </c>
      <c r="R50" s="3" t="s">
        <v>271</v>
      </c>
      <c r="S50" s="3">
        <v>0</v>
      </c>
      <c r="T50" s="3">
        <v>34</v>
      </c>
      <c r="U50" s="3">
        <v>0</v>
      </c>
      <c r="V50" s="3" t="s">
        <v>35</v>
      </c>
      <c r="W50" s="3" t="s">
        <v>35</v>
      </c>
      <c r="X50" s="3" t="s">
        <v>35</v>
      </c>
      <c r="Y50" s="3" t="s">
        <v>35</v>
      </c>
      <c r="Z50" s="3" t="s">
        <v>35</v>
      </c>
      <c r="AA50" s="3" t="s">
        <v>35</v>
      </c>
      <c r="AB50" s="3" t="s">
        <v>43</v>
      </c>
      <c r="AC50" s="3" t="s">
        <v>37</v>
      </c>
    </row>
    <row r="51" s="3" customFormat="1" spans="1:29">
      <c r="A51" s="3" t="s">
        <v>85</v>
      </c>
      <c r="B51" s="3" t="s">
        <v>30</v>
      </c>
      <c r="C51" s="3">
        <v>9598168</v>
      </c>
      <c r="D51" s="13" t="s">
        <v>320</v>
      </c>
      <c r="E51" s="16">
        <v>45001.5214930556</v>
      </c>
      <c r="F51" s="3">
        <v>530.04</v>
      </c>
      <c r="G51" s="3">
        <v>0</v>
      </c>
      <c r="H51" s="3">
        <v>530.04</v>
      </c>
      <c r="I51" s="3">
        <v>15.98</v>
      </c>
      <c r="J51" s="3">
        <v>0</v>
      </c>
      <c r="K51" s="3">
        <v>15.98</v>
      </c>
      <c r="L51" s="3">
        <v>103.08</v>
      </c>
      <c r="M51" s="3">
        <v>1340</v>
      </c>
      <c r="N51" s="3">
        <v>103.08</v>
      </c>
      <c r="O51" s="3">
        <v>1340</v>
      </c>
      <c r="P51" s="3" t="s">
        <v>32</v>
      </c>
      <c r="Q51" s="3" t="s">
        <v>33</v>
      </c>
      <c r="R51" s="3" t="s">
        <v>271</v>
      </c>
      <c r="S51" s="3">
        <v>0</v>
      </c>
      <c r="T51" s="3">
        <v>67</v>
      </c>
      <c r="U51" s="3">
        <v>0</v>
      </c>
      <c r="V51" s="3" t="s">
        <v>35</v>
      </c>
      <c r="W51" s="3" t="s">
        <v>35</v>
      </c>
      <c r="X51" s="3" t="s">
        <v>35</v>
      </c>
      <c r="Y51" s="3" t="s">
        <v>35</v>
      </c>
      <c r="Z51" s="3" t="s">
        <v>35</v>
      </c>
      <c r="AA51" s="3" t="s">
        <v>35</v>
      </c>
      <c r="AB51" s="3" t="s">
        <v>43</v>
      </c>
      <c r="AC51" s="3" t="s">
        <v>37</v>
      </c>
    </row>
    <row r="52" s="3" customFormat="1" spans="1:29">
      <c r="A52" s="3" t="s">
        <v>85</v>
      </c>
      <c r="B52" s="3" t="s">
        <v>30</v>
      </c>
      <c r="C52" s="3">
        <v>19402858</v>
      </c>
      <c r="D52" s="13" t="s">
        <v>321</v>
      </c>
      <c r="E52" s="16">
        <v>45973.3174074074</v>
      </c>
      <c r="F52" s="3">
        <v>297.74</v>
      </c>
      <c r="G52" s="3">
        <v>0</v>
      </c>
      <c r="H52" s="3">
        <v>297.74</v>
      </c>
      <c r="I52" s="3">
        <v>57.08</v>
      </c>
      <c r="J52" s="3">
        <v>0</v>
      </c>
      <c r="K52" s="3">
        <v>57.08</v>
      </c>
      <c r="L52" s="3">
        <v>64.77</v>
      </c>
      <c r="M52" s="3">
        <v>842</v>
      </c>
      <c r="N52" s="3">
        <v>0</v>
      </c>
      <c r="O52" s="3">
        <v>0</v>
      </c>
      <c r="P52" s="3" t="s">
        <v>41</v>
      </c>
      <c r="Q52" s="3" t="s">
        <v>33</v>
      </c>
      <c r="R52" s="3" t="s">
        <v>271</v>
      </c>
      <c r="S52" s="3">
        <v>0</v>
      </c>
      <c r="T52" s="3">
        <v>42</v>
      </c>
      <c r="U52" s="3">
        <v>0</v>
      </c>
      <c r="V52" s="3" t="s">
        <v>35</v>
      </c>
      <c r="W52" s="3" t="s">
        <v>35</v>
      </c>
      <c r="X52" s="3" t="s">
        <v>35</v>
      </c>
      <c r="Y52" s="3" t="s">
        <v>35</v>
      </c>
      <c r="Z52" s="3" t="s">
        <v>35</v>
      </c>
      <c r="AA52" s="3" t="s">
        <v>35</v>
      </c>
      <c r="AB52" s="3" t="s">
        <v>48</v>
      </c>
      <c r="AC52" s="3" t="s">
        <v>49</v>
      </c>
    </row>
    <row r="53" s="3" customFormat="1" spans="1:29">
      <c r="A53" s="3" t="s">
        <v>85</v>
      </c>
      <c r="B53" s="3" t="s">
        <v>30</v>
      </c>
      <c r="C53" s="3">
        <v>22651099</v>
      </c>
      <c r="D53" s="13" t="s">
        <v>322</v>
      </c>
      <c r="E53" s="16">
        <v>46141.5823611111</v>
      </c>
      <c r="F53" s="3">
        <v>2718.46</v>
      </c>
      <c r="G53" s="3">
        <v>0</v>
      </c>
      <c r="H53" s="3">
        <v>2718.46</v>
      </c>
      <c r="I53" s="3">
        <v>114.58</v>
      </c>
      <c r="J53" s="3">
        <v>0</v>
      </c>
      <c r="K53" s="3">
        <v>114.58</v>
      </c>
      <c r="L53" s="3">
        <v>153.85</v>
      </c>
      <c r="M53" s="3">
        <v>2000</v>
      </c>
      <c r="N53" s="3">
        <v>153.85</v>
      </c>
      <c r="O53" s="3">
        <v>2000</v>
      </c>
      <c r="P53" s="3" t="s">
        <v>41</v>
      </c>
      <c r="Q53" s="3" t="s">
        <v>33</v>
      </c>
      <c r="R53" s="3" t="s">
        <v>271</v>
      </c>
      <c r="S53" s="3">
        <v>0</v>
      </c>
      <c r="T53" s="3">
        <v>100</v>
      </c>
      <c r="U53" s="3">
        <v>0</v>
      </c>
      <c r="V53" s="3" t="s">
        <v>35</v>
      </c>
      <c r="W53" s="3" t="s">
        <v>35</v>
      </c>
      <c r="X53" s="3" t="s">
        <v>35</v>
      </c>
      <c r="Y53" s="3" t="s">
        <v>35</v>
      </c>
      <c r="Z53" s="3" t="s">
        <v>35</v>
      </c>
      <c r="AA53" s="3" t="s">
        <v>35</v>
      </c>
      <c r="AB53" s="3" t="s">
        <v>48</v>
      </c>
      <c r="AC53" s="3" t="s">
        <v>49</v>
      </c>
    </row>
    <row r="54" s="3" customFormat="1" spans="1:29">
      <c r="A54" s="3" t="s">
        <v>85</v>
      </c>
      <c r="B54" s="3" t="s">
        <v>30</v>
      </c>
      <c r="C54" s="3">
        <v>17731547</v>
      </c>
      <c r="D54" s="13" t="s">
        <v>323</v>
      </c>
      <c r="E54" s="16">
        <v>45871.9805324074</v>
      </c>
      <c r="F54" s="3">
        <v>144.65</v>
      </c>
      <c r="G54" s="3">
        <v>0</v>
      </c>
      <c r="H54" s="3">
        <v>144.65</v>
      </c>
      <c r="I54" s="3">
        <v>14.12</v>
      </c>
      <c r="J54" s="3">
        <v>0</v>
      </c>
      <c r="K54" s="3">
        <v>14.12</v>
      </c>
      <c r="L54" s="3">
        <v>53.85</v>
      </c>
      <c r="M54" s="3">
        <v>700</v>
      </c>
      <c r="N54" s="3">
        <v>10.77</v>
      </c>
      <c r="O54" s="3">
        <v>140</v>
      </c>
      <c r="P54" s="3" t="s">
        <v>32</v>
      </c>
      <c r="Q54" s="3" t="s">
        <v>33</v>
      </c>
      <c r="R54" s="3" t="s">
        <v>271</v>
      </c>
      <c r="S54" s="3">
        <v>0</v>
      </c>
      <c r="T54" s="3">
        <v>35</v>
      </c>
      <c r="U54" s="3">
        <v>0</v>
      </c>
      <c r="V54" s="3" t="s">
        <v>35</v>
      </c>
      <c r="W54" s="3" t="s">
        <v>35</v>
      </c>
      <c r="X54" s="3" t="s">
        <v>35</v>
      </c>
      <c r="Y54" s="3" t="s">
        <v>35</v>
      </c>
      <c r="Z54" s="3" t="s">
        <v>35</v>
      </c>
      <c r="AA54" s="3" t="s">
        <v>35</v>
      </c>
      <c r="AB54" s="3" t="s">
        <v>48</v>
      </c>
      <c r="AC54" s="3" t="s">
        <v>49</v>
      </c>
    </row>
    <row r="55" s="3" customFormat="1" spans="1:29">
      <c r="A55" s="3" t="s">
        <v>85</v>
      </c>
      <c r="B55" s="3" t="s">
        <v>30</v>
      </c>
      <c r="C55" s="3">
        <v>21782719</v>
      </c>
      <c r="D55" s="13" t="s">
        <v>324</v>
      </c>
      <c r="E55" s="16">
        <v>46089.9134375</v>
      </c>
      <c r="F55" s="3">
        <v>3103.19</v>
      </c>
      <c r="G55" s="3">
        <v>0</v>
      </c>
      <c r="H55" s="3">
        <v>3103.19</v>
      </c>
      <c r="I55" s="3">
        <v>36.31</v>
      </c>
      <c r="J55" s="3">
        <v>0</v>
      </c>
      <c r="K55" s="3">
        <v>36.31</v>
      </c>
      <c r="L55" s="3">
        <v>484.77</v>
      </c>
      <c r="M55" s="3">
        <v>6302</v>
      </c>
      <c r="N55" s="3">
        <v>484.77</v>
      </c>
      <c r="O55" s="3">
        <v>6302</v>
      </c>
      <c r="P55" s="3" t="s">
        <v>41</v>
      </c>
      <c r="Q55" s="3" t="s">
        <v>33</v>
      </c>
      <c r="R55" s="3" t="s">
        <v>271</v>
      </c>
      <c r="S55" s="3">
        <v>0</v>
      </c>
      <c r="T55" s="3">
        <v>315</v>
      </c>
      <c r="U55" s="3">
        <v>0</v>
      </c>
      <c r="V55" s="3" t="s">
        <v>35</v>
      </c>
      <c r="W55" s="3" t="s">
        <v>35</v>
      </c>
      <c r="X55" s="3" t="s">
        <v>35</v>
      </c>
      <c r="Y55" s="3" t="s">
        <v>35</v>
      </c>
      <c r="Z55" s="3" t="s">
        <v>35</v>
      </c>
      <c r="AA55" s="3" t="s">
        <v>35</v>
      </c>
      <c r="AB55" s="3" t="s">
        <v>48</v>
      </c>
      <c r="AC55" s="3" t="s">
        <v>49</v>
      </c>
    </row>
    <row r="56" s="3" customFormat="1" spans="1:29">
      <c r="A56" s="3" t="s">
        <v>85</v>
      </c>
      <c r="B56" s="3" t="s">
        <v>30</v>
      </c>
      <c r="C56" s="3">
        <v>18471138</v>
      </c>
      <c r="D56" s="13" t="s">
        <v>325</v>
      </c>
      <c r="E56" s="16">
        <v>45914.0791319444</v>
      </c>
      <c r="F56" s="3">
        <v>284.1</v>
      </c>
      <c r="G56" s="3">
        <v>0</v>
      </c>
      <c r="H56" s="3">
        <v>283.64</v>
      </c>
      <c r="I56" s="3">
        <v>-18.26</v>
      </c>
      <c r="J56" s="3">
        <v>0</v>
      </c>
      <c r="K56" s="3">
        <v>-18.26</v>
      </c>
      <c r="L56" s="3">
        <v>74.08</v>
      </c>
      <c r="M56" s="3">
        <v>963</v>
      </c>
      <c r="N56" s="3">
        <v>74.08</v>
      </c>
      <c r="O56" s="3">
        <v>963</v>
      </c>
      <c r="P56" s="3" t="s">
        <v>41</v>
      </c>
      <c r="Q56" s="3" t="s">
        <v>33</v>
      </c>
      <c r="R56" s="3" t="s">
        <v>271</v>
      </c>
      <c r="S56" s="3">
        <v>0</v>
      </c>
      <c r="T56" s="3">
        <v>48</v>
      </c>
      <c r="U56" s="3">
        <v>0</v>
      </c>
      <c r="V56" s="3" t="s">
        <v>35</v>
      </c>
      <c r="W56" s="3" t="s">
        <v>35</v>
      </c>
      <c r="X56" s="3" t="s">
        <v>35</v>
      </c>
      <c r="Y56" s="3" t="s">
        <v>35</v>
      </c>
      <c r="Z56" s="3" t="s">
        <v>35</v>
      </c>
      <c r="AA56" s="3" t="s">
        <v>35</v>
      </c>
      <c r="AB56" s="3" t="s">
        <v>48</v>
      </c>
      <c r="AC56" s="3" t="s">
        <v>49</v>
      </c>
    </row>
    <row r="57" s="3" customFormat="1" spans="1:29">
      <c r="A57" s="3" t="s">
        <v>85</v>
      </c>
      <c r="B57" s="3" t="s">
        <v>30</v>
      </c>
      <c r="C57" s="3">
        <v>21098208</v>
      </c>
      <c r="D57" s="13" t="s">
        <v>326</v>
      </c>
      <c r="E57" s="16">
        <v>46054.9814583333</v>
      </c>
      <c r="F57" s="3">
        <v>278.25</v>
      </c>
      <c r="G57" s="3">
        <v>0</v>
      </c>
      <c r="H57" s="3">
        <v>278.25</v>
      </c>
      <c r="I57" s="3">
        <v>75.75</v>
      </c>
      <c r="J57" s="3">
        <v>-0.16</v>
      </c>
      <c r="K57" s="3">
        <v>75.91</v>
      </c>
      <c r="L57" s="3">
        <v>98.85</v>
      </c>
      <c r="M57" s="3">
        <v>1285</v>
      </c>
      <c r="N57" s="3">
        <v>0</v>
      </c>
      <c r="O57" s="3">
        <v>0</v>
      </c>
      <c r="P57" s="3" t="s">
        <v>41</v>
      </c>
      <c r="Q57" s="3" t="s">
        <v>33</v>
      </c>
      <c r="R57" s="3" t="s">
        <v>271</v>
      </c>
      <c r="S57" s="3">
        <v>0</v>
      </c>
      <c r="T57" s="3">
        <v>64</v>
      </c>
      <c r="U57" s="3">
        <v>0</v>
      </c>
      <c r="V57" s="3" t="s">
        <v>35</v>
      </c>
      <c r="W57" s="3" t="s">
        <v>35</v>
      </c>
      <c r="X57" s="3" t="s">
        <v>35</v>
      </c>
      <c r="Y57" s="3" t="s">
        <v>35</v>
      </c>
      <c r="Z57" s="3" t="s">
        <v>35</v>
      </c>
      <c r="AA57" s="3" t="s">
        <v>35</v>
      </c>
      <c r="AB57" s="3" t="s">
        <v>53</v>
      </c>
      <c r="AC57" s="3" t="s">
        <v>49</v>
      </c>
    </row>
    <row r="58" s="3" customFormat="1" spans="1:29">
      <c r="A58" s="3" t="s">
        <v>85</v>
      </c>
      <c r="B58" s="3" t="s">
        <v>30</v>
      </c>
      <c r="C58" s="3">
        <v>16659569</v>
      </c>
      <c r="D58" s="13" t="s">
        <v>327</v>
      </c>
      <c r="E58" s="16">
        <v>45789.038912037</v>
      </c>
      <c r="F58" s="3">
        <v>1827.43</v>
      </c>
      <c r="G58" s="3">
        <v>24.93</v>
      </c>
      <c r="H58" s="3">
        <v>1802.27</v>
      </c>
      <c r="I58" s="3">
        <v>94.77</v>
      </c>
      <c r="J58" s="3">
        <v>16.81</v>
      </c>
      <c r="K58" s="3">
        <v>77.96</v>
      </c>
      <c r="L58" s="3">
        <v>338.31</v>
      </c>
      <c r="M58" s="3">
        <v>4398</v>
      </c>
      <c r="N58" s="3">
        <v>0</v>
      </c>
      <c r="O58" s="3">
        <v>0</v>
      </c>
      <c r="P58" s="3" t="s">
        <v>32</v>
      </c>
      <c r="Q58" s="3" t="s">
        <v>33</v>
      </c>
      <c r="R58" s="3" t="s">
        <v>271</v>
      </c>
      <c r="S58" s="3">
        <v>0</v>
      </c>
      <c r="T58" s="3">
        <v>220</v>
      </c>
      <c r="U58" s="3">
        <v>0</v>
      </c>
      <c r="V58" s="3" t="s">
        <v>35</v>
      </c>
      <c r="W58" s="3" t="s">
        <v>35</v>
      </c>
      <c r="X58" s="3" t="s">
        <v>35</v>
      </c>
      <c r="Y58" s="3" t="s">
        <v>35</v>
      </c>
      <c r="Z58" s="3" t="s">
        <v>35</v>
      </c>
      <c r="AA58" s="3" t="s">
        <v>35</v>
      </c>
      <c r="AB58" s="3" t="s">
        <v>58</v>
      </c>
      <c r="AC58" s="3" t="s">
        <v>49</v>
      </c>
    </row>
    <row r="59" s="3" customFormat="1" spans="1:29">
      <c r="A59" s="3" t="s">
        <v>85</v>
      </c>
      <c r="B59" s="3" t="s">
        <v>30</v>
      </c>
      <c r="C59" s="3">
        <v>17235106</v>
      </c>
      <c r="D59" s="13" t="s">
        <v>328</v>
      </c>
      <c r="E59" s="16">
        <v>45841.0065856482</v>
      </c>
      <c r="F59" s="3">
        <v>3278.31</v>
      </c>
      <c r="G59" s="3">
        <v>0</v>
      </c>
      <c r="H59" s="3">
        <v>3278.31</v>
      </c>
      <c r="I59" s="3">
        <v>75.07</v>
      </c>
      <c r="J59" s="3">
        <v>0</v>
      </c>
      <c r="K59" s="3">
        <v>75.07</v>
      </c>
      <c r="L59" s="3">
        <v>392.31</v>
      </c>
      <c r="M59" s="3">
        <v>5100</v>
      </c>
      <c r="N59" s="3">
        <v>76.92</v>
      </c>
      <c r="O59" s="3">
        <v>1000</v>
      </c>
      <c r="P59" s="3" t="s">
        <v>41</v>
      </c>
      <c r="Q59" s="3" t="s">
        <v>33</v>
      </c>
      <c r="R59" s="3" t="s">
        <v>271</v>
      </c>
      <c r="S59" s="3">
        <v>0</v>
      </c>
      <c r="T59" s="3">
        <v>255</v>
      </c>
      <c r="U59" s="3">
        <v>0</v>
      </c>
      <c r="V59" s="3" t="s">
        <v>35</v>
      </c>
      <c r="W59" s="3" t="s">
        <v>35</v>
      </c>
      <c r="X59" s="3" t="s">
        <v>35</v>
      </c>
      <c r="Y59" s="3" t="s">
        <v>35</v>
      </c>
      <c r="Z59" s="3" t="s">
        <v>35</v>
      </c>
      <c r="AA59" s="3" t="s">
        <v>35</v>
      </c>
      <c r="AB59" s="3" t="s">
        <v>58</v>
      </c>
      <c r="AC59" s="3" t="s">
        <v>49</v>
      </c>
    </row>
    <row r="60" s="3" customFormat="1" spans="1:29">
      <c r="A60" s="3" t="s">
        <v>85</v>
      </c>
      <c r="B60" s="3" t="s">
        <v>30</v>
      </c>
      <c r="C60" s="3">
        <v>15882129</v>
      </c>
      <c r="D60" s="13" t="s">
        <v>329</v>
      </c>
      <c r="E60" s="16">
        <v>45708.0042708333</v>
      </c>
      <c r="F60" s="3">
        <v>242</v>
      </c>
      <c r="G60" s="3">
        <v>37</v>
      </c>
      <c r="H60" s="3">
        <v>205</v>
      </c>
      <c r="I60" s="3">
        <v>-30.76</v>
      </c>
      <c r="J60" s="3">
        <v>-58.19</v>
      </c>
      <c r="K60" s="3">
        <v>27.43</v>
      </c>
      <c r="L60" s="3">
        <v>56.92</v>
      </c>
      <c r="M60" s="3">
        <v>740</v>
      </c>
      <c r="N60" s="3">
        <v>36.54</v>
      </c>
      <c r="O60" s="3">
        <v>475</v>
      </c>
      <c r="P60" s="3" t="s">
        <v>61</v>
      </c>
      <c r="Q60" s="3" t="s">
        <v>33</v>
      </c>
      <c r="R60" s="3" t="s">
        <v>271</v>
      </c>
      <c r="S60" s="3">
        <v>120</v>
      </c>
      <c r="T60" s="3">
        <v>19</v>
      </c>
      <c r="U60" s="3">
        <v>0</v>
      </c>
      <c r="V60" s="3" t="s">
        <v>35</v>
      </c>
      <c r="W60" s="3" t="s">
        <v>35</v>
      </c>
      <c r="X60" s="3" t="s">
        <v>35</v>
      </c>
      <c r="Y60" s="3" t="s">
        <v>35</v>
      </c>
      <c r="Z60" s="3" t="s">
        <v>35</v>
      </c>
      <c r="AA60" s="3" t="s">
        <v>35</v>
      </c>
      <c r="AB60" s="3" t="s">
        <v>58</v>
      </c>
      <c r="AC60" s="3" t="s">
        <v>49</v>
      </c>
    </row>
    <row r="61" s="3" customFormat="1" spans="1:29">
      <c r="A61" s="3" t="s">
        <v>85</v>
      </c>
      <c r="B61" s="3" t="s">
        <v>30</v>
      </c>
      <c r="C61" s="3">
        <v>22685996</v>
      </c>
      <c r="D61" s="13" t="s">
        <v>330</v>
      </c>
      <c r="E61" s="16">
        <v>46143.4545601852</v>
      </c>
      <c r="F61" s="3">
        <v>1432.73</v>
      </c>
      <c r="G61" s="3">
        <v>0.08</v>
      </c>
      <c r="H61" s="3">
        <v>1432.65</v>
      </c>
      <c r="I61" s="3">
        <v>-196.39</v>
      </c>
      <c r="J61" s="3">
        <v>0.08</v>
      </c>
      <c r="K61" s="3">
        <v>-196.47</v>
      </c>
      <c r="L61" s="3">
        <v>486.85</v>
      </c>
      <c r="M61" s="3">
        <v>6329</v>
      </c>
      <c r="N61" s="3">
        <v>486.85</v>
      </c>
      <c r="O61" s="3">
        <v>6329</v>
      </c>
      <c r="P61" s="3" t="s">
        <v>32</v>
      </c>
      <c r="Q61" s="3" t="s">
        <v>33</v>
      </c>
      <c r="R61" s="3" t="s">
        <v>271</v>
      </c>
      <c r="S61" s="3">
        <v>0</v>
      </c>
      <c r="T61" s="3">
        <v>316</v>
      </c>
      <c r="U61" s="3">
        <v>0</v>
      </c>
      <c r="V61" s="3" t="s">
        <v>35</v>
      </c>
      <c r="W61" s="3" t="s">
        <v>35</v>
      </c>
      <c r="X61" s="3" t="s">
        <v>35</v>
      </c>
      <c r="Y61" s="3" t="s">
        <v>35</v>
      </c>
      <c r="Z61" s="3" t="s">
        <v>35</v>
      </c>
      <c r="AA61" s="3" t="s">
        <v>35</v>
      </c>
      <c r="AB61" s="3" t="s">
        <v>58</v>
      </c>
      <c r="AC61" s="3" t="s">
        <v>49</v>
      </c>
    </row>
    <row r="62" s="3" customFormat="1" spans="1:29">
      <c r="A62" s="3" t="s">
        <v>85</v>
      </c>
      <c r="B62" s="3" t="s">
        <v>30</v>
      </c>
      <c r="C62" s="3">
        <v>22622806</v>
      </c>
      <c r="D62" s="13" t="s">
        <v>331</v>
      </c>
      <c r="E62" s="16">
        <v>46139.3214814815</v>
      </c>
      <c r="F62" s="3">
        <v>874.69</v>
      </c>
      <c r="G62" s="3">
        <v>0</v>
      </c>
      <c r="H62" s="3">
        <v>874.69</v>
      </c>
      <c r="I62" s="3">
        <v>95.53</v>
      </c>
      <c r="J62" s="3">
        <v>0</v>
      </c>
      <c r="K62" s="3">
        <v>95.53</v>
      </c>
      <c r="L62" s="3">
        <v>95.54</v>
      </c>
      <c r="M62" s="3">
        <v>1242</v>
      </c>
      <c r="N62" s="3">
        <v>95.54</v>
      </c>
      <c r="O62" s="3">
        <v>1242</v>
      </c>
      <c r="P62" s="3" t="s">
        <v>41</v>
      </c>
      <c r="Q62" s="3" t="s">
        <v>33</v>
      </c>
      <c r="R62" s="3" t="s">
        <v>271</v>
      </c>
      <c r="S62" s="3">
        <v>0</v>
      </c>
      <c r="T62" s="3">
        <v>62</v>
      </c>
      <c r="U62" s="3">
        <v>0</v>
      </c>
      <c r="V62" s="3" t="s">
        <v>35</v>
      </c>
      <c r="W62" s="3" t="s">
        <v>35</v>
      </c>
      <c r="X62" s="3" t="s">
        <v>35</v>
      </c>
      <c r="Y62" s="3" t="s">
        <v>35</v>
      </c>
      <c r="Z62" s="3" t="s">
        <v>35</v>
      </c>
      <c r="AA62" s="3" t="s">
        <v>35</v>
      </c>
      <c r="AB62" s="3" t="s">
        <v>58</v>
      </c>
      <c r="AC62" s="3" t="s">
        <v>49</v>
      </c>
    </row>
    <row r="63" s="3" customFormat="1" spans="1:29">
      <c r="A63" s="3" t="s">
        <v>85</v>
      </c>
      <c r="B63" s="3" t="s">
        <v>30</v>
      </c>
      <c r="C63" s="3">
        <v>13635959</v>
      </c>
      <c r="D63" s="13" t="s">
        <v>332</v>
      </c>
      <c r="E63" s="16">
        <v>45543.8569791667</v>
      </c>
      <c r="F63" s="3">
        <v>1693.45</v>
      </c>
      <c r="G63" s="3">
        <v>0</v>
      </c>
      <c r="H63" s="3">
        <v>1693.45</v>
      </c>
      <c r="I63" s="3">
        <v>64.37</v>
      </c>
      <c r="J63" s="3">
        <v>0</v>
      </c>
      <c r="K63" s="3">
        <v>64.37</v>
      </c>
      <c r="L63" s="3">
        <v>427.46</v>
      </c>
      <c r="M63" s="3">
        <v>5557</v>
      </c>
      <c r="N63" s="3">
        <v>246.15</v>
      </c>
      <c r="O63" s="3">
        <v>3200</v>
      </c>
      <c r="P63" s="3" t="s">
        <v>41</v>
      </c>
      <c r="Q63" s="3" t="s">
        <v>33</v>
      </c>
      <c r="R63" s="3" t="s">
        <v>271</v>
      </c>
      <c r="S63" s="3">
        <v>0</v>
      </c>
      <c r="T63" s="3">
        <v>278</v>
      </c>
      <c r="U63" s="3">
        <v>0</v>
      </c>
      <c r="V63" s="3" t="s">
        <v>35</v>
      </c>
      <c r="W63" s="3" t="s">
        <v>35</v>
      </c>
      <c r="X63" s="3" t="s">
        <v>35</v>
      </c>
      <c r="Y63" s="3" t="s">
        <v>35</v>
      </c>
      <c r="Z63" s="3" t="s">
        <v>35</v>
      </c>
      <c r="AA63" s="3" t="s">
        <v>35</v>
      </c>
      <c r="AB63" s="3" t="s">
        <v>58</v>
      </c>
      <c r="AC63" s="3" t="s">
        <v>49</v>
      </c>
    </row>
    <row r="64" s="3" customFormat="1" spans="1:29">
      <c r="A64" s="3" t="s">
        <v>85</v>
      </c>
      <c r="B64" s="3" t="s">
        <v>30</v>
      </c>
      <c r="C64" s="3">
        <v>21062669</v>
      </c>
      <c r="D64" s="13" t="s">
        <v>333</v>
      </c>
      <c r="E64" s="16">
        <v>46053.456099537</v>
      </c>
      <c r="F64" s="3">
        <v>710.84</v>
      </c>
      <c r="G64" s="3">
        <v>25.04</v>
      </c>
      <c r="H64" s="3">
        <v>685.8</v>
      </c>
      <c r="I64" s="3">
        <v>49.07</v>
      </c>
      <c r="J64" s="3">
        <v>2.26</v>
      </c>
      <c r="K64" s="3">
        <v>46.8</v>
      </c>
      <c r="L64" s="3">
        <v>187.15</v>
      </c>
      <c r="M64" s="3">
        <v>2433</v>
      </c>
      <c r="N64" s="3">
        <v>143.85</v>
      </c>
      <c r="O64" s="3">
        <v>1870</v>
      </c>
      <c r="P64" s="3" t="s">
        <v>41</v>
      </c>
      <c r="Q64" s="3" t="s">
        <v>33</v>
      </c>
      <c r="R64" s="3" t="s">
        <v>271</v>
      </c>
      <c r="S64" s="3">
        <v>0</v>
      </c>
      <c r="T64" s="3">
        <v>122</v>
      </c>
      <c r="U64" s="3">
        <v>0</v>
      </c>
      <c r="V64" s="3" t="s">
        <v>35</v>
      </c>
      <c r="W64" s="3" t="s">
        <v>35</v>
      </c>
      <c r="X64" s="3" t="s">
        <v>35</v>
      </c>
      <c r="Y64" s="3" t="s">
        <v>35</v>
      </c>
      <c r="Z64" s="3" t="s">
        <v>35</v>
      </c>
      <c r="AA64" s="3" t="s">
        <v>35</v>
      </c>
      <c r="AB64" s="3" t="s">
        <v>58</v>
      </c>
      <c r="AC64" s="3" t="s">
        <v>49</v>
      </c>
    </row>
    <row r="65" s="3" customFormat="1" spans="1:29">
      <c r="A65" s="3" t="s">
        <v>85</v>
      </c>
      <c r="B65" s="3" t="s">
        <v>30</v>
      </c>
      <c r="C65" s="3">
        <v>13476187</v>
      </c>
      <c r="D65" s="13" t="s">
        <v>334</v>
      </c>
      <c r="E65" s="16">
        <v>45523.3697337963</v>
      </c>
      <c r="F65" s="3">
        <v>7232.65</v>
      </c>
      <c r="G65" s="3">
        <v>0.15</v>
      </c>
      <c r="H65" s="3">
        <v>7232.5</v>
      </c>
      <c r="I65" s="3">
        <v>-706.89</v>
      </c>
      <c r="J65" s="3">
        <v>0.15</v>
      </c>
      <c r="K65" s="3">
        <v>-707.04</v>
      </c>
      <c r="L65" s="3">
        <v>2492.69</v>
      </c>
      <c r="M65" s="3">
        <v>32405</v>
      </c>
      <c r="N65" s="3">
        <v>366.92</v>
      </c>
      <c r="O65" s="3">
        <v>4770</v>
      </c>
      <c r="P65" s="3" t="s">
        <v>41</v>
      </c>
      <c r="Q65" s="3" t="s">
        <v>42</v>
      </c>
      <c r="R65" s="3" t="s">
        <v>271</v>
      </c>
      <c r="S65" s="3">
        <v>0</v>
      </c>
      <c r="T65" s="3">
        <v>1620</v>
      </c>
      <c r="U65" s="3">
        <v>0</v>
      </c>
      <c r="V65" s="3" t="s">
        <v>35</v>
      </c>
      <c r="W65" s="3" t="s">
        <v>35</v>
      </c>
      <c r="X65" s="3" t="s">
        <v>35</v>
      </c>
      <c r="Y65" s="3" t="s">
        <v>35</v>
      </c>
      <c r="Z65" s="3" t="s">
        <v>35</v>
      </c>
      <c r="AA65" s="3" t="s">
        <v>35</v>
      </c>
      <c r="AB65" s="3" t="s">
        <v>58</v>
      </c>
      <c r="AC65" s="3" t="s">
        <v>49</v>
      </c>
    </row>
    <row r="66" s="3" customFormat="1" spans="1:29">
      <c r="A66" s="3" t="s">
        <v>85</v>
      </c>
      <c r="B66" s="3" t="s">
        <v>30</v>
      </c>
      <c r="C66" s="3">
        <v>22933658</v>
      </c>
      <c r="D66" s="13" t="s">
        <v>335</v>
      </c>
      <c r="E66" s="16">
        <v>46161.5553703704</v>
      </c>
      <c r="F66" s="3">
        <v>206.27</v>
      </c>
      <c r="G66" s="3">
        <v>0</v>
      </c>
      <c r="H66" s="3">
        <v>206.27</v>
      </c>
      <c r="I66" s="3">
        <v>76.73</v>
      </c>
      <c r="J66" s="3">
        <v>0</v>
      </c>
      <c r="K66" s="3">
        <v>76.73</v>
      </c>
      <c r="L66" s="3">
        <v>77.31</v>
      </c>
      <c r="M66" s="3">
        <v>1005</v>
      </c>
      <c r="N66" s="3">
        <v>77.31</v>
      </c>
      <c r="O66" s="3">
        <v>1005</v>
      </c>
      <c r="P66" s="3" t="s">
        <v>41</v>
      </c>
      <c r="Q66" s="3" t="s">
        <v>33</v>
      </c>
      <c r="R66" s="3" t="s">
        <v>271</v>
      </c>
      <c r="S66" s="3">
        <v>0</v>
      </c>
      <c r="T66" s="3">
        <v>50</v>
      </c>
      <c r="U66" s="3">
        <v>0</v>
      </c>
      <c r="V66" s="3" t="s">
        <v>35</v>
      </c>
      <c r="W66" s="3" t="s">
        <v>35</v>
      </c>
      <c r="X66" s="3" t="s">
        <v>35</v>
      </c>
      <c r="Y66" s="3" t="s">
        <v>35</v>
      </c>
      <c r="Z66" s="3" t="s">
        <v>35</v>
      </c>
      <c r="AA66" s="3" t="s">
        <v>35</v>
      </c>
      <c r="AB66" s="3" t="s">
        <v>58</v>
      </c>
      <c r="AC66" s="3" t="s">
        <v>49</v>
      </c>
    </row>
    <row r="67" s="3" customFormat="1" spans="1:29">
      <c r="A67" s="3" t="s">
        <v>85</v>
      </c>
      <c r="B67" s="3" t="s">
        <v>30</v>
      </c>
      <c r="C67" s="3">
        <v>21656767</v>
      </c>
      <c r="D67" s="13" t="s">
        <v>336</v>
      </c>
      <c r="E67" s="16">
        <v>46083.4496527778</v>
      </c>
      <c r="F67" s="3">
        <v>1160.23</v>
      </c>
      <c r="G67" s="3">
        <v>0</v>
      </c>
      <c r="H67" s="3">
        <v>1160.23</v>
      </c>
      <c r="I67" s="3">
        <v>82.86</v>
      </c>
      <c r="J67" s="3">
        <v>0</v>
      </c>
      <c r="K67" s="3">
        <v>82.86</v>
      </c>
      <c r="L67" s="3">
        <v>184.54</v>
      </c>
      <c r="M67" s="3">
        <v>2399</v>
      </c>
      <c r="N67" s="3">
        <v>165.38</v>
      </c>
      <c r="O67" s="3">
        <v>2150</v>
      </c>
      <c r="P67" s="3" t="s">
        <v>32</v>
      </c>
      <c r="Q67" s="3" t="s">
        <v>33</v>
      </c>
      <c r="R67" s="3" t="s">
        <v>271</v>
      </c>
      <c r="S67" s="3">
        <v>0</v>
      </c>
      <c r="T67" s="3">
        <v>120</v>
      </c>
      <c r="U67" s="3">
        <v>0</v>
      </c>
      <c r="V67" s="3" t="s">
        <v>35</v>
      </c>
      <c r="W67" s="3" t="s">
        <v>35</v>
      </c>
      <c r="X67" s="3" t="s">
        <v>35</v>
      </c>
      <c r="Y67" s="3" t="s">
        <v>35</v>
      </c>
      <c r="Z67" s="3" t="s">
        <v>35</v>
      </c>
      <c r="AA67" s="3" t="s">
        <v>35</v>
      </c>
      <c r="AB67" s="3" t="s">
        <v>58</v>
      </c>
      <c r="AC67" s="3" t="s">
        <v>49</v>
      </c>
    </row>
    <row r="68" s="3" customFormat="1" spans="1:29">
      <c r="A68" s="3" t="s">
        <v>85</v>
      </c>
      <c r="B68" s="3" t="s">
        <v>30</v>
      </c>
      <c r="C68" s="3">
        <v>22700237</v>
      </c>
      <c r="D68" s="13" t="s">
        <v>337</v>
      </c>
      <c r="E68" s="16">
        <v>46144.5183680556</v>
      </c>
      <c r="F68" s="3">
        <v>863.75</v>
      </c>
      <c r="G68" s="3">
        <v>0</v>
      </c>
      <c r="H68" s="3">
        <v>863.75</v>
      </c>
      <c r="I68" s="3">
        <v>191.62</v>
      </c>
      <c r="J68" s="3">
        <v>0</v>
      </c>
      <c r="K68" s="3">
        <v>191.62</v>
      </c>
      <c r="L68" s="3">
        <v>222.38</v>
      </c>
      <c r="M68" s="3">
        <v>2891</v>
      </c>
      <c r="N68" s="3">
        <v>222.38</v>
      </c>
      <c r="O68" s="3">
        <v>2891</v>
      </c>
      <c r="P68" s="3" t="s">
        <v>41</v>
      </c>
      <c r="Q68" s="3" t="s">
        <v>33</v>
      </c>
      <c r="R68" s="3" t="s">
        <v>271</v>
      </c>
      <c r="S68" s="3">
        <v>0</v>
      </c>
      <c r="T68" s="3">
        <v>145</v>
      </c>
      <c r="U68" s="3">
        <v>0</v>
      </c>
      <c r="V68" s="3" t="s">
        <v>35</v>
      </c>
      <c r="W68" s="3" t="s">
        <v>35</v>
      </c>
      <c r="X68" s="3" t="s">
        <v>35</v>
      </c>
      <c r="Y68" s="3" t="s">
        <v>35</v>
      </c>
      <c r="Z68" s="3" t="s">
        <v>35</v>
      </c>
      <c r="AA68" s="3" t="s">
        <v>35</v>
      </c>
      <c r="AB68" s="3" t="s">
        <v>58</v>
      </c>
      <c r="AC68" s="3" t="s">
        <v>49</v>
      </c>
    </row>
    <row r="69" s="3" customFormat="1" spans="1:29">
      <c r="A69" s="3" t="s">
        <v>85</v>
      </c>
      <c r="B69" s="3" t="s">
        <v>30</v>
      </c>
      <c r="C69" s="3">
        <v>22937316</v>
      </c>
      <c r="D69" s="13" t="s">
        <v>338</v>
      </c>
      <c r="E69" s="16">
        <v>46161.8421875</v>
      </c>
      <c r="F69" s="3">
        <v>600.8</v>
      </c>
      <c r="G69" s="3">
        <v>0.08</v>
      </c>
      <c r="H69" s="3">
        <v>600.72</v>
      </c>
      <c r="I69" s="3">
        <v>46.35</v>
      </c>
      <c r="J69" s="3">
        <v>0.08</v>
      </c>
      <c r="K69" s="3">
        <v>46.28</v>
      </c>
      <c r="L69" s="3">
        <v>88.69</v>
      </c>
      <c r="M69" s="3">
        <v>1153</v>
      </c>
      <c r="N69" s="3">
        <v>88.69</v>
      </c>
      <c r="O69" s="3">
        <v>1153</v>
      </c>
      <c r="P69" s="3" t="s">
        <v>41</v>
      </c>
      <c r="Q69" s="3" t="s">
        <v>33</v>
      </c>
      <c r="R69" s="3" t="s">
        <v>271</v>
      </c>
      <c r="S69" s="3">
        <v>0</v>
      </c>
      <c r="T69" s="3">
        <v>58</v>
      </c>
      <c r="U69" s="3">
        <v>0</v>
      </c>
      <c r="V69" s="3" t="s">
        <v>35</v>
      </c>
      <c r="W69" s="3" t="s">
        <v>35</v>
      </c>
      <c r="X69" s="3" t="s">
        <v>35</v>
      </c>
      <c r="Y69" s="3" t="s">
        <v>35</v>
      </c>
      <c r="Z69" s="3" t="s">
        <v>35</v>
      </c>
      <c r="AA69" s="3" t="s">
        <v>35</v>
      </c>
      <c r="AB69" s="3" t="s">
        <v>58</v>
      </c>
      <c r="AC69" s="3" t="s">
        <v>49</v>
      </c>
    </row>
    <row r="70" s="3" customFormat="1" spans="1:29">
      <c r="A70" s="3" t="s">
        <v>85</v>
      </c>
      <c r="B70" s="3" t="s">
        <v>30</v>
      </c>
      <c r="C70" s="3">
        <v>20982807</v>
      </c>
      <c r="D70" s="13" t="s">
        <v>339</v>
      </c>
      <c r="E70" s="16">
        <v>46048.6780787037</v>
      </c>
      <c r="F70" s="3">
        <v>590.95</v>
      </c>
      <c r="G70" s="3">
        <v>56.69</v>
      </c>
      <c r="H70" s="3">
        <v>534.25</v>
      </c>
      <c r="I70" s="3">
        <v>28.92</v>
      </c>
      <c r="J70" s="3">
        <v>2.4</v>
      </c>
      <c r="K70" s="3">
        <v>26.51</v>
      </c>
      <c r="L70" s="3">
        <v>126.23</v>
      </c>
      <c r="M70" s="3">
        <v>1641</v>
      </c>
      <c r="N70" s="3">
        <v>98.69</v>
      </c>
      <c r="O70" s="3">
        <v>1283</v>
      </c>
      <c r="P70" s="3" t="s">
        <v>61</v>
      </c>
      <c r="Q70" s="3" t="s">
        <v>33</v>
      </c>
      <c r="R70" s="3" t="s">
        <v>271</v>
      </c>
      <c r="S70" s="3">
        <v>120</v>
      </c>
      <c r="T70" s="3">
        <v>41</v>
      </c>
      <c r="U70" s="3">
        <v>0</v>
      </c>
      <c r="V70" s="3" t="s">
        <v>35</v>
      </c>
      <c r="W70" s="3" t="s">
        <v>35</v>
      </c>
      <c r="X70" s="3" t="s">
        <v>35</v>
      </c>
      <c r="Y70" s="3" t="s">
        <v>35</v>
      </c>
      <c r="Z70" s="3" t="s">
        <v>35</v>
      </c>
      <c r="AA70" s="3" t="s">
        <v>35</v>
      </c>
      <c r="AB70" s="3" t="s">
        <v>58</v>
      </c>
      <c r="AC70" s="3" t="s">
        <v>49</v>
      </c>
    </row>
    <row r="71" s="3" customFormat="1" spans="1:29">
      <c r="A71" s="3" t="s">
        <v>85</v>
      </c>
      <c r="B71" s="3" t="s">
        <v>30</v>
      </c>
      <c r="C71" s="3">
        <v>19878827</v>
      </c>
      <c r="D71" s="13" t="s">
        <v>340</v>
      </c>
      <c r="E71" s="16">
        <v>45995.3103819444</v>
      </c>
      <c r="F71" s="3">
        <v>9793.26</v>
      </c>
      <c r="G71" s="3">
        <v>15</v>
      </c>
      <c r="H71" s="3">
        <v>9778.26</v>
      </c>
      <c r="I71" s="3">
        <v>52.49</v>
      </c>
      <c r="J71" s="3">
        <v>-4.24</v>
      </c>
      <c r="K71" s="3">
        <v>56.74</v>
      </c>
      <c r="L71" s="3">
        <v>2100.31</v>
      </c>
      <c r="M71" s="3">
        <v>27304</v>
      </c>
      <c r="N71" s="3">
        <v>1663.08</v>
      </c>
      <c r="O71" s="3">
        <v>21620</v>
      </c>
      <c r="P71" s="3" t="s">
        <v>41</v>
      </c>
      <c r="Q71" s="3" t="s">
        <v>42</v>
      </c>
      <c r="R71" s="3" t="s">
        <v>271</v>
      </c>
      <c r="S71" s="3">
        <v>0</v>
      </c>
      <c r="T71" s="3">
        <v>1365</v>
      </c>
      <c r="U71" s="3">
        <v>0</v>
      </c>
      <c r="V71" s="3" t="s">
        <v>35</v>
      </c>
      <c r="W71" s="3" t="s">
        <v>35</v>
      </c>
      <c r="X71" s="3" t="s">
        <v>35</v>
      </c>
      <c r="Y71" s="3" t="s">
        <v>35</v>
      </c>
      <c r="Z71" s="3" t="s">
        <v>35</v>
      </c>
      <c r="AA71" s="3" t="s">
        <v>35</v>
      </c>
      <c r="AB71" s="3" t="s">
        <v>70</v>
      </c>
      <c r="AC71" s="3" t="s">
        <v>49</v>
      </c>
    </row>
    <row r="72" s="3" customFormat="1" spans="1:29">
      <c r="A72" s="3" t="s">
        <v>85</v>
      </c>
      <c r="B72" s="3" t="s">
        <v>30</v>
      </c>
      <c r="C72" s="3">
        <v>17314816</v>
      </c>
      <c r="D72" s="13" t="s">
        <v>341</v>
      </c>
      <c r="E72" s="16">
        <v>45845.7756481481</v>
      </c>
      <c r="F72" s="3">
        <v>845.84</v>
      </c>
      <c r="G72" s="3">
        <v>4.07</v>
      </c>
      <c r="H72" s="3">
        <v>841.77</v>
      </c>
      <c r="I72" s="3">
        <v>58.91</v>
      </c>
      <c r="J72" s="3">
        <v>4.07</v>
      </c>
      <c r="K72" s="3">
        <v>54.84</v>
      </c>
      <c r="L72" s="3">
        <v>104.15</v>
      </c>
      <c r="M72" s="3">
        <v>1354</v>
      </c>
      <c r="N72" s="3">
        <v>15.15</v>
      </c>
      <c r="O72" s="3">
        <v>197</v>
      </c>
      <c r="P72" s="3" t="s">
        <v>32</v>
      </c>
      <c r="Q72" s="3" t="s">
        <v>33</v>
      </c>
      <c r="R72" s="3" t="s">
        <v>271</v>
      </c>
      <c r="S72" s="3">
        <v>0</v>
      </c>
      <c r="T72" s="3">
        <v>68</v>
      </c>
      <c r="U72" s="3">
        <v>0</v>
      </c>
      <c r="V72" s="3" t="s">
        <v>35</v>
      </c>
      <c r="W72" s="3" t="s">
        <v>35</v>
      </c>
      <c r="X72" s="3" t="s">
        <v>35</v>
      </c>
      <c r="Y72" s="3" t="s">
        <v>35</v>
      </c>
      <c r="Z72" s="3" t="s">
        <v>35</v>
      </c>
      <c r="AA72" s="3" t="s">
        <v>35</v>
      </c>
      <c r="AB72" s="3" t="s">
        <v>70</v>
      </c>
      <c r="AC72" s="3" t="s">
        <v>49</v>
      </c>
    </row>
    <row r="73" s="3" customFormat="1" spans="1:29">
      <c r="A73" s="3" t="s">
        <v>85</v>
      </c>
      <c r="B73" s="3" t="s">
        <v>30</v>
      </c>
      <c r="C73" s="3">
        <v>4575489</v>
      </c>
      <c r="D73" s="13" t="s">
        <v>342</v>
      </c>
      <c r="E73" s="16">
        <v>44333.4574768519</v>
      </c>
      <c r="F73" s="3">
        <v>14130.47</v>
      </c>
      <c r="G73" s="3">
        <v>0</v>
      </c>
      <c r="H73" s="3">
        <v>14130.47</v>
      </c>
      <c r="I73" s="3">
        <v>595.41</v>
      </c>
      <c r="J73" s="3">
        <v>0</v>
      </c>
      <c r="K73" s="3">
        <v>595.41</v>
      </c>
      <c r="L73" s="3">
        <v>1576.92</v>
      </c>
      <c r="M73" s="3">
        <v>20500</v>
      </c>
      <c r="N73" s="3">
        <v>1576.92</v>
      </c>
      <c r="O73" s="3">
        <v>20500</v>
      </c>
      <c r="P73" s="3" t="s">
        <v>41</v>
      </c>
      <c r="Q73" s="3" t="s">
        <v>42</v>
      </c>
      <c r="R73" s="3" t="s">
        <v>271</v>
      </c>
      <c r="S73" s="3">
        <v>0</v>
      </c>
      <c r="T73" s="3">
        <v>1025</v>
      </c>
      <c r="U73" s="3">
        <v>0</v>
      </c>
      <c r="V73" s="3" t="s">
        <v>35</v>
      </c>
      <c r="W73" s="3" t="s">
        <v>35</v>
      </c>
      <c r="X73" s="3" t="s">
        <v>35</v>
      </c>
      <c r="Y73" s="3" t="s">
        <v>35</v>
      </c>
      <c r="Z73" s="3" t="s">
        <v>35</v>
      </c>
      <c r="AA73" s="3" t="s">
        <v>35</v>
      </c>
      <c r="AB73" s="3" t="s">
        <v>70</v>
      </c>
      <c r="AC73" s="3" t="s">
        <v>49</v>
      </c>
    </row>
    <row r="74" s="3" customFormat="1" spans="1:29">
      <c r="A74" s="3" t="s">
        <v>85</v>
      </c>
      <c r="B74" s="3" t="s">
        <v>30</v>
      </c>
      <c r="C74" s="3">
        <v>22752609</v>
      </c>
      <c r="D74" s="13" t="s">
        <v>343</v>
      </c>
      <c r="E74" s="16">
        <v>46148.9039930556</v>
      </c>
      <c r="F74" s="3">
        <v>1592.13</v>
      </c>
      <c r="G74" s="3">
        <v>0.15</v>
      </c>
      <c r="H74" s="3">
        <v>1591.98</v>
      </c>
      <c r="I74" s="3">
        <v>54.77</v>
      </c>
      <c r="J74" s="3">
        <v>-0.07</v>
      </c>
      <c r="K74" s="3">
        <v>54.83</v>
      </c>
      <c r="L74" s="3">
        <v>100.08</v>
      </c>
      <c r="M74" s="3">
        <v>1301</v>
      </c>
      <c r="N74" s="3">
        <v>100.08</v>
      </c>
      <c r="O74" s="3">
        <v>1301</v>
      </c>
      <c r="P74" s="3" t="s">
        <v>41</v>
      </c>
      <c r="Q74" s="3" t="s">
        <v>33</v>
      </c>
      <c r="R74" s="3" t="s">
        <v>271</v>
      </c>
      <c r="S74" s="3">
        <v>0</v>
      </c>
      <c r="T74" s="3">
        <v>65</v>
      </c>
      <c r="U74" s="3">
        <v>0</v>
      </c>
      <c r="V74" s="3" t="s">
        <v>35</v>
      </c>
      <c r="W74" s="3" t="s">
        <v>35</v>
      </c>
      <c r="X74" s="3" t="s">
        <v>35</v>
      </c>
      <c r="Y74" s="3" t="s">
        <v>35</v>
      </c>
      <c r="Z74" s="3" t="s">
        <v>35</v>
      </c>
      <c r="AA74" s="3" t="s">
        <v>35</v>
      </c>
      <c r="AB74" s="3" t="s">
        <v>70</v>
      </c>
      <c r="AC74" s="3" t="s">
        <v>49</v>
      </c>
    </row>
    <row r="75" s="3" customFormat="1" spans="1:29">
      <c r="A75" s="3" t="s">
        <v>85</v>
      </c>
      <c r="B75" s="3" t="s">
        <v>30</v>
      </c>
      <c r="C75" s="3">
        <v>20389549</v>
      </c>
      <c r="D75" s="13" t="s">
        <v>344</v>
      </c>
      <c r="E75" s="16">
        <v>46019.598900463</v>
      </c>
      <c r="F75" s="3">
        <v>163.24</v>
      </c>
      <c r="G75" s="3">
        <v>34.92</v>
      </c>
      <c r="H75" s="3">
        <v>128.32</v>
      </c>
      <c r="I75" s="3">
        <v>-12.08</v>
      </c>
      <c r="J75" s="3">
        <v>-10.73</v>
      </c>
      <c r="K75" s="3">
        <v>-1.35</v>
      </c>
      <c r="L75" s="3">
        <v>72.77</v>
      </c>
      <c r="M75" s="3">
        <v>946</v>
      </c>
      <c r="N75" s="3">
        <v>16.31</v>
      </c>
      <c r="O75" s="3">
        <v>212</v>
      </c>
      <c r="P75" s="3" t="s">
        <v>61</v>
      </c>
      <c r="Q75" s="3" t="s">
        <v>33</v>
      </c>
      <c r="R75" s="3" t="s">
        <v>271</v>
      </c>
      <c r="S75" s="3">
        <v>120</v>
      </c>
      <c r="T75" s="3">
        <v>24</v>
      </c>
      <c r="U75" s="3">
        <v>0</v>
      </c>
      <c r="V75" s="3" t="s">
        <v>35</v>
      </c>
      <c r="W75" s="3" t="s">
        <v>35</v>
      </c>
      <c r="X75" s="3" t="s">
        <v>35</v>
      </c>
      <c r="Y75" s="3" t="s">
        <v>35</v>
      </c>
      <c r="Z75" s="3" t="s">
        <v>35</v>
      </c>
      <c r="AA75" s="3" t="s">
        <v>35</v>
      </c>
      <c r="AB75" s="3" t="s">
        <v>70</v>
      </c>
      <c r="AC75" s="3" t="s">
        <v>49</v>
      </c>
    </row>
    <row r="76" s="3" customFormat="1" spans="1:29">
      <c r="A76" s="3" t="s">
        <v>85</v>
      </c>
      <c r="B76" s="3" t="s">
        <v>30</v>
      </c>
      <c r="C76" s="3">
        <v>22437078</v>
      </c>
      <c r="D76" s="13" t="s">
        <v>345</v>
      </c>
      <c r="E76" s="16">
        <v>46127.4327199074</v>
      </c>
      <c r="F76" s="3">
        <v>319.23</v>
      </c>
      <c r="G76" s="3">
        <v>0</v>
      </c>
      <c r="H76" s="3">
        <v>319.23</v>
      </c>
      <c r="I76" s="3">
        <v>-250.54</v>
      </c>
      <c r="J76" s="3">
        <v>0</v>
      </c>
      <c r="K76" s="3">
        <v>-250.54</v>
      </c>
      <c r="L76" s="3">
        <v>111.77</v>
      </c>
      <c r="M76" s="3">
        <v>1453</v>
      </c>
      <c r="N76" s="3">
        <v>111.77</v>
      </c>
      <c r="O76" s="3">
        <v>1453</v>
      </c>
      <c r="P76" s="3" t="s">
        <v>41</v>
      </c>
      <c r="Q76" s="3" t="s">
        <v>33</v>
      </c>
      <c r="R76" s="3" t="s">
        <v>271</v>
      </c>
      <c r="S76" s="3">
        <v>0</v>
      </c>
      <c r="T76" s="3">
        <v>73</v>
      </c>
      <c r="U76" s="3">
        <v>0</v>
      </c>
      <c r="V76" s="3" t="s">
        <v>35</v>
      </c>
      <c r="W76" s="3" t="s">
        <v>35</v>
      </c>
      <c r="X76" s="3" t="s">
        <v>35</v>
      </c>
      <c r="Y76" s="3" t="s">
        <v>35</v>
      </c>
      <c r="Z76" s="3" t="s">
        <v>35</v>
      </c>
      <c r="AA76" s="3" t="s">
        <v>35</v>
      </c>
      <c r="AB76" s="3" t="s">
        <v>70</v>
      </c>
      <c r="AC76" s="3" t="s">
        <v>49</v>
      </c>
    </row>
    <row r="77" s="3" customFormat="1" spans="1:29">
      <c r="A77" s="3" t="s">
        <v>85</v>
      </c>
      <c r="B77" s="3" t="s">
        <v>30</v>
      </c>
      <c r="C77" s="3">
        <v>19102897</v>
      </c>
      <c r="D77" s="13" t="s">
        <v>346</v>
      </c>
      <c r="E77" s="16">
        <v>45954.4352199074</v>
      </c>
      <c r="F77" s="3">
        <v>1590.77</v>
      </c>
      <c r="G77" s="3">
        <v>0</v>
      </c>
      <c r="H77" s="3">
        <v>1590.77</v>
      </c>
      <c r="I77" s="3">
        <v>94.73</v>
      </c>
      <c r="J77" s="3">
        <v>0</v>
      </c>
      <c r="K77" s="3">
        <v>94.73</v>
      </c>
      <c r="L77" s="3">
        <v>350.46</v>
      </c>
      <c r="M77" s="3">
        <v>4556</v>
      </c>
      <c r="N77" s="3">
        <v>197.46</v>
      </c>
      <c r="O77" s="3">
        <v>2567</v>
      </c>
      <c r="P77" s="3" t="s">
        <v>32</v>
      </c>
      <c r="Q77" s="3" t="s">
        <v>33</v>
      </c>
      <c r="R77" s="3" t="s">
        <v>271</v>
      </c>
      <c r="S77" s="3">
        <v>0</v>
      </c>
      <c r="T77" s="3">
        <v>228</v>
      </c>
      <c r="U77" s="3">
        <v>0</v>
      </c>
      <c r="V77" s="3" t="s">
        <v>35</v>
      </c>
      <c r="W77" s="3" t="s">
        <v>35</v>
      </c>
      <c r="X77" s="3" t="s">
        <v>35</v>
      </c>
      <c r="Y77" s="3" t="s">
        <v>35</v>
      </c>
      <c r="Z77" s="3" t="s">
        <v>35</v>
      </c>
      <c r="AA77" s="3" t="s">
        <v>35</v>
      </c>
      <c r="AB77" s="3" t="s">
        <v>70</v>
      </c>
      <c r="AC77" s="3" t="s">
        <v>49</v>
      </c>
    </row>
    <row r="78" s="3" customFormat="1" spans="1:29">
      <c r="A78" s="3" t="s">
        <v>85</v>
      </c>
      <c r="B78" s="3" t="s">
        <v>30</v>
      </c>
      <c r="C78" s="3">
        <v>22497447</v>
      </c>
      <c r="D78" s="13" t="s">
        <v>347</v>
      </c>
      <c r="E78" s="16">
        <v>46130.8362384259</v>
      </c>
      <c r="F78" s="3">
        <v>442.5</v>
      </c>
      <c r="G78" s="3">
        <v>0</v>
      </c>
      <c r="H78" s="3">
        <v>442.5</v>
      </c>
      <c r="I78" s="3">
        <v>28.51</v>
      </c>
      <c r="J78" s="3">
        <v>0</v>
      </c>
      <c r="K78" s="3">
        <v>28.51</v>
      </c>
      <c r="L78" s="3">
        <v>111.85</v>
      </c>
      <c r="M78" s="3">
        <v>1454</v>
      </c>
      <c r="N78" s="3">
        <v>111.85</v>
      </c>
      <c r="O78" s="3">
        <v>1454</v>
      </c>
      <c r="P78" s="3" t="s">
        <v>32</v>
      </c>
      <c r="Q78" s="3" t="s">
        <v>33</v>
      </c>
      <c r="R78" s="3" t="s">
        <v>271</v>
      </c>
      <c r="S78" s="3">
        <v>0</v>
      </c>
      <c r="T78" s="3">
        <v>73</v>
      </c>
      <c r="U78" s="3">
        <v>0</v>
      </c>
      <c r="V78" s="3" t="s">
        <v>35</v>
      </c>
      <c r="W78" s="3" t="s">
        <v>35</v>
      </c>
      <c r="X78" s="3" t="s">
        <v>35</v>
      </c>
      <c r="Y78" s="3" t="s">
        <v>35</v>
      </c>
      <c r="Z78" s="3" t="s">
        <v>35</v>
      </c>
      <c r="AA78" s="3" t="s">
        <v>35</v>
      </c>
      <c r="AB78" s="3" t="s">
        <v>70</v>
      </c>
      <c r="AC78" s="3" t="s">
        <v>49</v>
      </c>
    </row>
    <row r="79" s="3" customFormat="1" spans="1:29">
      <c r="A79" s="3" t="s">
        <v>85</v>
      </c>
      <c r="B79" s="3" t="s">
        <v>30</v>
      </c>
      <c r="C79" s="3">
        <v>19543429</v>
      </c>
      <c r="D79" s="13" t="s">
        <v>348</v>
      </c>
      <c r="E79" s="16">
        <v>45979.2828935185</v>
      </c>
      <c r="F79" s="3">
        <v>4791.66</v>
      </c>
      <c r="G79" s="3">
        <v>0</v>
      </c>
      <c r="H79" s="3">
        <v>4791.66</v>
      </c>
      <c r="I79" s="3">
        <v>511.28</v>
      </c>
      <c r="J79" s="3">
        <v>0</v>
      </c>
      <c r="K79" s="3">
        <v>511.28</v>
      </c>
      <c r="L79" s="3">
        <v>1694.69</v>
      </c>
      <c r="M79" s="3">
        <v>22031</v>
      </c>
      <c r="N79" s="3">
        <v>1269</v>
      </c>
      <c r="O79" s="3">
        <v>16497</v>
      </c>
      <c r="P79" s="3" t="s">
        <v>41</v>
      </c>
      <c r="Q79" s="3" t="s">
        <v>42</v>
      </c>
      <c r="R79" s="3" t="s">
        <v>271</v>
      </c>
      <c r="S79" s="3">
        <v>0</v>
      </c>
      <c r="T79" s="3">
        <v>1102</v>
      </c>
      <c r="U79" s="3">
        <v>0</v>
      </c>
      <c r="V79" s="3" t="s">
        <v>35</v>
      </c>
      <c r="W79" s="3" t="s">
        <v>35</v>
      </c>
      <c r="X79" s="3" t="s">
        <v>35</v>
      </c>
      <c r="Y79" s="3" t="s">
        <v>35</v>
      </c>
      <c r="Z79" s="3" t="s">
        <v>35</v>
      </c>
      <c r="AA79" s="3" t="s">
        <v>35</v>
      </c>
      <c r="AB79" s="3" t="s">
        <v>70</v>
      </c>
      <c r="AC79" s="3" t="s">
        <v>49</v>
      </c>
    </row>
    <row r="80" s="3" customFormat="1" spans="1:29">
      <c r="A80" s="3" t="s">
        <v>85</v>
      </c>
      <c r="B80" s="3" t="s">
        <v>30</v>
      </c>
      <c r="C80" s="3">
        <v>21996776</v>
      </c>
      <c r="D80" s="13" t="s">
        <v>349</v>
      </c>
      <c r="E80" s="16">
        <v>46101.6177662037</v>
      </c>
      <c r="F80" s="3">
        <v>65324.75</v>
      </c>
      <c r="G80" s="3">
        <v>0</v>
      </c>
      <c r="H80" s="3">
        <v>65324.75</v>
      </c>
      <c r="I80" s="3">
        <v>6143.59</v>
      </c>
      <c r="J80" s="3">
        <v>-0.25</v>
      </c>
      <c r="K80" s="3">
        <v>6143.84</v>
      </c>
      <c r="L80" s="3">
        <v>13787.46</v>
      </c>
      <c r="M80" s="3">
        <v>179237</v>
      </c>
      <c r="N80" s="3">
        <v>13787.46</v>
      </c>
      <c r="O80" s="3">
        <v>179237</v>
      </c>
      <c r="P80" s="3" t="s">
        <v>41</v>
      </c>
      <c r="Q80" s="3" t="s">
        <v>42</v>
      </c>
      <c r="R80" s="3" t="s">
        <v>271</v>
      </c>
      <c r="S80" s="3">
        <v>0</v>
      </c>
      <c r="T80" s="3">
        <v>5000</v>
      </c>
      <c r="U80" s="3">
        <v>1</v>
      </c>
      <c r="V80" s="3">
        <v>1</v>
      </c>
      <c r="W80" s="3" t="s">
        <v>35</v>
      </c>
      <c r="X80" s="3" t="s">
        <v>35</v>
      </c>
      <c r="Y80" s="3" t="s">
        <v>35</v>
      </c>
      <c r="Z80" s="3" t="s">
        <v>35</v>
      </c>
      <c r="AA80" s="3" t="s">
        <v>35</v>
      </c>
      <c r="AB80" s="3" t="s">
        <v>80</v>
      </c>
      <c r="AC80" s="3" t="s">
        <v>49</v>
      </c>
    </row>
    <row r="81" s="3" customFormat="1" spans="1:29">
      <c r="A81" s="3" t="s">
        <v>85</v>
      </c>
      <c r="B81" s="3" t="s">
        <v>30</v>
      </c>
      <c r="C81" s="3">
        <v>8079619</v>
      </c>
      <c r="D81" s="13" t="s">
        <v>350</v>
      </c>
      <c r="E81" s="16">
        <v>44721.0366087963</v>
      </c>
      <c r="F81" s="3">
        <v>1797.15</v>
      </c>
      <c r="G81" s="3">
        <v>237.19</v>
      </c>
      <c r="H81" s="3">
        <v>1559.95</v>
      </c>
      <c r="I81" s="3">
        <v>-55.58</v>
      </c>
      <c r="J81" s="3">
        <v>60.28</v>
      </c>
      <c r="K81" s="3">
        <v>-115.86</v>
      </c>
      <c r="L81" s="3">
        <v>1155.69</v>
      </c>
      <c r="M81" s="3">
        <v>15024</v>
      </c>
      <c r="N81" s="3">
        <v>551.38</v>
      </c>
      <c r="O81" s="3">
        <v>7168</v>
      </c>
      <c r="P81" s="3" t="s">
        <v>61</v>
      </c>
      <c r="Q81" s="3" t="s">
        <v>42</v>
      </c>
      <c r="R81" s="3" t="s">
        <v>271</v>
      </c>
      <c r="S81" s="3">
        <v>500</v>
      </c>
      <c r="T81" s="3">
        <v>376</v>
      </c>
      <c r="U81" s="3">
        <v>0</v>
      </c>
      <c r="V81" s="3" t="s">
        <v>35</v>
      </c>
      <c r="W81" s="3" t="s">
        <v>35</v>
      </c>
      <c r="X81" s="3" t="s">
        <v>35</v>
      </c>
      <c r="Y81" s="3" t="s">
        <v>35</v>
      </c>
      <c r="Z81" s="3" t="s">
        <v>35</v>
      </c>
      <c r="AA81" s="3" t="s">
        <v>35</v>
      </c>
      <c r="AB81" s="3" t="s">
        <v>80</v>
      </c>
      <c r="AC81" s="3" t="s">
        <v>49</v>
      </c>
    </row>
    <row r="82" s="3" customFormat="1" spans="1:29">
      <c r="A82" s="3" t="s">
        <v>85</v>
      </c>
      <c r="B82" s="3" t="s">
        <v>30</v>
      </c>
      <c r="C82" s="3">
        <v>22926508</v>
      </c>
      <c r="D82" s="13" t="s">
        <v>351</v>
      </c>
      <c r="E82" s="16">
        <v>46160.8329050926</v>
      </c>
      <c r="F82" s="3">
        <v>319.41</v>
      </c>
      <c r="G82" s="3">
        <v>0</v>
      </c>
      <c r="H82" s="3">
        <v>319.41</v>
      </c>
      <c r="I82" s="3">
        <v>94.04</v>
      </c>
      <c r="J82" s="3">
        <v>0</v>
      </c>
      <c r="K82" s="3">
        <v>94.04</v>
      </c>
      <c r="L82" s="3">
        <v>94.23</v>
      </c>
      <c r="M82" s="3">
        <v>1225</v>
      </c>
      <c r="N82" s="3">
        <v>94.23</v>
      </c>
      <c r="O82" s="3">
        <v>1225</v>
      </c>
      <c r="P82" s="3" t="s">
        <v>41</v>
      </c>
      <c r="Q82" s="3" t="s">
        <v>33</v>
      </c>
      <c r="R82" s="3" t="s">
        <v>271</v>
      </c>
      <c r="S82" s="3">
        <v>0</v>
      </c>
      <c r="T82" s="3">
        <v>61</v>
      </c>
      <c r="U82" s="3">
        <v>0</v>
      </c>
      <c r="V82" s="3" t="s">
        <v>35</v>
      </c>
      <c r="W82" s="3" t="s">
        <v>35</v>
      </c>
      <c r="X82" s="3" t="s">
        <v>35</v>
      </c>
      <c r="Y82" s="3" t="s">
        <v>35</v>
      </c>
      <c r="Z82" s="3" t="s">
        <v>35</v>
      </c>
      <c r="AA82" s="3" t="s">
        <v>35</v>
      </c>
      <c r="AB82" s="3" t="s">
        <v>80</v>
      </c>
      <c r="AC82" s="3" t="s">
        <v>49</v>
      </c>
    </row>
    <row r="83" s="3" customFormat="1" spans="1:29">
      <c r="A83" s="3" t="s">
        <v>85</v>
      </c>
      <c r="B83" s="3" t="s">
        <v>30</v>
      </c>
      <c r="C83" s="3">
        <v>21840737</v>
      </c>
      <c r="D83" s="13" t="s">
        <v>352</v>
      </c>
      <c r="E83" s="16">
        <v>46092.8371527778</v>
      </c>
      <c r="F83" s="3">
        <v>698.41</v>
      </c>
      <c r="G83" s="3">
        <v>8.77</v>
      </c>
      <c r="H83" s="3">
        <v>688.72</v>
      </c>
      <c r="I83" s="3">
        <v>124.35</v>
      </c>
      <c r="J83" s="3">
        <v>-3.68</v>
      </c>
      <c r="K83" s="3">
        <v>128.03</v>
      </c>
      <c r="L83" s="3">
        <v>265</v>
      </c>
      <c r="M83" s="3">
        <v>3445</v>
      </c>
      <c r="N83" s="3">
        <v>265</v>
      </c>
      <c r="O83" s="3">
        <v>3445</v>
      </c>
      <c r="P83" s="3" t="s">
        <v>32</v>
      </c>
      <c r="Q83" s="3" t="s">
        <v>33</v>
      </c>
      <c r="R83" s="3" t="s">
        <v>271</v>
      </c>
      <c r="S83" s="3">
        <v>0</v>
      </c>
      <c r="T83" s="3">
        <v>172</v>
      </c>
      <c r="U83" s="3">
        <v>0</v>
      </c>
      <c r="V83" s="3" t="s">
        <v>35</v>
      </c>
      <c r="W83" s="3" t="s">
        <v>35</v>
      </c>
      <c r="X83" s="3" t="s">
        <v>35</v>
      </c>
      <c r="Y83" s="3" t="s">
        <v>35</v>
      </c>
      <c r="Z83" s="3" t="s">
        <v>35</v>
      </c>
      <c r="AA83" s="3" t="s">
        <v>35</v>
      </c>
      <c r="AB83" s="3" t="s">
        <v>80</v>
      </c>
      <c r="AC83" s="3" t="s">
        <v>49</v>
      </c>
    </row>
    <row r="84" s="3" customFormat="1" spans="1:29">
      <c r="A84" s="3" t="s">
        <v>85</v>
      </c>
      <c r="B84" s="3" t="s">
        <v>30</v>
      </c>
      <c r="C84" s="3">
        <v>19727199</v>
      </c>
      <c r="D84" s="13" t="s">
        <v>353</v>
      </c>
      <c r="E84" s="16">
        <v>45988.0882638889</v>
      </c>
      <c r="F84" s="3">
        <v>4636.91</v>
      </c>
      <c r="G84" s="3">
        <v>10.23</v>
      </c>
      <c r="H84" s="3">
        <v>4626.68</v>
      </c>
      <c r="I84" s="3">
        <v>143.61</v>
      </c>
      <c r="J84" s="3">
        <v>10.23</v>
      </c>
      <c r="K84" s="3">
        <v>133.38</v>
      </c>
      <c r="L84" s="3">
        <v>299.23</v>
      </c>
      <c r="M84" s="3">
        <v>3890</v>
      </c>
      <c r="N84" s="3">
        <v>299.23</v>
      </c>
      <c r="O84" s="3">
        <v>3890</v>
      </c>
      <c r="P84" s="3" t="s">
        <v>41</v>
      </c>
      <c r="Q84" s="3" t="s">
        <v>33</v>
      </c>
      <c r="R84" s="3" t="s">
        <v>271</v>
      </c>
      <c r="S84" s="3">
        <v>0</v>
      </c>
      <c r="T84" s="3">
        <v>194</v>
      </c>
      <c r="U84" s="3">
        <v>0</v>
      </c>
      <c r="V84" s="3" t="s">
        <v>35</v>
      </c>
      <c r="W84" s="3" t="s">
        <v>35</v>
      </c>
      <c r="X84" s="3" t="s">
        <v>35</v>
      </c>
      <c r="Y84" s="3" t="s">
        <v>35</v>
      </c>
      <c r="Z84" s="3" t="s">
        <v>35</v>
      </c>
      <c r="AA84" s="3" t="s">
        <v>35</v>
      </c>
      <c r="AB84" s="3" t="s">
        <v>80</v>
      </c>
      <c r="AC84" s="3" t="s">
        <v>49</v>
      </c>
    </row>
    <row r="85" s="3" customFormat="1" spans="1:29">
      <c r="A85" s="3" t="s">
        <v>85</v>
      </c>
      <c r="B85" s="3" t="s">
        <v>30</v>
      </c>
      <c r="C85" s="3">
        <v>20998209</v>
      </c>
      <c r="D85" s="13" t="s">
        <v>354</v>
      </c>
      <c r="E85" s="16">
        <v>46049.7049074074</v>
      </c>
      <c r="F85" s="3">
        <v>14374.1</v>
      </c>
      <c r="G85" s="3">
        <v>1.15</v>
      </c>
      <c r="H85" s="3">
        <v>14372.95</v>
      </c>
      <c r="I85" s="3">
        <v>449.08</v>
      </c>
      <c r="J85" s="3">
        <v>1.15</v>
      </c>
      <c r="K85" s="3">
        <v>447.93</v>
      </c>
      <c r="L85" s="3">
        <v>3326.08</v>
      </c>
      <c r="M85" s="3">
        <v>43239</v>
      </c>
      <c r="N85" s="3">
        <v>2839.46</v>
      </c>
      <c r="O85" s="3">
        <v>36913</v>
      </c>
      <c r="P85" s="3" t="s">
        <v>41</v>
      </c>
      <c r="Q85" s="3" t="s">
        <v>42</v>
      </c>
      <c r="R85" s="3" t="s">
        <v>271</v>
      </c>
      <c r="S85" s="3">
        <v>0</v>
      </c>
      <c r="T85" s="3">
        <v>2162</v>
      </c>
      <c r="U85" s="3">
        <v>1</v>
      </c>
      <c r="V85" s="3">
        <v>1</v>
      </c>
      <c r="W85" s="3" t="s">
        <v>35</v>
      </c>
      <c r="X85" s="3" t="s">
        <v>35</v>
      </c>
      <c r="Y85" s="3" t="s">
        <v>35</v>
      </c>
      <c r="Z85" s="3" t="s">
        <v>35</v>
      </c>
      <c r="AA85" s="3" t="s">
        <v>35</v>
      </c>
      <c r="AB85" s="3" t="s">
        <v>84</v>
      </c>
      <c r="AC85" s="3" t="s">
        <v>49</v>
      </c>
    </row>
    <row r="86" s="3" customFormat="1" spans="1:29">
      <c r="A86" s="3" t="s">
        <v>85</v>
      </c>
      <c r="B86" s="3" t="s">
        <v>30</v>
      </c>
      <c r="C86" s="3">
        <v>22734199</v>
      </c>
      <c r="D86" s="13" t="s">
        <v>355</v>
      </c>
      <c r="E86" s="16">
        <v>46147.4369560185</v>
      </c>
      <c r="F86" s="3">
        <v>1438.62</v>
      </c>
      <c r="G86" s="3">
        <v>2.08</v>
      </c>
      <c r="H86" s="3">
        <v>1436.54</v>
      </c>
      <c r="I86" s="3">
        <v>99.15</v>
      </c>
      <c r="J86" s="3">
        <v>2.08</v>
      </c>
      <c r="K86" s="3">
        <v>97.08</v>
      </c>
      <c r="L86" s="3">
        <v>509.15</v>
      </c>
      <c r="M86" s="3">
        <v>6619</v>
      </c>
      <c r="N86" s="3">
        <v>509.15</v>
      </c>
      <c r="O86" s="3">
        <v>6619</v>
      </c>
      <c r="P86" s="3" t="s">
        <v>32</v>
      </c>
      <c r="Q86" s="3" t="s">
        <v>33</v>
      </c>
      <c r="R86" s="3" t="s">
        <v>271</v>
      </c>
      <c r="S86" s="3">
        <v>0</v>
      </c>
      <c r="T86" s="3">
        <v>331</v>
      </c>
      <c r="U86" s="3">
        <v>0</v>
      </c>
      <c r="V86" s="3" t="s">
        <v>35</v>
      </c>
      <c r="W86" s="3" t="s">
        <v>35</v>
      </c>
      <c r="X86" s="3" t="s">
        <v>35</v>
      </c>
      <c r="Y86" s="3" t="s">
        <v>35</v>
      </c>
      <c r="Z86" s="3" t="s">
        <v>35</v>
      </c>
      <c r="AA86" s="3" t="s">
        <v>35</v>
      </c>
      <c r="AB86" s="3" t="s">
        <v>84</v>
      </c>
      <c r="AC86" s="3" t="s">
        <v>49</v>
      </c>
    </row>
    <row r="87" s="3" customFormat="1" spans="1:29">
      <c r="A87" s="3" t="s">
        <v>85</v>
      </c>
      <c r="B87" s="3" t="s">
        <v>30</v>
      </c>
      <c r="C87" s="3">
        <v>20790157</v>
      </c>
      <c r="D87" s="13" t="s">
        <v>356</v>
      </c>
      <c r="E87" s="16">
        <v>46038.5670949074</v>
      </c>
      <c r="F87" s="3">
        <v>2413.17</v>
      </c>
      <c r="G87" s="3">
        <v>0</v>
      </c>
      <c r="H87" s="3">
        <v>2413.17</v>
      </c>
      <c r="I87" s="3">
        <v>185.88</v>
      </c>
      <c r="J87" s="3">
        <v>0</v>
      </c>
      <c r="K87" s="3">
        <v>185.88</v>
      </c>
      <c r="L87" s="3">
        <v>324.38</v>
      </c>
      <c r="M87" s="3">
        <v>4217</v>
      </c>
      <c r="N87" s="3">
        <v>146.31</v>
      </c>
      <c r="O87" s="3">
        <v>1902</v>
      </c>
      <c r="P87" s="3" t="s">
        <v>32</v>
      </c>
      <c r="Q87" s="3" t="s">
        <v>33</v>
      </c>
      <c r="R87" s="3" t="s">
        <v>271</v>
      </c>
      <c r="S87" s="3">
        <v>0</v>
      </c>
      <c r="T87" s="3">
        <v>211</v>
      </c>
      <c r="U87" s="3">
        <v>0</v>
      </c>
      <c r="V87" s="3" t="s">
        <v>35</v>
      </c>
      <c r="W87" s="3" t="s">
        <v>35</v>
      </c>
      <c r="X87" s="3" t="s">
        <v>35</v>
      </c>
      <c r="Y87" s="3" t="s">
        <v>35</v>
      </c>
      <c r="Z87" s="3" t="s">
        <v>35</v>
      </c>
      <c r="AA87" s="3" t="s">
        <v>35</v>
      </c>
      <c r="AB87" s="3" t="s">
        <v>84</v>
      </c>
      <c r="AC87" s="3" t="s">
        <v>49</v>
      </c>
    </row>
    <row r="88" s="3" customFormat="1" spans="1:29">
      <c r="A88" s="3" t="s">
        <v>85</v>
      </c>
      <c r="B88" s="3" t="s">
        <v>30</v>
      </c>
      <c r="C88" s="3">
        <v>17182599</v>
      </c>
      <c r="D88" s="13" t="s">
        <v>357</v>
      </c>
      <c r="E88" s="16">
        <v>45836.8815740741</v>
      </c>
      <c r="F88" s="3">
        <v>28894.21</v>
      </c>
      <c r="G88" s="3">
        <v>0.08</v>
      </c>
      <c r="H88" s="3">
        <v>28894.13</v>
      </c>
      <c r="I88" s="3">
        <v>1302.63</v>
      </c>
      <c r="J88" s="3">
        <v>-0.36</v>
      </c>
      <c r="K88" s="3">
        <v>1302.99</v>
      </c>
      <c r="L88" s="3">
        <v>7930.38</v>
      </c>
      <c r="M88" s="3">
        <v>103095</v>
      </c>
      <c r="N88" s="3">
        <v>2126.77</v>
      </c>
      <c r="O88" s="3">
        <v>27648</v>
      </c>
      <c r="P88" s="3" t="s">
        <v>32</v>
      </c>
      <c r="Q88" s="3" t="s">
        <v>42</v>
      </c>
      <c r="R88" s="3" t="s">
        <v>271</v>
      </c>
      <c r="S88" s="3">
        <v>0</v>
      </c>
      <c r="T88" s="3">
        <v>5000</v>
      </c>
      <c r="U88" s="3">
        <v>1</v>
      </c>
      <c r="V88" s="3">
        <v>1</v>
      </c>
      <c r="W88" s="3" t="s">
        <v>35</v>
      </c>
      <c r="X88" s="3" t="s">
        <v>35</v>
      </c>
      <c r="Y88" s="3" t="s">
        <v>35</v>
      </c>
      <c r="Z88" s="3" t="s">
        <v>35</v>
      </c>
      <c r="AA88" s="3" t="s">
        <v>35</v>
      </c>
      <c r="AB88" s="3" t="s">
        <v>84</v>
      </c>
      <c r="AC88" s="3" t="s">
        <v>49</v>
      </c>
    </row>
    <row r="89" s="3" customFormat="1" spans="1:29">
      <c r="A89" s="3" t="s">
        <v>85</v>
      </c>
      <c r="B89" s="3" t="s">
        <v>30</v>
      </c>
      <c r="C89" s="3">
        <v>22209506</v>
      </c>
      <c r="D89" s="13" t="s">
        <v>358</v>
      </c>
      <c r="E89" s="16">
        <v>46114.5258680556</v>
      </c>
      <c r="F89" s="3">
        <v>1020</v>
      </c>
      <c r="G89" s="3">
        <v>0</v>
      </c>
      <c r="H89" s="3">
        <v>1020</v>
      </c>
      <c r="I89" s="3">
        <v>163.07</v>
      </c>
      <c r="J89" s="3">
        <v>0</v>
      </c>
      <c r="K89" s="3">
        <v>163.07</v>
      </c>
      <c r="L89" s="3">
        <v>296.92</v>
      </c>
      <c r="M89" s="3">
        <v>3860</v>
      </c>
      <c r="N89" s="3">
        <v>296.92</v>
      </c>
      <c r="O89" s="3">
        <v>3860</v>
      </c>
      <c r="P89" s="3" t="s">
        <v>41</v>
      </c>
      <c r="Q89" s="3" t="s">
        <v>33</v>
      </c>
      <c r="R89" s="3" t="s">
        <v>271</v>
      </c>
      <c r="S89" s="3">
        <v>0</v>
      </c>
      <c r="T89" s="3">
        <v>193</v>
      </c>
      <c r="U89" s="3">
        <v>0</v>
      </c>
      <c r="V89" s="3" t="s">
        <v>35</v>
      </c>
      <c r="W89" s="3" t="s">
        <v>35</v>
      </c>
      <c r="X89" s="3" t="s">
        <v>35</v>
      </c>
      <c r="Y89" s="3" t="s">
        <v>35</v>
      </c>
      <c r="Z89" s="3" t="s">
        <v>35</v>
      </c>
      <c r="AA89" s="3" t="s">
        <v>35</v>
      </c>
      <c r="AB89" s="3" t="s">
        <v>84</v>
      </c>
      <c r="AC89" s="3" t="s">
        <v>49</v>
      </c>
    </row>
    <row r="90" s="3" customFormat="1" spans="1:29">
      <c r="A90" s="3" t="s">
        <v>85</v>
      </c>
      <c r="B90" s="3" t="s">
        <v>30</v>
      </c>
      <c r="C90" s="3">
        <v>7832538</v>
      </c>
      <c r="D90" s="13" t="s">
        <v>359</v>
      </c>
      <c r="E90" s="16">
        <v>44677.3538194444</v>
      </c>
      <c r="F90" s="3">
        <v>720.55</v>
      </c>
      <c r="G90" s="3">
        <v>224.74</v>
      </c>
      <c r="H90" s="3">
        <v>495.81</v>
      </c>
      <c r="I90" s="3">
        <v>118</v>
      </c>
      <c r="J90" s="3">
        <v>103.65</v>
      </c>
      <c r="K90" s="3">
        <v>14.35</v>
      </c>
      <c r="L90" s="3">
        <v>337.15</v>
      </c>
      <c r="M90" s="3">
        <v>4383</v>
      </c>
      <c r="N90" s="3">
        <v>291</v>
      </c>
      <c r="O90" s="3">
        <v>3783</v>
      </c>
      <c r="P90" s="3" t="s">
        <v>61</v>
      </c>
      <c r="Q90" s="3" t="s">
        <v>33</v>
      </c>
      <c r="R90" s="3" t="s">
        <v>271</v>
      </c>
      <c r="S90" s="3">
        <v>120</v>
      </c>
      <c r="T90" s="3">
        <v>110</v>
      </c>
      <c r="U90" s="3">
        <v>0</v>
      </c>
      <c r="V90" s="3" t="s">
        <v>35</v>
      </c>
      <c r="W90" s="3" t="s">
        <v>35</v>
      </c>
      <c r="X90" s="3" t="s">
        <v>35</v>
      </c>
      <c r="Y90" s="3" t="s">
        <v>35</v>
      </c>
      <c r="Z90" s="3" t="s">
        <v>35</v>
      </c>
      <c r="AA90" s="3" t="s">
        <v>35</v>
      </c>
      <c r="AB90" s="3" t="s">
        <v>84</v>
      </c>
      <c r="AC90" s="3" t="s">
        <v>49</v>
      </c>
    </row>
    <row r="91" s="3" customFormat="1" spans="1:29">
      <c r="A91" s="3" t="s">
        <v>85</v>
      </c>
      <c r="B91" s="3" t="s">
        <v>30</v>
      </c>
      <c r="C91" s="3">
        <v>16979056</v>
      </c>
      <c r="D91" s="13" t="s">
        <v>360</v>
      </c>
      <c r="E91" s="16">
        <v>45820.9081944444</v>
      </c>
      <c r="F91" s="3">
        <v>466.61</v>
      </c>
      <c r="G91" s="3">
        <v>0</v>
      </c>
      <c r="H91" s="3">
        <v>466.61</v>
      </c>
      <c r="I91" s="3">
        <v>66.34</v>
      </c>
      <c r="J91" s="3">
        <v>0</v>
      </c>
      <c r="K91" s="3">
        <v>66.34</v>
      </c>
      <c r="L91" s="3">
        <v>73.38</v>
      </c>
      <c r="M91" s="3">
        <v>954</v>
      </c>
      <c r="N91" s="3">
        <v>14.77</v>
      </c>
      <c r="O91" s="3">
        <v>192</v>
      </c>
      <c r="P91" s="3" t="s">
        <v>41</v>
      </c>
      <c r="Q91" s="3" t="s">
        <v>33</v>
      </c>
      <c r="R91" s="3" t="s">
        <v>271</v>
      </c>
      <c r="S91" s="3">
        <v>0</v>
      </c>
      <c r="T91" s="3">
        <v>48</v>
      </c>
      <c r="U91" s="3">
        <v>0</v>
      </c>
      <c r="V91" s="3" t="s">
        <v>35</v>
      </c>
      <c r="W91" s="3" t="s">
        <v>35</v>
      </c>
      <c r="X91" s="3" t="s">
        <v>35</v>
      </c>
      <c r="Y91" s="3" t="s">
        <v>35</v>
      </c>
      <c r="Z91" s="3" t="s">
        <v>35</v>
      </c>
      <c r="AA91" s="3" t="s">
        <v>35</v>
      </c>
      <c r="AB91" s="3" t="s">
        <v>158</v>
      </c>
      <c r="AC91" s="3" t="s">
        <v>159</v>
      </c>
    </row>
    <row r="92" s="15" customFormat="1" spans="1:29">
      <c r="A92" s="15" t="s">
        <v>111</v>
      </c>
      <c r="B92" s="15" t="s">
        <v>30</v>
      </c>
      <c r="C92" s="15">
        <v>18113379</v>
      </c>
      <c r="D92" s="14">
        <v>233202257155</v>
      </c>
      <c r="E92" s="17">
        <v>45893.168599537</v>
      </c>
      <c r="F92" s="15">
        <v>92.06</v>
      </c>
      <c r="G92" s="15">
        <v>36.11</v>
      </c>
      <c r="H92" s="15">
        <v>55.95</v>
      </c>
      <c r="I92" s="15">
        <v>28.84</v>
      </c>
      <c r="J92" s="15">
        <v>22.95</v>
      </c>
      <c r="K92" s="15">
        <v>5.89</v>
      </c>
      <c r="L92" s="15">
        <v>53</v>
      </c>
      <c r="M92" s="15">
        <v>689</v>
      </c>
      <c r="N92" s="15">
        <v>0.15</v>
      </c>
      <c r="O92" s="15">
        <v>2</v>
      </c>
      <c r="P92" s="15" t="s">
        <v>61</v>
      </c>
      <c r="Q92" s="15" t="s">
        <v>33</v>
      </c>
      <c r="R92" s="15" t="s">
        <v>271</v>
      </c>
      <c r="S92" s="15">
        <v>120</v>
      </c>
      <c r="T92" s="15">
        <v>17</v>
      </c>
      <c r="U92" s="15">
        <v>0</v>
      </c>
      <c r="V92" s="15" t="s">
        <v>35</v>
      </c>
      <c r="W92" s="15" t="s">
        <v>35</v>
      </c>
      <c r="X92" s="15" t="s">
        <v>35</v>
      </c>
      <c r="Y92" s="15" t="s">
        <v>35</v>
      </c>
      <c r="Z92" s="15" t="s">
        <v>35</v>
      </c>
      <c r="AA92" s="15" t="s">
        <v>35</v>
      </c>
    </row>
    <row r="93" s="15" customFormat="1" spans="1:29">
      <c r="A93" s="15" t="s">
        <v>111</v>
      </c>
      <c r="B93" s="15" t="s">
        <v>30</v>
      </c>
      <c r="C93" s="15">
        <v>17737358</v>
      </c>
      <c r="D93" s="14">
        <v>233205219476</v>
      </c>
      <c r="E93" s="17">
        <v>45872.5279282407</v>
      </c>
      <c r="F93" s="15">
        <v>6244.78</v>
      </c>
      <c r="G93" s="15">
        <v>9.16</v>
      </c>
      <c r="H93" s="15">
        <v>6235.63</v>
      </c>
      <c r="I93" s="15">
        <v>156.94</v>
      </c>
      <c r="J93" s="15">
        <v>2.85</v>
      </c>
      <c r="K93" s="15">
        <v>154.1</v>
      </c>
      <c r="L93" s="15">
        <v>1406</v>
      </c>
      <c r="M93" s="15">
        <v>18278</v>
      </c>
      <c r="N93" s="15">
        <v>415</v>
      </c>
      <c r="O93" s="15">
        <v>5395</v>
      </c>
      <c r="P93" s="15" t="s">
        <v>41</v>
      </c>
      <c r="Q93" s="15" t="s">
        <v>42</v>
      </c>
      <c r="R93" s="15" t="s">
        <v>271</v>
      </c>
      <c r="S93" s="15">
        <v>0</v>
      </c>
      <c r="T93" s="15">
        <v>914</v>
      </c>
      <c r="U93" s="15">
        <v>0</v>
      </c>
      <c r="V93" s="15" t="s">
        <v>35</v>
      </c>
      <c r="W93" s="15" t="s">
        <v>35</v>
      </c>
      <c r="X93" s="15" t="s">
        <v>35</v>
      </c>
      <c r="Y93" s="15" t="s">
        <v>35</v>
      </c>
      <c r="Z93" s="15" t="s">
        <v>35</v>
      </c>
      <c r="AA93" s="15" t="s">
        <v>35</v>
      </c>
    </row>
    <row r="94" s="15" customFormat="1" spans="1:29">
      <c r="A94" s="15" t="s">
        <v>111</v>
      </c>
      <c r="B94" s="15" t="s">
        <v>30</v>
      </c>
      <c r="C94" s="15">
        <v>10831809</v>
      </c>
      <c r="D94" s="14">
        <v>233206463544</v>
      </c>
      <c r="E94" s="17">
        <v>45199.3879861111</v>
      </c>
      <c r="F94" s="15">
        <v>425.27</v>
      </c>
      <c r="G94" s="15">
        <v>0</v>
      </c>
      <c r="H94" s="15">
        <v>425.27</v>
      </c>
      <c r="I94" s="15">
        <v>26.37</v>
      </c>
      <c r="J94" s="15">
        <v>0</v>
      </c>
      <c r="K94" s="15">
        <v>26.37</v>
      </c>
      <c r="L94" s="15">
        <v>108.23</v>
      </c>
      <c r="M94" s="15">
        <v>1407</v>
      </c>
      <c r="N94" s="15">
        <v>2.31</v>
      </c>
      <c r="O94" s="15">
        <v>30</v>
      </c>
      <c r="P94" s="15" t="s">
        <v>41</v>
      </c>
      <c r="Q94" s="15" t="s">
        <v>33</v>
      </c>
      <c r="R94" s="15" t="s">
        <v>271</v>
      </c>
      <c r="S94" s="15">
        <v>0</v>
      </c>
      <c r="T94" s="15">
        <v>70</v>
      </c>
      <c r="U94" s="15">
        <v>0</v>
      </c>
      <c r="V94" s="15" t="s">
        <v>35</v>
      </c>
      <c r="W94" s="15" t="s">
        <v>35</v>
      </c>
      <c r="X94" s="15" t="s">
        <v>35</v>
      </c>
      <c r="Y94" s="15" t="s">
        <v>35</v>
      </c>
      <c r="Z94" s="15" t="s">
        <v>35</v>
      </c>
      <c r="AA94" s="15" t="s">
        <v>35</v>
      </c>
    </row>
    <row r="95" s="15" customFormat="1" spans="1:29">
      <c r="A95" s="15" t="s">
        <v>111</v>
      </c>
      <c r="B95" s="15" t="s">
        <v>30</v>
      </c>
      <c r="C95" s="15">
        <v>22364297</v>
      </c>
      <c r="D95" s="14">
        <v>233208388769</v>
      </c>
      <c r="E95" s="17">
        <v>46122.8355092593</v>
      </c>
      <c r="F95" s="15">
        <v>1087.53</v>
      </c>
      <c r="G95" s="15">
        <v>4.62</v>
      </c>
      <c r="H95" s="15">
        <v>1082.92</v>
      </c>
      <c r="I95" s="15">
        <v>137.97</v>
      </c>
      <c r="J95" s="15">
        <v>4.62</v>
      </c>
      <c r="K95" s="15">
        <v>133.36</v>
      </c>
      <c r="L95" s="15">
        <v>222</v>
      </c>
      <c r="M95" s="15">
        <v>2886</v>
      </c>
      <c r="N95" s="15">
        <v>222</v>
      </c>
      <c r="O95" s="15">
        <v>2886</v>
      </c>
      <c r="P95" s="15" t="s">
        <v>41</v>
      </c>
      <c r="Q95" s="15" t="s">
        <v>33</v>
      </c>
      <c r="R95" s="15" t="s">
        <v>271</v>
      </c>
      <c r="S95" s="15">
        <v>0</v>
      </c>
      <c r="T95" s="15">
        <v>144</v>
      </c>
      <c r="U95" s="15">
        <v>0</v>
      </c>
      <c r="V95" s="15" t="s">
        <v>35</v>
      </c>
      <c r="W95" s="15" t="s">
        <v>35</v>
      </c>
      <c r="X95" s="15" t="s">
        <v>35</v>
      </c>
      <c r="Y95" s="15" t="s">
        <v>35</v>
      </c>
      <c r="Z95" s="15" t="s">
        <v>35</v>
      </c>
      <c r="AA95" s="15" t="s">
        <v>35</v>
      </c>
    </row>
    <row r="96" s="15" customFormat="1" spans="1:29">
      <c r="A96" s="15" t="s">
        <v>111</v>
      </c>
      <c r="B96" s="15" t="s">
        <v>30</v>
      </c>
      <c r="C96" s="15">
        <v>19378358</v>
      </c>
      <c r="D96" s="14">
        <v>233209266637</v>
      </c>
      <c r="E96" s="17">
        <v>45971.7606134259</v>
      </c>
      <c r="F96" s="15">
        <v>892.15</v>
      </c>
      <c r="G96" s="15">
        <v>2.08</v>
      </c>
      <c r="H96" s="15">
        <v>890.07</v>
      </c>
      <c r="I96" s="15">
        <v>97.53</v>
      </c>
      <c r="J96" s="15">
        <v>2.08</v>
      </c>
      <c r="K96" s="15">
        <v>95.45</v>
      </c>
      <c r="L96" s="15">
        <v>130.77</v>
      </c>
      <c r="M96" s="15">
        <v>1700</v>
      </c>
      <c r="N96" s="15">
        <v>0</v>
      </c>
      <c r="O96" s="15">
        <v>0</v>
      </c>
      <c r="P96" s="15" t="s">
        <v>32</v>
      </c>
      <c r="Q96" s="15" t="s">
        <v>33</v>
      </c>
      <c r="R96" s="15" t="s">
        <v>271</v>
      </c>
      <c r="S96" s="15">
        <v>0</v>
      </c>
      <c r="T96" s="15">
        <v>85</v>
      </c>
      <c r="U96" s="15">
        <v>0</v>
      </c>
      <c r="V96" s="15" t="s">
        <v>35</v>
      </c>
      <c r="W96" s="15" t="s">
        <v>35</v>
      </c>
      <c r="X96" s="15" t="s">
        <v>35</v>
      </c>
      <c r="Y96" s="15" t="s">
        <v>35</v>
      </c>
      <c r="Z96" s="15" t="s">
        <v>35</v>
      </c>
      <c r="AA96" s="15" t="s">
        <v>35</v>
      </c>
    </row>
    <row r="97" s="15" customFormat="1" spans="1:27">
      <c r="A97" s="15" t="s">
        <v>111</v>
      </c>
      <c r="B97" s="15" t="s">
        <v>30</v>
      </c>
      <c r="C97" s="15">
        <v>20003449</v>
      </c>
      <c r="D97" s="14">
        <v>233243627795</v>
      </c>
      <c r="E97" s="17">
        <v>46000.9162615741</v>
      </c>
      <c r="F97" s="15">
        <v>3006.54</v>
      </c>
      <c r="G97" s="15">
        <v>0</v>
      </c>
      <c r="H97" s="15">
        <v>3006.54</v>
      </c>
      <c r="I97" s="15">
        <v>-65.47</v>
      </c>
      <c r="J97" s="15">
        <v>0</v>
      </c>
      <c r="K97" s="15">
        <v>-65.47</v>
      </c>
      <c r="L97" s="15">
        <v>335</v>
      </c>
      <c r="M97" s="15">
        <v>4355</v>
      </c>
      <c r="N97" s="15">
        <v>26.92</v>
      </c>
      <c r="O97" s="15">
        <v>350</v>
      </c>
      <c r="P97" s="15" t="s">
        <v>41</v>
      </c>
      <c r="Q97" s="15" t="s">
        <v>33</v>
      </c>
      <c r="R97" s="15" t="s">
        <v>271</v>
      </c>
      <c r="S97" s="15">
        <v>0</v>
      </c>
      <c r="T97" s="15">
        <v>218</v>
      </c>
      <c r="U97" s="15">
        <v>0</v>
      </c>
      <c r="V97" s="15" t="s">
        <v>35</v>
      </c>
      <c r="W97" s="15" t="s">
        <v>35</v>
      </c>
      <c r="X97" s="15" t="s">
        <v>35</v>
      </c>
      <c r="Y97" s="15" t="s">
        <v>35</v>
      </c>
      <c r="Z97" s="15" t="s">
        <v>35</v>
      </c>
      <c r="AA97" s="15" t="s">
        <v>35</v>
      </c>
    </row>
    <row r="98" s="15" customFormat="1" spans="1:27">
      <c r="A98" s="15" t="s">
        <v>111</v>
      </c>
      <c r="B98" s="15" t="s">
        <v>30</v>
      </c>
      <c r="C98" s="15">
        <v>19607909</v>
      </c>
      <c r="D98" s="14">
        <v>233248843859</v>
      </c>
      <c r="E98" s="17">
        <v>45981.7978125</v>
      </c>
      <c r="F98" s="15">
        <v>1171.71</v>
      </c>
      <c r="G98" s="15">
        <v>3.08</v>
      </c>
      <c r="H98" s="15">
        <v>1168.63</v>
      </c>
      <c r="I98" s="15">
        <v>178.57</v>
      </c>
      <c r="J98" s="15">
        <v>3.08</v>
      </c>
      <c r="K98" s="15">
        <v>175.49</v>
      </c>
      <c r="L98" s="15">
        <v>292.46</v>
      </c>
      <c r="M98" s="15">
        <v>3802</v>
      </c>
      <c r="N98" s="15">
        <v>24.62</v>
      </c>
      <c r="O98" s="15">
        <v>320</v>
      </c>
      <c r="P98" s="15" t="s">
        <v>32</v>
      </c>
      <c r="Q98" s="15" t="s">
        <v>33</v>
      </c>
      <c r="R98" s="15" t="s">
        <v>271</v>
      </c>
      <c r="S98" s="15">
        <v>0</v>
      </c>
      <c r="T98" s="15">
        <v>190</v>
      </c>
      <c r="U98" s="15">
        <v>0</v>
      </c>
      <c r="V98" s="15" t="s">
        <v>35</v>
      </c>
      <c r="W98" s="15" t="s">
        <v>35</v>
      </c>
      <c r="X98" s="15" t="s">
        <v>35</v>
      </c>
      <c r="Y98" s="15" t="s">
        <v>35</v>
      </c>
      <c r="Z98" s="15" t="s">
        <v>35</v>
      </c>
      <c r="AA98" s="15" t="s">
        <v>35</v>
      </c>
    </row>
    <row r="99" s="15" customFormat="1" spans="1:27">
      <c r="A99" s="15" t="s">
        <v>111</v>
      </c>
      <c r="B99" s="15" t="s">
        <v>30</v>
      </c>
      <c r="C99" s="15">
        <v>8321836</v>
      </c>
      <c r="D99" s="14">
        <v>233249456703</v>
      </c>
      <c r="E99" s="17">
        <v>44760.3668055556</v>
      </c>
      <c r="F99" s="15">
        <v>1460.82</v>
      </c>
      <c r="G99" s="15">
        <v>27.86</v>
      </c>
      <c r="H99" s="15">
        <v>1432.96</v>
      </c>
      <c r="I99" s="15">
        <v>53.38</v>
      </c>
      <c r="J99" s="15">
        <v>-15.72</v>
      </c>
      <c r="K99" s="15">
        <v>69.11</v>
      </c>
      <c r="L99" s="15">
        <v>283.77</v>
      </c>
      <c r="M99" s="15">
        <v>3689</v>
      </c>
      <c r="N99" s="15">
        <v>283.77</v>
      </c>
      <c r="O99" s="15">
        <v>3689</v>
      </c>
      <c r="P99" s="15" t="s">
        <v>41</v>
      </c>
      <c r="Q99" s="15" t="s">
        <v>33</v>
      </c>
      <c r="R99" s="15" t="s">
        <v>271</v>
      </c>
      <c r="S99" s="15">
        <v>0</v>
      </c>
      <c r="T99" s="15">
        <v>184</v>
      </c>
      <c r="U99" s="15">
        <v>0</v>
      </c>
      <c r="V99" s="15" t="s">
        <v>35</v>
      </c>
      <c r="W99" s="15" t="s">
        <v>35</v>
      </c>
      <c r="X99" s="15" t="s">
        <v>35</v>
      </c>
      <c r="Y99" s="15" t="s">
        <v>35</v>
      </c>
      <c r="Z99" s="15" t="s">
        <v>35</v>
      </c>
      <c r="AA99" s="15" t="s">
        <v>35</v>
      </c>
    </row>
    <row r="100" s="15" customFormat="1" spans="1:27">
      <c r="A100" s="15" t="s">
        <v>111</v>
      </c>
      <c r="B100" s="15" t="s">
        <v>30</v>
      </c>
      <c r="C100" s="15">
        <v>18847798</v>
      </c>
      <c r="D100" s="14">
        <v>233256529449</v>
      </c>
      <c r="E100" s="17">
        <v>45938.3226388889</v>
      </c>
      <c r="F100" s="15">
        <v>20860.04</v>
      </c>
      <c r="G100" s="15">
        <v>0.15</v>
      </c>
      <c r="H100" s="15">
        <v>20859.88</v>
      </c>
      <c r="I100" s="15">
        <v>608.46</v>
      </c>
      <c r="J100" s="15">
        <v>-0.04</v>
      </c>
      <c r="K100" s="15">
        <v>608.5</v>
      </c>
      <c r="L100" s="15">
        <v>4456.85</v>
      </c>
      <c r="M100" s="15">
        <v>57939</v>
      </c>
      <c r="N100" s="15">
        <v>1827.15</v>
      </c>
      <c r="O100" s="15">
        <v>23753</v>
      </c>
      <c r="P100" s="15" t="s">
        <v>41</v>
      </c>
      <c r="Q100" s="15" t="s">
        <v>42</v>
      </c>
      <c r="R100" s="15" t="s">
        <v>271</v>
      </c>
      <c r="S100" s="15">
        <v>0</v>
      </c>
      <c r="T100" s="15">
        <v>2897</v>
      </c>
      <c r="U100" s="15">
        <v>1</v>
      </c>
      <c r="V100" s="15">
        <v>1</v>
      </c>
      <c r="W100" s="15" t="s">
        <v>35</v>
      </c>
      <c r="X100" s="15" t="s">
        <v>35</v>
      </c>
      <c r="Y100" s="15" t="s">
        <v>35</v>
      </c>
      <c r="Z100" s="15" t="s">
        <v>35</v>
      </c>
      <c r="AA100" s="15" t="s">
        <v>35</v>
      </c>
    </row>
    <row r="101" s="15" customFormat="1" spans="1:27">
      <c r="A101" s="15" t="s">
        <v>111</v>
      </c>
      <c r="B101" s="15" t="s">
        <v>30</v>
      </c>
      <c r="C101" s="15">
        <v>16147578</v>
      </c>
      <c r="D101" s="14">
        <v>233257312628</v>
      </c>
      <c r="E101" s="17">
        <v>45755.2823611111</v>
      </c>
      <c r="F101" s="15">
        <v>2807.94</v>
      </c>
      <c r="G101" s="15">
        <v>0.54</v>
      </c>
      <c r="H101" s="15">
        <v>2807.4</v>
      </c>
      <c r="I101" s="15">
        <v>187.77</v>
      </c>
      <c r="J101" s="15">
        <v>0.54</v>
      </c>
      <c r="K101" s="15">
        <v>187.23</v>
      </c>
      <c r="L101" s="15">
        <v>1180.46</v>
      </c>
      <c r="M101" s="15">
        <v>15346</v>
      </c>
      <c r="N101" s="15">
        <v>72.46</v>
      </c>
      <c r="O101" s="15">
        <v>942</v>
      </c>
      <c r="P101" s="15" t="s">
        <v>41</v>
      </c>
      <c r="Q101" s="15" t="s">
        <v>42</v>
      </c>
      <c r="R101" s="15" t="s">
        <v>271</v>
      </c>
      <c r="S101" s="15">
        <v>0</v>
      </c>
      <c r="T101" s="15">
        <v>767</v>
      </c>
      <c r="U101" s="15">
        <v>0</v>
      </c>
      <c r="V101" s="15" t="s">
        <v>35</v>
      </c>
      <c r="W101" s="15" t="s">
        <v>35</v>
      </c>
      <c r="X101" s="15" t="s">
        <v>35</v>
      </c>
      <c r="Y101" s="15" t="s">
        <v>35</v>
      </c>
      <c r="Z101" s="15" t="s">
        <v>35</v>
      </c>
      <c r="AA101" s="15" t="s">
        <v>35</v>
      </c>
    </row>
    <row r="102" s="15" customFormat="1" spans="1:27">
      <c r="A102" s="15" t="s">
        <v>111</v>
      </c>
      <c r="B102" s="15" t="s">
        <v>30</v>
      </c>
      <c r="C102" s="15">
        <v>19249216</v>
      </c>
      <c r="D102" s="14">
        <v>233257465992</v>
      </c>
      <c r="E102" s="17">
        <v>45964.604537037</v>
      </c>
      <c r="F102" s="15">
        <v>2046.08</v>
      </c>
      <c r="G102" s="15">
        <v>9.23</v>
      </c>
      <c r="H102" s="15">
        <v>2036.85</v>
      </c>
      <c r="I102" s="15">
        <v>116.92</v>
      </c>
      <c r="J102" s="15">
        <v>8.76</v>
      </c>
      <c r="K102" s="15">
        <v>108.16</v>
      </c>
      <c r="L102" s="15">
        <v>461.62</v>
      </c>
      <c r="M102" s="15">
        <v>6001</v>
      </c>
      <c r="N102" s="15">
        <v>35</v>
      </c>
      <c r="O102" s="15">
        <v>455</v>
      </c>
      <c r="P102" s="15" t="s">
        <v>32</v>
      </c>
      <c r="Q102" s="15" t="s">
        <v>33</v>
      </c>
      <c r="R102" s="15" t="s">
        <v>271</v>
      </c>
      <c r="S102" s="15">
        <v>0</v>
      </c>
      <c r="T102" s="15">
        <v>300</v>
      </c>
      <c r="U102" s="15">
        <v>0</v>
      </c>
      <c r="V102" s="15" t="s">
        <v>35</v>
      </c>
      <c r="W102" s="15" t="s">
        <v>35</v>
      </c>
      <c r="X102" s="15" t="s">
        <v>35</v>
      </c>
      <c r="Y102" s="15" t="s">
        <v>35</v>
      </c>
      <c r="Z102" s="15" t="s">
        <v>35</v>
      </c>
      <c r="AA102" s="15" t="s">
        <v>35</v>
      </c>
    </row>
    <row r="103" s="15" customFormat="1" spans="1:27">
      <c r="A103" s="15" t="s">
        <v>111</v>
      </c>
      <c r="B103" s="15" t="s">
        <v>30</v>
      </c>
      <c r="C103" s="15">
        <v>17268456</v>
      </c>
      <c r="D103" s="14">
        <v>233275960162</v>
      </c>
      <c r="E103" s="17">
        <v>45842.5296527778</v>
      </c>
      <c r="F103" s="15">
        <v>426.02</v>
      </c>
      <c r="G103" s="15">
        <v>22.23</v>
      </c>
      <c r="H103" s="15">
        <v>403.56</v>
      </c>
      <c r="I103" s="15">
        <v>17.66</v>
      </c>
      <c r="J103" s="15">
        <v>21.34</v>
      </c>
      <c r="K103" s="15">
        <v>-3.68</v>
      </c>
      <c r="L103" s="15">
        <v>96.92</v>
      </c>
      <c r="M103" s="15">
        <v>1260</v>
      </c>
      <c r="N103" s="15">
        <v>58.92</v>
      </c>
      <c r="O103" s="15">
        <v>766</v>
      </c>
      <c r="P103" s="15" t="s">
        <v>32</v>
      </c>
      <c r="Q103" s="15" t="s">
        <v>33</v>
      </c>
      <c r="R103" s="15" t="s">
        <v>271</v>
      </c>
      <c r="S103" s="15">
        <v>0</v>
      </c>
      <c r="T103" s="15">
        <v>63</v>
      </c>
      <c r="U103" s="15">
        <v>0</v>
      </c>
      <c r="V103" s="15" t="s">
        <v>35</v>
      </c>
      <c r="W103" s="15" t="s">
        <v>35</v>
      </c>
      <c r="X103" s="15" t="s">
        <v>35</v>
      </c>
      <c r="Y103" s="15" t="s">
        <v>35</v>
      </c>
      <c r="Z103" s="15" t="s">
        <v>35</v>
      </c>
      <c r="AA103" s="15" t="s">
        <v>35</v>
      </c>
    </row>
    <row r="104" s="15" customFormat="1" spans="1:27">
      <c r="A104" s="15" t="s">
        <v>111</v>
      </c>
      <c r="B104" s="15" t="s">
        <v>30</v>
      </c>
      <c r="C104" s="15">
        <v>22742057</v>
      </c>
      <c r="D104" s="14">
        <v>233507107583</v>
      </c>
      <c r="E104" s="17">
        <v>46148.0711574074</v>
      </c>
      <c r="F104" s="15">
        <v>1946.1</v>
      </c>
      <c r="G104" s="15">
        <v>0</v>
      </c>
      <c r="H104" s="15">
        <v>1946.1</v>
      </c>
      <c r="I104" s="15">
        <v>75.53</v>
      </c>
      <c r="J104" s="15">
        <v>0</v>
      </c>
      <c r="K104" s="15">
        <v>75.53</v>
      </c>
      <c r="L104" s="15">
        <v>163.77</v>
      </c>
      <c r="M104" s="15">
        <v>2129</v>
      </c>
      <c r="N104" s="15">
        <v>163.77</v>
      </c>
      <c r="O104" s="15">
        <v>2129</v>
      </c>
      <c r="P104" s="15" t="s">
        <v>32</v>
      </c>
      <c r="Q104" s="15" t="s">
        <v>33</v>
      </c>
      <c r="R104" s="15" t="s">
        <v>271</v>
      </c>
      <c r="S104" s="15">
        <v>0</v>
      </c>
      <c r="T104" s="15">
        <v>106</v>
      </c>
      <c r="U104" s="15">
        <v>0</v>
      </c>
      <c r="V104" s="15" t="s">
        <v>35</v>
      </c>
      <c r="W104" s="15" t="s">
        <v>35</v>
      </c>
      <c r="X104" s="15" t="s">
        <v>35</v>
      </c>
      <c r="Y104" s="15" t="s">
        <v>35</v>
      </c>
      <c r="Z104" s="15" t="s">
        <v>35</v>
      </c>
      <c r="AA104" s="15" t="s">
        <v>35</v>
      </c>
    </row>
    <row r="105" s="15" customFormat="1" spans="1:27">
      <c r="A105" s="15" t="s">
        <v>111</v>
      </c>
      <c r="B105" s="15" t="s">
        <v>30</v>
      </c>
      <c r="C105" s="15">
        <v>16731807</v>
      </c>
      <c r="D105" s="14">
        <v>233507173284</v>
      </c>
      <c r="E105" s="17">
        <v>45797.3654166667</v>
      </c>
      <c r="F105" s="15">
        <v>743.12</v>
      </c>
      <c r="G105" s="15">
        <v>0</v>
      </c>
      <c r="H105" s="15">
        <v>743.12</v>
      </c>
      <c r="I105" s="15">
        <v>36.4</v>
      </c>
      <c r="J105" s="15">
        <v>0</v>
      </c>
      <c r="K105" s="15">
        <v>36.4</v>
      </c>
      <c r="L105" s="15">
        <v>179.46</v>
      </c>
      <c r="M105" s="15">
        <v>2333</v>
      </c>
      <c r="N105" s="15">
        <v>0</v>
      </c>
      <c r="O105" s="15">
        <v>0</v>
      </c>
      <c r="P105" s="15" t="s">
        <v>41</v>
      </c>
      <c r="Q105" s="15" t="s">
        <v>33</v>
      </c>
      <c r="R105" s="15" t="s">
        <v>271</v>
      </c>
      <c r="S105" s="15">
        <v>0</v>
      </c>
      <c r="T105" s="15">
        <v>117</v>
      </c>
      <c r="U105" s="15">
        <v>0</v>
      </c>
      <c r="V105" s="15" t="s">
        <v>35</v>
      </c>
      <c r="W105" s="15" t="s">
        <v>35</v>
      </c>
      <c r="X105" s="15" t="s">
        <v>35</v>
      </c>
      <c r="Y105" s="15" t="s">
        <v>35</v>
      </c>
      <c r="Z105" s="15" t="s">
        <v>35</v>
      </c>
      <c r="AA105" s="15" t="s">
        <v>35</v>
      </c>
    </row>
    <row r="106" s="15" customFormat="1" spans="1:27">
      <c r="A106" s="15" t="s">
        <v>111</v>
      </c>
      <c r="B106" s="15" t="s">
        <v>30</v>
      </c>
      <c r="C106" s="15">
        <v>17511067</v>
      </c>
      <c r="D106" s="14">
        <v>233508894990</v>
      </c>
      <c r="E106" s="17">
        <v>45859.9241203704</v>
      </c>
      <c r="F106" s="15">
        <v>653.79</v>
      </c>
      <c r="G106" s="15">
        <v>12.67</v>
      </c>
      <c r="H106" s="15">
        <v>641.13</v>
      </c>
      <c r="I106" s="15">
        <v>121.07</v>
      </c>
      <c r="J106" s="15">
        <v>7.98</v>
      </c>
      <c r="K106" s="15">
        <v>113.09</v>
      </c>
      <c r="L106" s="15">
        <v>151.92</v>
      </c>
      <c r="M106" s="15">
        <v>1975</v>
      </c>
      <c r="N106" s="15">
        <v>0</v>
      </c>
      <c r="O106" s="15">
        <v>0</v>
      </c>
      <c r="P106" s="15" t="s">
        <v>41</v>
      </c>
      <c r="Q106" s="15" t="s">
        <v>33</v>
      </c>
      <c r="R106" s="15" t="s">
        <v>271</v>
      </c>
      <c r="S106" s="15">
        <v>0</v>
      </c>
      <c r="T106" s="15">
        <v>99</v>
      </c>
      <c r="U106" s="15">
        <v>0</v>
      </c>
      <c r="V106" s="15" t="s">
        <v>35</v>
      </c>
      <c r="W106" s="15" t="s">
        <v>35</v>
      </c>
      <c r="X106" s="15" t="s">
        <v>35</v>
      </c>
      <c r="Y106" s="15" t="s">
        <v>35</v>
      </c>
      <c r="Z106" s="15" t="s">
        <v>35</v>
      </c>
      <c r="AA106" s="15" t="s">
        <v>35</v>
      </c>
    </row>
    <row r="107" s="15" customFormat="1" spans="1:27">
      <c r="A107" s="15" t="s">
        <v>111</v>
      </c>
      <c r="B107" s="15" t="s">
        <v>30</v>
      </c>
      <c r="C107" s="15">
        <v>15784426</v>
      </c>
      <c r="D107" s="14">
        <v>233531193764</v>
      </c>
      <c r="E107" s="17">
        <v>45696.377337963</v>
      </c>
      <c r="F107" s="15">
        <v>966.6</v>
      </c>
      <c r="G107" s="15">
        <v>11.47</v>
      </c>
      <c r="H107" s="15">
        <v>955.12</v>
      </c>
      <c r="I107" s="15">
        <v>9</v>
      </c>
      <c r="J107" s="15">
        <v>6.81</v>
      </c>
      <c r="K107" s="15">
        <v>2.19</v>
      </c>
      <c r="L107" s="15">
        <v>82.46</v>
      </c>
      <c r="M107" s="15">
        <v>1072</v>
      </c>
      <c r="N107" s="15">
        <v>0</v>
      </c>
      <c r="O107" s="15">
        <v>0</v>
      </c>
      <c r="P107" s="15" t="s">
        <v>32</v>
      </c>
      <c r="Q107" s="15" t="s">
        <v>33</v>
      </c>
      <c r="R107" s="15" t="s">
        <v>271</v>
      </c>
      <c r="S107" s="15">
        <v>0</v>
      </c>
      <c r="T107" s="15">
        <v>54</v>
      </c>
      <c r="U107" s="15">
        <v>0</v>
      </c>
      <c r="V107" s="15" t="s">
        <v>35</v>
      </c>
      <c r="W107" s="15" t="s">
        <v>35</v>
      </c>
      <c r="X107" s="15" t="s">
        <v>35</v>
      </c>
      <c r="Y107" s="15" t="s">
        <v>35</v>
      </c>
      <c r="Z107" s="15" t="s">
        <v>35</v>
      </c>
      <c r="AA107" s="15" t="s">
        <v>35</v>
      </c>
    </row>
    <row r="108" s="15" customFormat="1" spans="1:27">
      <c r="A108" s="15" t="s">
        <v>111</v>
      </c>
      <c r="B108" s="15" t="s">
        <v>30</v>
      </c>
      <c r="C108" s="15">
        <v>19007179</v>
      </c>
      <c r="D108" s="14">
        <v>233535743035</v>
      </c>
      <c r="E108" s="17">
        <v>45948.5241087963</v>
      </c>
      <c r="F108" s="15">
        <v>2619.59</v>
      </c>
      <c r="G108" s="15">
        <v>0</v>
      </c>
      <c r="H108" s="15">
        <v>2619.59</v>
      </c>
      <c r="I108" s="15">
        <v>54.61</v>
      </c>
      <c r="J108" s="15">
        <v>0</v>
      </c>
      <c r="K108" s="15">
        <v>54.61</v>
      </c>
      <c r="L108" s="15">
        <v>594.62</v>
      </c>
      <c r="M108" s="15">
        <v>7730</v>
      </c>
      <c r="N108" s="15">
        <v>524.23</v>
      </c>
      <c r="O108" s="15">
        <v>6815</v>
      </c>
      <c r="P108" s="15" t="s">
        <v>41</v>
      </c>
      <c r="Q108" s="15" t="s">
        <v>33</v>
      </c>
      <c r="R108" s="15" t="s">
        <v>271</v>
      </c>
      <c r="S108" s="15">
        <v>0</v>
      </c>
      <c r="T108" s="15">
        <v>386</v>
      </c>
      <c r="U108" s="15">
        <v>0</v>
      </c>
      <c r="V108" s="15" t="s">
        <v>35</v>
      </c>
      <c r="W108" s="15" t="s">
        <v>35</v>
      </c>
      <c r="X108" s="15" t="s">
        <v>35</v>
      </c>
      <c r="Y108" s="15" t="s">
        <v>35</v>
      </c>
      <c r="Z108" s="15" t="s">
        <v>35</v>
      </c>
      <c r="AA108" s="15" t="s">
        <v>35</v>
      </c>
    </row>
    <row r="109" s="15" customFormat="1" spans="1:27">
      <c r="A109" s="15" t="s">
        <v>111</v>
      </c>
      <c r="B109" s="15" t="s">
        <v>30</v>
      </c>
      <c r="C109" s="15">
        <v>21504006</v>
      </c>
      <c r="D109" s="14">
        <v>233535841416</v>
      </c>
      <c r="E109" s="17">
        <v>46076.4693865741</v>
      </c>
      <c r="F109" s="15">
        <v>680.48</v>
      </c>
      <c r="G109" s="15">
        <v>0</v>
      </c>
      <c r="H109" s="15">
        <v>680.48</v>
      </c>
      <c r="I109" s="15">
        <v>33.3</v>
      </c>
      <c r="J109" s="15">
        <v>0</v>
      </c>
      <c r="K109" s="15">
        <v>33.3</v>
      </c>
      <c r="L109" s="15">
        <v>94.54</v>
      </c>
      <c r="M109" s="15">
        <v>1229</v>
      </c>
      <c r="N109" s="15">
        <v>59.08</v>
      </c>
      <c r="O109" s="15">
        <v>768</v>
      </c>
      <c r="P109" s="15" t="s">
        <v>32</v>
      </c>
      <c r="Q109" s="15" t="s">
        <v>33</v>
      </c>
      <c r="R109" s="15" t="s">
        <v>271</v>
      </c>
      <c r="S109" s="15">
        <v>0</v>
      </c>
      <c r="T109" s="15">
        <v>61</v>
      </c>
      <c r="U109" s="15">
        <v>0</v>
      </c>
      <c r="V109" s="15" t="s">
        <v>35</v>
      </c>
      <c r="W109" s="15" t="s">
        <v>35</v>
      </c>
      <c r="X109" s="15" t="s">
        <v>35</v>
      </c>
      <c r="Y109" s="15" t="s">
        <v>35</v>
      </c>
      <c r="Z109" s="15" t="s">
        <v>35</v>
      </c>
      <c r="AA109" s="15" t="s">
        <v>35</v>
      </c>
    </row>
    <row r="110" s="15" customFormat="1" spans="1:27">
      <c r="A110" s="15" t="s">
        <v>111</v>
      </c>
      <c r="B110" s="15" t="s">
        <v>30</v>
      </c>
      <c r="C110" s="15">
        <v>13406686</v>
      </c>
      <c r="D110" s="14">
        <v>233535869485</v>
      </c>
      <c r="E110" s="17">
        <v>45506.9772916667</v>
      </c>
      <c r="F110" s="15">
        <v>799.31</v>
      </c>
      <c r="G110" s="15">
        <v>268.33</v>
      </c>
      <c r="H110" s="15">
        <v>530.52</v>
      </c>
      <c r="I110" s="15">
        <v>-86.81</v>
      </c>
      <c r="J110" s="15">
        <v>-138.7</v>
      </c>
      <c r="K110" s="15">
        <v>51.89</v>
      </c>
      <c r="L110" s="15">
        <v>320.31</v>
      </c>
      <c r="M110" s="15">
        <v>4164</v>
      </c>
      <c r="N110" s="15">
        <v>13.46</v>
      </c>
      <c r="O110" s="15">
        <v>175</v>
      </c>
      <c r="P110" s="15" t="s">
        <v>61</v>
      </c>
      <c r="Q110" s="15" t="s">
        <v>33</v>
      </c>
      <c r="R110" s="15" t="s">
        <v>271</v>
      </c>
      <c r="S110" s="15">
        <v>120</v>
      </c>
      <c r="T110" s="15">
        <v>104</v>
      </c>
      <c r="U110" s="15">
        <v>0</v>
      </c>
      <c r="V110" s="15" t="s">
        <v>35</v>
      </c>
      <c r="W110" s="15" t="s">
        <v>35</v>
      </c>
      <c r="X110" s="15" t="s">
        <v>35</v>
      </c>
      <c r="Y110" s="15" t="s">
        <v>35</v>
      </c>
      <c r="Z110" s="15" t="s">
        <v>35</v>
      </c>
      <c r="AA110" s="15" t="s">
        <v>35</v>
      </c>
    </row>
    <row r="111" s="15" customFormat="1" spans="1:27">
      <c r="A111" s="15" t="s">
        <v>111</v>
      </c>
      <c r="B111" s="15" t="s">
        <v>30</v>
      </c>
      <c r="C111" s="15">
        <v>17504579</v>
      </c>
      <c r="D111" s="14">
        <v>233536276569</v>
      </c>
      <c r="E111" s="17">
        <v>45859.5183449074</v>
      </c>
      <c r="F111" s="15">
        <v>238.31</v>
      </c>
      <c r="G111" s="15">
        <v>0.08</v>
      </c>
      <c r="H111" s="15">
        <v>238.23</v>
      </c>
      <c r="I111" s="15">
        <v>33.36</v>
      </c>
      <c r="J111" s="15">
        <v>0.08</v>
      </c>
      <c r="K111" s="15">
        <v>33.29</v>
      </c>
      <c r="L111" s="15">
        <v>93</v>
      </c>
      <c r="M111" s="15">
        <v>1209</v>
      </c>
      <c r="N111" s="15">
        <v>89</v>
      </c>
      <c r="O111" s="15">
        <v>1157</v>
      </c>
      <c r="P111" s="15" t="s">
        <v>32</v>
      </c>
      <c r="Q111" s="15" t="s">
        <v>33</v>
      </c>
      <c r="R111" s="15" t="s">
        <v>271</v>
      </c>
      <c r="S111" s="15">
        <v>0</v>
      </c>
      <c r="T111" s="15">
        <v>60</v>
      </c>
      <c r="U111" s="15">
        <v>0</v>
      </c>
      <c r="V111" s="15" t="s">
        <v>35</v>
      </c>
      <c r="W111" s="15" t="s">
        <v>35</v>
      </c>
      <c r="X111" s="15" t="s">
        <v>35</v>
      </c>
      <c r="Y111" s="15" t="s">
        <v>35</v>
      </c>
      <c r="Z111" s="15" t="s">
        <v>35</v>
      </c>
      <c r="AA111" s="15" t="s">
        <v>35</v>
      </c>
    </row>
    <row r="112" s="15" customFormat="1" spans="1:27">
      <c r="A112" s="15" t="s">
        <v>111</v>
      </c>
      <c r="B112" s="15" t="s">
        <v>30</v>
      </c>
      <c r="C112" s="15">
        <v>19855747</v>
      </c>
      <c r="D112" s="14">
        <v>233537744338</v>
      </c>
      <c r="E112" s="17">
        <v>45993.8924189815</v>
      </c>
      <c r="F112" s="15">
        <v>347.88</v>
      </c>
      <c r="G112" s="15">
        <v>18.08</v>
      </c>
      <c r="H112" s="15">
        <v>329.81</v>
      </c>
      <c r="I112" s="15">
        <v>3.84</v>
      </c>
      <c r="J112" s="15">
        <v>14</v>
      </c>
      <c r="K112" s="15">
        <v>-10.16</v>
      </c>
      <c r="L112" s="15">
        <v>57.69</v>
      </c>
      <c r="M112" s="15">
        <v>750</v>
      </c>
      <c r="N112" s="15">
        <v>21.92</v>
      </c>
      <c r="O112" s="15">
        <v>285</v>
      </c>
      <c r="P112" s="15" t="s">
        <v>41</v>
      </c>
      <c r="Q112" s="15" t="s">
        <v>33</v>
      </c>
      <c r="R112" s="15" t="s">
        <v>271</v>
      </c>
      <c r="S112" s="15">
        <v>0</v>
      </c>
      <c r="T112" s="15">
        <v>38</v>
      </c>
      <c r="U112" s="15">
        <v>0</v>
      </c>
      <c r="V112" s="15" t="s">
        <v>35</v>
      </c>
      <c r="W112" s="15" t="s">
        <v>35</v>
      </c>
      <c r="X112" s="15" t="s">
        <v>35</v>
      </c>
      <c r="Y112" s="15" t="s">
        <v>35</v>
      </c>
      <c r="Z112" s="15" t="s">
        <v>35</v>
      </c>
      <c r="AA112" s="15" t="s">
        <v>35</v>
      </c>
    </row>
    <row r="113" s="15" customFormat="1" spans="1:27">
      <c r="A113" s="15" t="s">
        <v>111</v>
      </c>
      <c r="B113" s="15" t="s">
        <v>30</v>
      </c>
      <c r="C113" s="15">
        <v>20276148</v>
      </c>
      <c r="D113" s="14">
        <v>233539651381</v>
      </c>
      <c r="E113" s="17">
        <v>46014.4751736111</v>
      </c>
      <c r="F113" s="15">
        <v>411.22</v>
      </c>
      <c r="G113" s="15">
        <v>0</v>
      </c>
      <c r="H113" s="15">
        <v>411.22</v>
      </c>
      <c r="I113" s="15">
        <v>30.22</v>
      </c>
      <c r="J113" s="15">
        <v>0</v>
      </c>
      <c r="K113" s="15">
        <v>30.22</v>
      </c>
      <c r="L113" s="15">
        <v>124.08</v>
      </c>
      <c r="M113" s="15">
        <v>1613</v>
      </c>
      <c r="N113" s="15">
        <v>32.92</v>
      </c>
      <c r="O113" s="15">
        <v>428</v>
      </c>
      <c r="P113" s="15" t="s">
        <v>32</v>
      </c>
      <c r="Q113" s="15" t="s">
        <v>33</v>
      </c>
      <c r="R113" s="15" t="s">
        <v>271</v>
      </c>
      <c r="S113" s="15">
        <v>0</v>
      </c>
      <c r="T113" s="15">
        <v>81</v>
      </c>
      <c r="U113" s="15">
        <v>0</v>
      </c>
      <c r="V113" s="15" t="s">
        <v>35</v>
      </c>
      <c r="W113" s="15" t="s">
        <v>35</v>
      </c>
      <c r="X113" s="15" t="s">
        <v>35</v>
      </c>
      <c r="Y113" s="15" t="s">
        <v>35</v>
      </c>
      <c r="Z113" s="15" t="s">
        <v>35</v>
      </c>
      <c r="AA113" s="15" t="s">
        <v>35</v>
      </c>
    </row>
    <row r="114" s="15" customFormat="1" spans="1:27">
      <c r="A114" s="15" t="s">
        <v>111</v>
      </c>
      <c r="B114" s="15" t="s">
        <v>30</v>
      </c>
      <c r="C114" s="15">
        <v>22905479</v>
      </c>
      <c r="D114" s="14">
        <v>233543980242</v>
      </c>
      <c r="E114" s="17">
        <v>46159.0131481482</v>
      </c>
      <c r="F114" s="15">
        <v>166.37</v>
      </c>
      <c r="G114" s="15">
        <v>0</v>
      </c>
      <c r="H114" s="15">
        <v>166.37</v>
      </c>
      <c r="I114" s="15">
        <v>16.89</v>
      </c>
      <c r="J114" s="15">
        <v>0</v>
      </c>
      <c r="K114" s="15">
        <v>16.89</v>
      </c>
      <c r="L114" s="15">
        <v>53.85</v>
      </c>
      <c r="M114" s="15">
        <v>700</v>
      </c>
      <c r="N114" s="15">
        <v>53.85</v>
      </c>
      <c r="O114" s="15">
        <v>700</v>
      </c>
      <c r="P114" s="15" t="s">
        <v>32</v>
      </c>
      <c r="Q114" s="15" t="s">
        <v>33</v>
      </c>
      <c r="R114" s="15" t="s">
        <v>271</v>
      </c>
      <c r="S114" s="15">
        <v>0</v>
      </c>
      <c r="T114" s="15">
        <v>35</v>
      </c>
      <c r="U114" s="15">
        <v>0</v>
      </c>
      <c r="V114" s="15" t="s">
        <v>35</v>
      </c>
      <c r="W114" s="15" t="s">
        <v>35</v>
      </c>
      <c r="X114" s="15" t="s">
        <v>35</v>
      </c>
      <c r="Y114" s="15" t="s">
        <v>35</v>
      </c>
      <c r="Z114" s="15" t="s">
        <v>35</v>
      </c>
      <c r="AA114" s="15" t="s">
        <v>35</v>
      </c>
    </row>
    <row r="115" s="15" customFormat="1" spans="1:27">
      <c r="A115" s="15" t="s">
        <v>111</v>
      </c>
      <c r="B115" s="15" t="s">
        <v>30</v>
      </c>
      <c r="C115" s="15">
        <v>16774536</v>
      </c>
      <c r="D115" s="14">
        <v>233544580539</v>
      </c>
      <c r="E115" s="17">
        <v>45801.5641898148</v>
      </c>
      <c r="F115" s="15">
        <v>340.46</v>
      </c>
      <c r="G115" s="15">
        <v>6.25</v>
      </c>
      <c r="H115" s="15">
        <v>334.21</v>
      </c>
      <c r="I115" s="15">
        <v>37.58</v>
      </c>
      <c r="J115" s="15">
        <v>3.62</v>
      </c>
      <c r="K115" s="15">
        <v>33.96</v>
      </c>
      <c r="L115" s="15">
        <v>66.08</v>
      </c>
      <c r="M115" s="15">
        <v>859</v>
      </c>
      <c r="N115" s="15">
        <v>0</v>
      </c>
      <c r="O115" s="15">
        <v>0</v>
      </c>
      <c r="P115" s="15" t="s">
        <v>41</v>
      </c>
      <c r="Q115" s="15" t="s">
        <v>33</v>
      </c>
      <c r="R115" s="15" t="s">
        <v>271</v>
      </c>
      <c r="S115" s="15">
        <v>0</v>
      </c>
      <c r="T115" s="15">
        <v>43</v>
      </c>
      <c r="U115" s="15">
        <v>0</v>
      </c>
      <c r="V115" s="15" t="s">
        <v>35</v>
      </c>
      <c r="W115" s="15" t="s">
        <v>35</v>
      </c>
      <c r="X115" s="15" t="s">
        <v>35</v>
      </c>
      <c r="Y115" s="15" t="s">
        <v>35</v>
      </c>
      <c r="Z115" s="15" t="s">
        <v>35</v>
      </c>
      <c r="AA115" s="15" t="s">
        <v>35</v>
      </c>
    </row>
    <row r="116" s="15" customFormat="1" spans="1:27">
      <c r="A116" s="15" t="s">
        <v>111</v>
      </c>
      <c r="B116" s="15" t="s">
        <v>30</v>
      </c>
      <c r="C116" s="15">
        <v>18232786</v>
      </c>
      <c r="D116" s="14">
        <v>233545850627</v>
      </c>
      <c r="E116" s="17">
        <v>45898.9086226852</v>
      </c>
      <c r="F116" s="15">
        <v>3853.97</v>
      </c>
      <c r="G116" s="15">
        <v>0</v>
      </c>
      <c r="H116" s="15">
        <v>3853.97</v>
      </c>
      <c r="I116" s="15">
        <v>136.67</v>
      </c>
      <c r="J116" s="15">
        <v>0</v>
      </c>
      <c r="K116" s="15">
        <v>136.67</v>
      </c>
      <c r="L116" s="15">
        <v>576.38</v>
      </c>
      <c r="M116" s="15">
        <v>7493</v>
      </c>
      <c r="N116" s="15">
        <v>0</v>
      </c>
      <c r="O116" s="15">
        <v>0</v>
      </c>
      <c r="P116" s="15" t="s">
        <v>41</v>
      </c>
      <c r="Q116" s="15" t="s">
        <v>33</v>
      </c>
      <c r="R116" s="15" t="s">
        <v>271</v>
      </c>
      <c r="S116" s="15">
        <v>0</v>
      </c>
      <c r="T116" s="15">
        <v>375</v>
      </c>
      <c r="U116" s="15">
        <v>0</v>
      </c>
      <c r="V116" s="15" t="s">
        <v>35</v>
      </c>
      <c r="W116" s="15" t="s">
        <v>35</v>
      </c>
      <c r="X116" s="15" t="s">
        <v>35</v>
      </c>
      <c r="Y116" s="15" t="s">
        <v>35</v>
      </c>
      <c r="Z116" s="15" t="s">
        <v>35</v>
      </c>
      <c r="AA116" s="15" t="s">
        <v>35</v>
      </c>
    </row>
    <row r="117" s="15" customFormat="1" spans="1:27">
      <c r="A117" s="15" t="s">
        <v>111</v>
      </c>
      <c r="B117" s="15" t="s">
        <v>30</v>
      </c>
      <c r="C117" s="15">
        <v>21726036</v>
      </c>
      <c r="D117" s="14">
        <v>233549007527</v>
      </c>
      <c r="E117" s="17">
        <v>46086.8901041667</v>
      </c>
      <c r="F117" s="15">
        <v>421.8</v>
      </c>
      <c r="G117" s="15">
        <v>11.77</v>
      </c>
      <c r="H117" s="15">
        <v>410.03</v>
      </c>
      <c r="I117" s="15">
        <v>94.15</v>
      </c>
      <c r="J117" s="15">
        <v>6.86</v>
      </c>
      <c r="K117" s="15">
        <v>87.29</v>
      </c>
      <c r="L117" s="15">
        <v>190.38</v>
      </c>
      <c r="M117" s="15">
        <v>2475</v>
      </c>
      <c r="N117" s="15">
        <v>190.08</v>
      </c>
      <c r="O117" s="15">
        <v>2471</v>
      </c>
      <c r="P117" s="15" t="s">
        <v>41</v>
      </c>
      <c r="Q117" s="15" t="s">
        <v>33</v>
      </c>
      <c r="R117" s="15" t="s">
        <v>271</v>
      </c>
      <c r="S117" s="15">
        <v>0</v>
      </c>
      <c r="T117" s="15">
        <v>124</v>
      </c>
      <c r="U117" s="15">
        <v>0</v>
      </c>
      <c r="V117" s="15" t="s">
        <v>35</v>
      </c>
      <c r="W117" s="15" t="s">
        <v>35</v>
      </c>
      <c r="X117" s="15" t="s">
        <v>35</v>
      </c>
      <c r="Y117" s="15" t="s">
        <v>35</v>
      </c>
      <c r="Z117" s="15" t="s">
        <v>35</v>
      </c>
      <c r="AA117" s="15" t="s">
        <v>35</v>
      </c>
    </row>
    <row r="118" s="15" customFormat="1" spans="1:27">
      <c r="A118" s="15" t="s">
        <v>111</v>
      </c>
      <c r="B118" s="15" t="s">
        <v>30</v>
      </c>
      <c r="C118" s="15">
        <v>21841129</v>
      </c>
      <c r="D118" s="14">
        <v>233549189045</v>
      </c>
      <c r="E118" s="17">
        <v>46092.8548263889</v>
      </c>
      <c r="F118" s="15">
        <v>458.35</v>
      </c>
      <c r="G118" s="15">
        <v>29.79</v>
      </c>
      <c r="H118" s="15">
        <v>428.56</v>
      </c>
      <c r="I118" s="15">
        <v>8.77</v>
      </c>
      <c r="J118" s="15">
        <v>1.08</v>
      </c>
      <c r="K118" s="15">
        <v>7.69</v>
      </c>
      <c r="L118" s="15">
        <v>83.38</v>
      </c>
      <c r="M118" s="15">
        <v>1084</v>
      </c>
      <c r="N118" s="15">
        <v>83.38</v>
      </c>
      <c r="O118" s="15">
        <v>1084</v>
      </c>
      <c r="P118" s="15" t="s">
        <v>41</v>
      </c>
      <c r="Q118" s="15" t="s">
        <v>33</v>
      </c>
      <c r="R118" s="15" t="s">
        <v>271</v>
      </c>
      <c r="S118" s="15">
        <v>0</v>
      </c>
      <c r="T118" s="15">
        <v>54</v>
      </c>
      <c r="U118" s="15">
        <v>0</v>
      </c>
      <c r="V118" s="15" t="s">
        <v>35</v>
      </c>
      <c r="W118" s="15" t="s">
        <v>35</v>
      </c>
      <c r="X118" s="15" t="s">
        <v>35</v>
      </c>
      <c r="Y118" s="15" t="s">
        <v>35</v>
      </c>
      <c r="Z118" s="15" t="s">
        <v>35</v>
      </c>
      <c r="AA118" s="15" t="s">
        <v>35</v>
      </c>
    </row>
    <row r="119" s="15" customFormat="1" spans="1:27">
      <c r="A119" s="15" t="s">
        <v>111</v>
      </c>
      <c r="B119" s="15" t="s">
        <v>30</v>
      </c>
      <c r="C119" s="15">
        <v>19580816</v>
      </c>
      <c r="D119" s="14">
        <v>233549197381</v>
      </c>
      <c r="E119" s="17">
        <v>45981.1225231482</v>
      </c>
      <c r="F119" s="15">
        <v>1223.27</v>
      </c>
      <c r="G119" s="15">
        <v>0</v>
      </c>
      <c r="H119" s="15">
        <v>1223.27</v>
      </c>
      <c r="I119" s="15">
        <v>47.84</v>
      </c>
      <c r="J119" s="15">
        <v>0</v>
      </c>
      <c r="K119" s="15">
        <v>47.84</v>
      </c>
      <c r="L119" s="15">
        <v>315.54</v>
      </c>
      <c r="M119" s="15">
        <v>4102</v>
      </c>
      <c r="N119" s="15">
        <v>292.46</v>
      </c>
      <c r="O119" s="15">
        <v>3802</v>
      </c>
      <c r="P119" s="15" t="s">
        <v>32</v>
      </c>
      <c r="Q119" s="15" t="s">
        <v>33</v>
      </c>
      <c r="R119" s="15" t="s">
        <v>271</v>
      </c>
      <c r="S119" s="15">
        <v>0</v>
      </c>
      <c r="T119" s="15">
        <v>205</v>
      </c>
      <c r="U119" s="15">
        <v>0</v>
      </c>
      <c r="V119" s="15" t="s">
        <v>35</v>
      </c>
      <c r="W119" s="15" t="s">
        <v>35</v>
      </c>
      <c r="X119" s="15" t="s">
        <v>35</v>
      </c>
      <c r="Y119" s="15" t="s">
        <v>35</v>
      </c>
      <c r="Z119" s="15" t="s">
        <v>35</v>
      </c>
      <c r="AA119" s="15" t="s">
        <v>35</v>
      </c>
    </row>
    <row r="120" s="15" customFormat="1" spans="1:27">
      <c r="A120" s="15" t="s">
        <v>111</v>
      </c>
      <c r="B120" s="15" t="s">
        <v>30</v>
      </c>
      <c r="C120" s="15">
        <v>5767946</v>
      </c>
      <c r="D120" s="14">
        <v>233550675613</v>
      </c>
      <c r="E120" s="17">
        <v>44515.0503125</v>
      </c>
      <c r="F120" s="15">
        <v>2076.19</v>
      </c>
      <c r="G120" s="15">
        <v>6.15</v>
      </c>
      <c r="H120" s="15">
        <v>2070.04</v>
      </c>
      <c r="I120" s="15">
        <v>103.71</v>
      </c>
      <c r="J120" s="15">
        <v>6.15</v>
      </c>
      <c r="K120" s="15">
        <v>97.56</v>
      </c>
      <c r="L120" s="15">
        <v>161.77</v>
      </c>
      <c r="M120" s="15">
        <v>2103</v>
      </c>
      <c r="N120" s="15">
        <v>7.69</v>
      </c>
      <c r="O120" s="15">
        <v>100</v>
      </c>
      <c r="P120" s="15" t="s">
        <v>41</v>
      </c>
      <c r="Q120" s="15" t="s">
        <v>33</v>
      </c>
      <c r="R120" s="15" t="s">
        <v>271</v>
      </c>
      <c r="S120" s="15">
        <v>0</v>
      </c>
      <c r="T120" s="15">
        <v>105</v>
      </c>
      <c r="U120" s="15">
        <v>0</v>
      </c>
      <c r="V120" s="15" t="s">
        <v>35</v>
      </c>
      <c r="W120" s="15" t="s">
        <v>35</v>
      </c>
      <c r="X120" s="15" t="s">
        <v>35</v>
      </c>
      <c r="Y120" s="15" t="s">
        <v>35</v>
      </c>
      <c r="Z120" s="15" t="s">
        <v>35</v>
      </c>
      <c r="AA120" s="15" t="s">
        <v>35</v>
      </c>
    </row>
    <row r="121" s="15" customFormat="1" spans="1:27">
      <c r="A121" s="15" t="s">
        <v>111</v>
      </c>
      <c r="B121" s="15" t="s">
        <v>30</v>
      </c>
      <c r="C121" s="15">
        <v>22643556</v>
      </c>
      <c r="D121" s="14">
        <v>233551273169</v>
      </c>
      <c r="E121" s="17">
        <v>46140.8599768518</v>
      </c>
      <c r="F121" s="15">
        <v>3846.87</v>
      </c>
      <c r="G121" s="15">
        <v>0</v>
      </c>
      <c r="H121" s="15">
        <v>3846.87</v>
      </c>
      <c r="I121" s="15">
        <v>234.54</v>
      </c>
      <c r="J121" s="15">
        <v>0</v>
      </c>
      <c r="K121" s="15">
        <v>234.54</v>
      </c>
      <c r="L121" s="15">
        <v>369.08</v>
      </c>
      <c r="M121" s="15">
        <v>4798</v>
      </c>
      <c r="N121" s="15">
        <v>369.08</v>
      </c>
      <c r="O121" s="15">
        <v>4798</v>
      </c>
      <c r="P121" s="15" t="s">
        <v>41</v>
      </c>
      <c r="Q121" s="15" t="s">
        <v>33</v>
      </c>
      <c r="R121" s="15" t="s">
        <v>271</v>
      </c>
      <c r="S121" s="15">
        <v>0</v>
      </c>
      <c r="T121" s="15">
        <v>240</v>
      </c>
      <c r="U121" s="15">
        <v>0</v>
      </c>
      <c r="V121" s="15" t="s">
        <v>35</v>
      </c>
      <c r="W121" s="15" t="s">
        <v>35</v>
      </c>
      <c r="X121" s="15" t="s">
        <v>35</v>
      </c>
      <c r="Y121" s="15" t="s">
        <v>35</v>
      </c>
      <c r="Z121" s="15" t="s">
        <v>35</v>
      </c>
      <c r="AA121" s="15" t="s">
        <v>35</v>
      </c>
    </row>
    <row r="122" s="15" customFormat="1" spans="1:27">
      <c r="A122" s="15" t="s">
        <v>111</v>
      </c>
      <c r="B122" s="15" t="s">
        <v>30</v>
      </c>
      <c r="C122" s="15">
        <v>13060248</v>
      </c>
      <c r="D122" s="14">
        <v>233551336950</v>
      </c>
      <c r="E122" s="17">
        <v>45437.9634953704</v>
      </c>
      <c r="F122" s="15">
        <v>9660.21</v>
      </c>
      <c r="G122" s="15">
        <v>423.02</v>
      </c>
      <c r="H122" s="15">
        <v>9237.19</v>
      </c>
      <c r="I122" s="15">
        <v>726.27</v>
      </c>
      <c r="J122" s="15">
        <v>142.83</v>
      </c>
      <c r="K122" s="15">
        <v>583.43</v>
      </c>
      <c r="L122" s="15">
        <v>2262.31</v>
      </c>
      <c r="M122" s="15">
        <v>29410</v>
      </c>
      <c r="N122" s="15">
        <v>141.54</v>
      </c>
      <c r="O122" s="15">
        <v>1840</v>
      </c>
      <c r="P122" s="15" t="s">
        <v>32</v>
      </c>
      <c r="Q122" s="15" t="s">
        <v>42</v>
      </c>
      <c r="R122" s="15" t="s">
        <v>271</v>
      </c>
      <c r="S122" s="15">
        <v>0</v>
      </c>
      <c r="T122" s="15">
        <v>1470</v>
      </c>
      <c r="U122" s="15">
        <v>0</v>
      </c>
      <c r="V122" s="15" t="s">
        <v>35</v>
      </c>
      <c r="W122" s="15" t="s">
        <v>35</v>
      </c>
      <c r="X122" s="15" t="s">
        <v>35</v>
      </c>
      <c r="Y122" s="15" t="s">
        <v>35</v>
      </c>
      <c r="Z122" s="15" t="s">
        <v>35</v>
      </c>
      <c r="AA122" s="15" t="s">
        <v>35</v>
      </c>
    </row>
    <row r="123" s="15" customFormat="1" spans="1:27">
      <c r="A123" s="15" t="s">
        <v>111</v>
      </c>
      <c r="B123" s="15" t="s">
        <v>30</v>
      </c>
      <c r="C123" s="15">
        <v>19573246</v>
      </c>
      <c r="D123" s="14">
        <v>233552012755</v>
      </c>
      <c r="E123" s="17">
        <v>45980.6849305556</v>
      </c>
      <c r="F123" s="15">
        <v>15430.04</v>
      </c>
      <c r="G123" s="15">
        <v>197.64</v>
      </c>
      <c r="H123" s="15">
        <v>15232.4</v>
      </c>
      <c r="I123" s="15">
        <v>245.85</v>
      </c>
      <c r="J123" s="15">
        <v>155.1</v>
      </c>
      <c r="K123" s="15">
        <v>90.75</v>
      </c>
      <c r="L123" s="15">
        <v>2683.46</v>
      </c>
      <c r="M123" s="15">
        <v>34885</v>
      </c>
      <c r="N123" s="15">
        <v>2253.62</v>
      </c>
      <c r="O123" s="15">
        <v>29297</v>
      </c>
      <c r="P123" s="15" t="s">
        <v>41</v>
      </c>
      <c r="Q123" s="15" t="s">
        <v>42</v>
      </c>
      <c r="R123" s="15" t="s">
        <v>271</v>
      </c>
      <c r="S123" s="15">
        <v>0</v>
      </c>
      <c r="T123" s="15">
        <v>1744</v>
      </c>
      <c r="U123" s="15">
        <v>0</v>
      </c>
      <c r="V123" s="15" t="s">
        <v>35</v>
      </c>
      <c r="W123" s="15" t="s">
        <v>35</v>
      </c>
      <c r="X123" s="15" t="s">
        <v>35</v>
      </c>
      <c r="Y123" s="15" t="s">
        <v>35</v>
      </c>
      <c r="Z123" s="15" t="s">
        <v>35</v>
      </c>
      <c r="AA123" s="15" t="s">
        <v>35</v>
      </c>
    </row>
    <row r="124" s="15" customFormat="1" spans="1:27">
      <c r="A124" s="15" t="s">
        <v>111</v>
      </c>
      <c r="B124" s="15" t="s">
        <v>30</v>
      </c>
      <c r="C124" s="15">
        <v>10922988</v>
      </c>
      <c r="D124" s="14">
        <v>233552529816</v>
      </c>
      <c r="E124" s="17">
        <v>45209.7677083333</v>
      </c>
      <c r="F124" s="15">
        <v>34863.24</v>
      </c>
      <c r="G124" s="15">
        <v>0.08</v>
      </c>
      <c r="H124" s="15">
        <v>34863.16</v>
      </c>
      <c r="I124" s="15">
        <v>1287.42</v>
      </c>
      <c r="J124" s="15">
        <v>0.08</v>
      </c>
      <c r="K124" s="15">
        <v>1287.35</v>
      </c>
      <c r="L124" s="15">
        <v>5824.15</v>
      </c>
      <c r="M124" s="15">
        <v>75714</v>
      </c>
      <c r="N124" s="15">
        <v>350.54</v>
      </c>
      <c r="O124" s="15">
        <v>4557</v>
      </c>
      <c r="P124" s="15" t="s">
        <v>32</v>
      </c>
      <c r="Q124" s="15" t="s">
        <v>42</v>
      </c>
      <c r="R124" s="15" t="s">
        <v>271</v>
      </c>
      <c r="S124" s="15">
        <v>0</v>
      </c>
      <c r="T124" s="15">
        <v>3786</v>
      </c>
      <c r="U124" s="15">
        <v>1</v>
      </c>
      <c r="V124" s="15">
        <v>1</v>
      </c>
      <c r="W124" s="15" t="s">
        <v>35</v>
      </c>
      <c r="X124" s="15" t="s">
        <v>35</v>
      </c>
      <c r="Y124" s="15" t="s">
        <v>35</v>
      </c>
      <c r="Z124" s="15" t="s">
        <v>35</v>
      </c>
      <c r="AA124" s="15" t="s">
        <v>35</v>
      </c>
    </row>
    <row r="125" s="15" customFormat="1" spans="1:27">
      <c r="A125" s="15" t="s">
        <v>111</v>
      </c>
      <c r="B125" s="15" t="s">
        <v>30</v>
      </c>
      <c r="C125" s="15">
        <v>22858598</v>
      </c>
      <c r="D125" s="14">
        <v>233553237753</v>
      </c>
      <c r="E125" s="17">
        <v>46156.4830787037</v>
      </c>
      <c r="F125" s="15">
        <v>506.18</v>
      </c>
      <c r="G125" s="15">
        <v>0</v>
      </c>
      <c r="H125" s="15">
        <v>506.18</v>
      </c>
      <c r="I125" s="15">
        <v>-47.15</v>
      </c>
      <c r="J125" s="15">
        <v>0</v>
      </c>
      <c r="K125" s="15">
        <v>-47.15</v>
      </c>
      <c r="L125" s="15">
        <v>245</v>
      </c>
      <c r="M125" s="15">
        <v>3185</v>
      </c>
      <c r="N125" s="15">
        <v>245</v>
      </c>
      <c r="O125" s="15">
        <v>3185</v>
      </c>
      <c r="P125" s="15" t="s">
        <v>32</v>
      </c>
      <c r="Q125" s="15" t="s">
        <v>33</v>
      </c>
      <c r="R125" s="15" t="s">
        <v>271</v>
      </c>
      <c r="S125" s="15">
        <v>0</v>
      </c>
      <c r="T125" s="15">
        <v>159</v>
      </c>
      <c r="U125" s="15">
        <v>0</v>
      </c>
      <c r="V125" s="15" t="s">
        <v>35</v>
      </c>
      <c r="W125" s="15" t="s">
        <v>35</v>
      </c>
      <c r="X125" s="15" t="s">
        <v>35</v>
      </c>
      <c r="Y125" s="15" t="s">
        <v>35</v>
      </c>
      <c r="Z125" s="15" t="s">
        <v>35</v>
      </c>
      <c r="AA125" s="15" t="s">
        <v>35</v>
      </c>
    </row>
    <row r="126" s="15" customFormat="1" spans="1:27">
      <c r="A126" s="15" t="s">
        <v>111</v>
      </c>
      <c r="B126" s="15" t="s">
        <v>30</v>
      </c>
      <c r="C126" s="15">
        <v>22071617</v>
      </c>
      <c r="D126" s="14">
        <v>233558367018</v>
      </c>
      <c r="E126" s="17">
        <v>46105.965462963</v>
      </c>
      <c r="F126" s="15">
        <v>1872.48</v>
      </c>
      <c r="G126" s="15">
        <v>0</v>
      </c>
      <c r="H126" s="15">
        <v>1872.48</v>
      </c>
      <c r="I126" s="15">
        <v>70.43</v>
      </c>
      <c r="J126" s="15">
        <v>0</v>
      </c>
      <c r="K126" s="15">
        <v>70.43</v>
      </c>
      <c r="L126" s="15">
        <v>590.46</v>
      </c>
      <c r="M126" s="15">
        <v>7676</v>
      </c>
      <c r="N126" s="15">
        <v>590.46</v>
      </c>
      <c r="O126" s="15">
        <v>7676</v>
      </c>
      <c r="P126" s="15" t="s">
        <v>41</v>
      </c>
      <c r="Q126" s="15" t="s">
        <v>33</v>
      </c>
      <c r="R126" s="15" t="s">
        <v>271</v>
      </c>
      <c r="S126" s="15">
        <v>0</v>
      </c>
      <c r="T126" s="15">
        <v>384</v>
      </c>
      <c r="U126" s="15">
        <v>0</v>
      </c>
      <c r="V126" s="15" t="s">
        <v>35</v>
      </c>
      <c r="W126" s="15" t="s">
        <v>35</v>
      </c>
      <c r="X126" s="15" t="s">
        <v>35</v>
      </c>
      <c r="Y126" s="15" t="s">
        <v>35</v>
      </c>
      <c r="Z126" s="15" t="s">
        <v>35</v>
      </c>
      <c r="AA126" s="15" t="s">
        <v>35</v>
      </c>
    </row>
    <row r="127" s="15" customFormat="1" spans="1:27">
      <c r="A127" s="15" t="s">
        <v>111</v>
      </c>
      <c r="B127" s="15" t="s">
        <v>30</v>
      </c>
      <c r="C127" s="15">
        <v>18831246</v>
      </c>
      <c r="D127" s="14">
        <v>233558839899</v>
      </c>
      <c r="E127" s="17">
        <v>45936.9238541667</v>
      </c>
      <c r="F127" s="15">
        <v>551.12</v>
      </c>
      <c r="G127" s="15">
        <v>29.92</v>
      </c>
      <c r="H127" s="15">
        <v>521.2</v>
      </c>
      <c r="I127" s="15">
        <v>55.21</v>
      </c>
      <c r="J127" s="15">
        <v>23.24</v>
      </c>
      <c r="K127" s="15">
        <v>31.98</v>
      </c>
      <c r="L127" s="15">
        <v>101.69</v>
      </c>
      <c r="M127" s="15">
        <v>1322</v>
      </c>
      <c r="N127" s="15">
        <v>48.38</v>
      </c>
      <c r="O127" s="15">
        <v>629</v>
      </c>
      <c r="P127" s="15" t="s">
        <v>41</v>
      </c>
      <c r="Q127" s="15" t="s">
        <v>33</v>
      </c>
      <c r="R127" s="15" t="s">
        <v>271</v>
      </c>
      <c r="S127" s="15">
        <v>0</v>
      </c>
      <c r="T127" s="15">
        <v>66</v>
      </c>
      <c r="U127" s="15">
        <v>0</v>
      </c>
      <c r="V127" s="15" t="s">
        <v>35</v>
      </c>
      <c r="W127" s="15" t="s">
        <v>35</v>
      </c>
      <c r="X127" s="15" t="s">
        <v>35</v>
      </c>
      <c r="Y127" s="15" t="s">
        <v>35</v>
      </c>
      <c r="Z127" s="15" t="s">
        <v>35</v>
      </c>
      <c r="AA127" s="15" t="s">
        <v>35</v>
      </c>
    </row>
    <row r="128" s="15" customFormat="1" spans="1:27">
      <c r="A128" s="15" t="s">
        <v>111</v>
      </c>
      <c r="B128" s="15" t="s">
        <v>30</v>
      </c>
      <c r="C128" s="15">
        <v>22540757</v>
      </c>
      <c r="D128" s="14">
        <v>233592227720</v>
      </c>
      <c r="E128" s="17">
        <v>46134.0393055555</v>
      </c>
      <c r="F128" s="15">
        <v>782.16</v>
      </c>
      <c r="G128" s="15">
        <v>7.7</v>
      </c>
      <c r="H128" s="15">
        <v>774.46</v>
      </c>
      <c r="I128" s="15">
        <v>2.92</v>
      </c>
      <c r="J128" s="15">
        <v>7.7</v>
      </c>
      <c r="K128" s="15">
        <v>-4.78</v>
      </c>
      <c r="L128" s="15">
        <v>120.77</v>
      </c>
      <c r="M128" s="15">
        <v>1570</v>
      </c>
      <c r="N128" s="15">
        <v>120.77</v>
      </c>
      <c r="O128" s="15">
        <v>1570</v>
      </c>
      <c r="P128" s="15" t="s">
        <v>41</v>
      </c>
      <c r="Q128" s="15" t="s">
        <v>33</v>
      </c>
      <c r="R128" s="15" t="s">
        <v>271</v>
      </c>
      <c r="S128" s="15">
        <v>0</v>
      </c>
      <c r="T128" s="15">
        <v>78</v>
      </c>
      <c r="U128" s="15">
        <v>0</v>
      </c>
      <c r="V128" s="15" t="s">
        <v>35</v>
      </c>
      <c r="W128" s="15" t="s">
        <v>35</v>
      </c>
      <c r="X128" s="15" t="s">
        <v>35</v>
      </c>
      <c r="Y128" s="15" t="s">
        <v>35</v>
      </c>
      <c r="Z128" s="15" t="s">
        <v>35</v>
      </c>
      <c r="AA128" s="15" t="s">
        <v>35</v>
      </c>
    </row>
    <row r="129" s="15" customFormat="1" spans="1:27">
      <c r="A129" s="15" t="s">
        <v>111</v>
      </c>
      <c r="B129" s="15" t="s">
        <v>30</v>
      </c>
      <c r="C129" s="15">
        <v>21194556</v>
      </c>
      <c r="D129" s="14">
        <v>233592789729</v>
      </c>
      <c r="E129" s="17">
        <v>46060.4723032407</v>
      </c>
      <c r="F129" s="15">
        <v>23888.75</v>
      </c>
      <c r="G129" s="15">
        <v>3.08</v>
      </c>
      <c r="H129" s="15">
        <v>23885.67</v>
      </c>
      <c r="I129" s="15">
        <v>1324.95</v>
      </c>
      <c r="J129" s="15">
        <v>3.08</v>
      </c>
      <c r="K129" s="15">
        <v>1321.88</v>
      </c>
      <c r="L129" s="15">
        <v>4393.08</v>
      </c>
      <c r="M129" s="15">
        <v>57110</v>
      </c>
      <c r="N129" s="15">
        <v>1298.85</v>
      </c>
      <c r="O129" s="15">
        <v>16885</v>
      </c>
      <c r="P129" s="15" t="s">
        <v>41</v>
      </c>
      <c r="Q129" s="15" t="s">
        <v>42</v>
      </c>
      <c r="R129" s="15" t="s">
        <v>271</v>
      </c>
      <c r="S129" s="15">
        <v>0</v>
      </c>
      <c r="T129" s="15">
        <v>2856</v>
      </c>
      <c r="U129" s="15">
        <v>1</v>
      </c>
      <c r="V129" s="15">
        <v>1</v>
      </c>
      <c r="W129" s="15" t="s">
        <v>35</v>
      </c>
      <c r="X129" s="15" t="s">
        <v>35</v>
      </c>
      <c r="Y129" s="15" t="s">
        <v>35</v>
      </c>
      <c r="Z129" s="15" t="s">
        <v>35</v>
      </c>
      <c r="AA129" s="15" t="s">
        <v>35</v>
      </c>
    </row>
    <row r="130" s="15" customFormat="1" spans="1:27">
      <c r="A130" s="15" t="s">
        <v>111</v>
      </c>
      <c r="B130" s="15" t="s">
        <v>30</v>
      </c>
      <c r="C130" s="15">
        <v>22057738</v>
      </c>
      <c r="D130" s="14">
        <v>233596805286</v>
      </c>
      <c r="E130" s="17">
        <v>46105.3122800926</v>
      </c>
      <c r="F130" s="15">
        <v>208.55</v>
      </c>
      <c r="G130" s="15">
        <v>0</v>
      </c>
      <c r="H130" s="15">
        <v>208.55</v>
      </c>
      <c r="I130" s="15">
        <v>43.13</v>
      </c>
      <c r="J130" s="15">
        <v>0</v>
      </c>
      <c r="K130" s="15">
        <v>43.13</v>
      </c>
      <c r="L130" s="15">
        <v>69.31</v>
      </c>
      <c r="M130" s="15">
        <v>901</v>
      </c>
      <c r="N130" s="15">
        <v>69.31</v>
      </c>
      <c r="O130" s="15">
        <v>901</v>
      </c>
      <c r="P130" s="15" t="s">
        <v>32</v>
      </c>
      <c r="Q130" s="15" t="s">
        <v>33</v>
      </c>
      <c r="R130" s="15" t="s">
        <v>271</v>
      </c>
      <c r="S130" s="15">
        <v>0</v>
      </c>
      <c r="T130" s="15">
        <v>45</v>
      </c>
      <c r="U130" s="15">
        <v>0</v>
      </c>
      <c r="V130" s="15" t="s">
        <v>35</v>
      </c>
      <c r="W130" s="15" t="s">
        <v>35</v>
      </c>
      <c r="X130" s="15" t="s">
        <v>35</v>
      </c>
      <c r="Y130" s="15" t="s">
        <v>35</v>
      </c>
      <c r="Z130" s="15" t="s">
        <v>35</v>
      </c>
      <c r="AA130" s="15" t="s">
        <v>35</v>
      </c>
    </row>
    <row r="131" s="15" customFormat="1" spans="1:27">
      <c r="A131" s="15" t="s">
        <v>111</v>
      </c>
      <c r="B131" s="15" t="s">
        <v>30</v>
      </c>
      <c r="C131" s="15">
        <v>18578626</v>
      </c>
      <c r="D131" s="14">
        <v>233599292401</v>
      </c>
      <c r="E131" s="17">
        <v>45920.9991782407</v>
      </c>
      <c r="F131" s="15">
        <v>357.9</v>
      </c>
      <c r="G131" s="15">
        <v>0</v>
      </c>
      <c r="H131" s="15">
        <v>357.9</v>
      </c>
      <c r="I131" s="15">
        <v>57.98</v>
      </c>
      <c r="J131" s="15">
        <v>0</v>
      </c>
      <c r="K131" s="15">
        <v>57.98</v>
      </c>
      <c r="L131" s="15">
        <v>113</v>
      </c>
      <c r="M131" s="15">
        <v>1469</v>
      </c>
      <c r="N131" s="15">
        <v>39.77</v>
      </c>
      <c r="O131" s="15">
        <v>517</v>
      </c>
      <c r="P131" s="15" t="s">
        <v>32</v>
      </c>
      <c r="Q131" s="15" t="s">
        <v>33</v>
      </c>
      <c r="R131" s="15" t="s">
        <v>271</v>
      </c>
      <c r="S131" s="15">
        <v>0</v>
      </c>
      <c r="T131" s="15">
        <v>73</v>
      </c>
      <c r="U131" s="15">
        <v>0</v>
      </c>
      <c r="V131" s="15" t="s">
        <v>35</v>
      </c>
      <c r="W131" s="15" t="s">
        <v>35</v>
      </c>
      <c r="X131" s="15" t="s">
        <v>35</v>
      </c>
      <c r="Y131" s="15" t="s">
        <v>35</v>
      </c>
      <c r="Z131" s="15" t="s">
        <v>35</v>
      </c>
      <c r="AA131" s="15" t="s">
        <v>35</v>
      </c>
    </row>
    <row r="132" s="3" customFormat="1" spans="1:27">
      <c r="A132" s="3" t="s">
        <v>112</v>
      </c>
      <c r="B132" s="3" t="s">
        <v>30</v>
      </c>
      <c r="C132" s="3">
        <v>22246937</v>
      </c>
      <c r="D132" s="13" t="s">
        <v>361</v>
      </c>
      <c r="E132" s="16">
        <v>46116.5893055556</v>
      </c>
      <c r="F132" s="3">
        <v>127.74</v>
      </c>
      <c r="G132" s="3">
        <v>0.08</v>
      </c>
      <c r="H132" s="3">
        <v>127.66</v>
      </c>
      <c r="I132" s="3">
        <v>30.23</v>
      </c>
      <c r="J132" s="3">
        <v>-0.06</v>
      </c>
      <c r="K132" s="3">
        <v>30.29</v>
      </c>
      <c r="L132" s="3">
        <v>67.54</v>
      </c>
      <c r="M132" s="3">
        <v>878</v>
      </c>
      <c r="N132" s="3">
        <v>67.54</v>
      </c>
      <c r="O132" s="3">
        <v>878</v>
      </c>
      <c r="P132" s="3" t="s">
        <v>32</v>
      </c>
      <c r="Q132" s="3" t="s">
        <v>33</v>
      </c>
      <c r="R132" s="3" t="s">
        <v>271</v>
      </c>
      <c r="S132" s="3">
        <v>0</v>
      </c>
      <c r="T132" s="3">
        <v>44</v>
      </c>
      <c r="U132" s="3">
        <v>0</v>
      </c>
      <c r="V132" s="3" t="s">
        <v>35</v>
      </c>
      <c r="W132" s="3" t="s">
        <v>35</v>
      </c>
      <c r="X132" s="3" t="s">
        <v>35</v>
      </c>
      <c r="Y132" s="3" t="s">
        <v>35</v>
      </c>
      <c r="Z132" s="3" t="s">
        <v>35</v>
      </c>
      <c r="AA132" s="3" t="s">
        <v>35</v>
      </c>
    </row>
    <row r="133" s="3" customFormat="1" spans="1:27">
      <c r="A133" s="3" t="s">
        <v>112</v>
      </c>
      <c r="B133" s="3" t="s">
        <v>30</v>
      </c>
      <c r="C133" s="3">
        <v>18173108</v>
      </c>
      <c r="D133" s="13" t="s">
        <v>362</v>
      </c>
      <c r="E133" s="16">
        <v>45896.8033217593</v>
      </c>
      <c r="F133" s="3">
        <v>154.65</v>
      </c>
      <c r="G133" s="3">
        <v>44.62</v>
      </c>
      <c r="H133" s="3">
        <v>110.03</v>
      </c>
      <c r="I133" s="3">
        <v>-26.34</v>
      </c>
      <c r="J133" s="3">
        <v>-30.53</v>
      </c>
      <c r="K133" s="3">
        <v>4.19</v>
      </c>
      <c r="L133" s="3">
        <v>76.62</v>
      </c>
      <c r="M133" s="3">
        <v>996</v>
      </c>
      <c r="N133" s="3">
        <v>20.54</v>
      </c>
      <c r="O133" s="3">
        <v>267</v>
      </c>
      <c r="P133" s="3" t="s">
        <v>61</v>
      </c>
      <c r="Q133" s="3" t="s">
        <v>33</v>
      </c>
      <c r="R133" s="3" t="s">
        <v>271</v>
      </c>
      <c r="S133" s="3">
        <v>120</v>
      </c>
      <c r="T133" s="3">
        <v>25</v>
      </c>
      <c r="U133" s="3">
        <v>0</v>
      </c>
      <c r="V133" s="3" t="s">
        <v>35</v>
      </c>
      <c r="W133" s="3" t="s">
        <v>35</v>
      </c>
      <c r="X133" s="3" t="s">
        <v>35</v>
      </c>
      <c r="Y133" s="3" t="s">
        <v>35</v>
      </c>
      <c r="Z133" s="3" t="s">
        <v>35</v>
      </c>
      <c r="AA133" s="3" t="s">
        <v>35</v>
      </c>
    </row>
    <row r="134" s="3" customFormat="1" spans="1:27">
      <c r="A134" s="3" t="s">
        <v>112</v>
      </c>
      <c r="B134" s="3" t="s">
        <v>30</v>
      </c>
      <c r="C134" s="3">
        <v>22431226</v>
      </c>
      <c r="D134" s="13" t="s">
        <v>363</v>
      </c>
      <c r="E134" s="16">
        <v>46126.9001736111</v>
      </c>
      <c r="F134" s="3">
        <v>382.38</v>
      </c>
      <c r="G134" s="3">
        <v>0</v>
      </c>
      <c r="H134" s="3">
        <v>382.38</v>
      </c>
      <c r="I134" s="3">
        <v>-82.78</v>
      </c>
      <c r="J134" s="3">
        <v>0</v>
      </c>
      <c r="K134" s="3">
        <v>-82.78</v>
      </c>
      <c r="L134" s="3">
        <v>113.38</v>
      </c>
      <c r="M134" s="3">
        <v>1474</v>
      </c>
      <c r="N134" s="3">
        <v>113.38</v>
      </c>
      <c r="O134" s="3">
        <v>1474</v>
      </c>
      <c r="P134" s="3" t="s">
        <v>32</v>
      </c>
      <c r="Q134" s="3" t="s">
        <v>33</v>
      </c>
      <c r="R134" s="3" t="s">
        <v>271</v>
      </c>
      <c r="S134" s="3">
        <v>0</v>
      </c>
      <c r="T134" s="3">
        <v>74</v>
      </c>
      <c r="U134" s="3">
        <v>0</v>
      </c>
      <c r="V134" s="3" t="s">
        <v>35</v>
      </c>
      <c r="W134" s="3" t="s">
        <v>35</v>
      </c>
      <c r="X134" s="3" t="s">
        <v>35</v>
      </c>
      <c r="Y134" s="3" t="s">
        <v>35</v>
      </c>
      <c r="Z134" s="3" t="s">
        <v>35</v>
      </c>
      <c r="AA134" s="3" t="s">
        <v>35</v>
      </c>
    </row>
    <row r="135" s="3" customFormat="1" spans="1:27">
      <c r="A135" s="3" t="s">
        <v>112</v>
      </c>
      <c r="B135" s="3" t="s">
        <v>30</v>
      </c>
      <c r="C135" s="3">
        <v>3927517</v>
      </c>
      <c r="D135" s="13" t="s">
        <v>364</v>
      </c>
      <c r="E135" s="16">
        <v>44280.3557060185</v>
      </c>
      <c r="F135" s="3">
        <v>533.04</v>
      </c>
      <c r="G135" s="3">
        <v>3.83</v>
      </c>
      <c r="H135" s="3">
        <v>529.21</v>
      </c>
      <c r="I135" s="3">
        <v>-84.83</v>
      </c>
      <c r="J135" s="3">
        <v>3.83</v>
      </c>
      <c r="K135" s="3">
        <v>-88.66</v>
      </c>
      <c r="L135" s="3">
        <v>98.38</v>
      </c>
      <c r="M135" s="3">
        <v>1279</v>
      </c>
      <c r="N135" s="3">
        <v>1.54</v>
      </c>
      <c r="O135" s="3">
        <v>20</v>
      </c>
      <c r="P135" s="3" t="s">
        <v>41</v>
      </c>
      <c r="Q135" s="3" t="s">
        <v>33</v>
      </c>
      <c r="R135" s="3" t="s">
        <v>271</v>
      </c>
      <c r="S135" s="3">
        <v>0</v>
      </c>
      <c r="T135" s="3">
        <v>64</v>
      </c>
      <c r="U135" s="3">
        <v>0</v>
      </c>
      <c r="V135" s="3" t="s">
        <v>35</v>
      </c>
      <c r="W135" s="3" t="s">
        <v>35</v>
      </c>
      <c r="X135" s="3" t="s">
        <v>35</v>
      </c>
      <c r="Y135" s="3" t="s">
        <v>35</v>
      </c>
      <c r="Z135" s="3" t="s">
        <v>35</v>
      </c>
      <c r="AA135" s="3" t="s">
        <v>35</v>
      </c>
    </row>
    <row r="136" s="3" customFormat="1" spans="1:27">
      <c r="A136" s="3" t="s">
        <v>112</v>
      </c>
      <c r="B136" s="3" t="s">
        <v>30</v>
      </c>
      <c r="C136" s="3">
        <v>15234739</v>
      </c>
      <c r="D136" s="13" t="s">
        <v>365</v>
      </c>
      <c r="E136" s="16">
        <v>45655.8555902778</v>
      </c>
      <c r="F136" s="3">
        <v>1004.08</v>
      </c>
      <c r="G136" s="3">
        <v>0</v>
      </c>
      <c r="H136" s="3">
        <v>1004.08</v>
      </c>
      <c r="I136" s="3">
        <v>-40.63</v>
      </c>
      <c r="J136" s="3">
        <v>0</v>
      </c>
      <c r="K136" s="3">
        <v>-40.63</v>
      </c>
      <c r="L136" s="3">
        <v>157.77</v>
      </c>
      <c r="M136" s="3">
        <v>2051</v>
      </c>
      <c r="N136" s="3">
        <v>157.23</v>
      </c>
      <c r="O136" s="3">
        <v>2044</v>
      </c>
      <c r="P136" s="3" t="s">
        <v>32</v>
      </c>
      <c r="Q136" s="3" t="s">
        <v>33</v>
      </c>
      <c r="R136" s="3" t="s">
        <v>271</v>
      </c>
      <c r="S136" s="3">
        <v>0</v>
      </c>
      <c r="T136" s="3">
        <v>103</v>
      </c>
      <c r="U136" s="3">
        <v>0</v>
      </c>
      <c r="V136" s="3" t="s">
        <v>35</v>
      </c>
      <c r="W136" s="3" t="s">
        <v>35</v>
      </c>
      <c r="X136" s="3" t="s">
        <v>35</v>
      </c>
      <c r="Y136" s="3" t="s">
        <v>35</v>
      </c>
      <c r="Z136" s="3" t="s">
        <v>35</v>
      </c>
      <c r="AA136" s="3" t="s">
        <v>35</v>
      </c>
    </row>
    <row r="137" s="3" customFormat="1" spans="1:27">
      <c r="A137" s="3" t="s">
        <v>112</v>
      </c>
      <c r="B137" s="3" t="s">
        <v>30</v>
      </c>
      <c r="C137" s="3">
        <v>8616766</v>
      </c>
      <c r="D137" s="13" t="s">
        <v>366</v>
      </c>
      <c r="E137" s="16">
        <v>44804.556099537</v>
      </c>
      <c r="F137" s="3">
        <v>1108.34</v>
      </c>
      <c r="G137" s="3">
        <v>1.46</v>
      </c>
      <c r="H137" s="3">
        <v>1106.88</v>
      </c>
      <c r="I137" s="3">
        <v>30.68</v>
      </c>
      <c r="J137" s="3">
        <v>1.46</v>
      </c>
      <c r="K137" s="3">
        <v>29.22</v>
      </c>
      <c r="L137" s="3">
        <v>75.69</v>
      </c>
      <c r="M137" s="3">
        <v>984</v>
      </c>
      <c r="N137" s="3">
        <v>17.54</v>
      </c>
      <c r="O137" s="3">
        <v>228</v>
      </c>
      <c r="P137" s="3" t="s">
        <v>41</v>
      </c>
      <c r="Q137" s="3" t="s">
        <v>33</v>
      </c>
      <c r="R137" s="3" t="s">
        <v>271</v>
      </c>
      <c r="S137" s="3">
        <v>0</v>
      </c>
      <c r="T137" s="3">
        <v>49</v>
      </c>
      <c r="U137" s="3">
        <v>0</v>
      </c>
      <c r="V137" s="3" t="s">
        <v>35</v>
      </c>
      <c r="W137" s="3" t="s">
        <v>35</v>
      </c>
      <c r="X137" s="3" t="s">
        <v>35</v>
      </c>
      <c r="Y137" s="3" t="s">
        <v>35</v>
      </c>
      <c r="Z137" s="3" t="s">
        <v>35</v>
      </c>
      <c r="AA137" s="3" t="s">
        <v>35</v>
      </c>
    </row>
    <row r="138" s="3" customFormat="1" spans="1:27">
      <c r="A138" s="3" t="s">
        <v>112</v>
      </c>
      <c r="B138" s="3" t="s">
        <v>30</v>
      </c>
      <c r="C138" s="3">
        <v>17065379</v>
      </c>
      <c r="D138" s="13" t="s">
        <v>367</v>
      </c>
      <c r="E138" s="16">
        <v>45827.8259722222</v>
      </c>
      <c r="F138" s="3">
        <v>1433</v>
      </c>
      <c r="G138" s="3">
        <v>0.92</v>
      </c>
      <c r="H138" s="3">
        <v>1432.08</v>
      </c>
      <c r="I138" s="3">
        <v>176.92</v>
      </c>
      <c r="J138" s="3">
        <v>0.92</v>
      </c>
      <c r="K138" s="3">
        <v>176</v>
      </c>
      <c r="L138" s="3">
        <v>247.69</v>
      </c>
      <c r="M138" s="3">
        <v>3220</v>
      </c>
      <c r="N138" s="3">
        <v>123.85</v>
      </c>
      <c r="O138" s="3">
        <v>1610</v>
      </c>
      <c r="P138" s="3" t="s">
        <v>41</v>
      </c>
      <c r="Q138" s="3" t="s">
        <v>33</v>
      </c>
      <c r="R138" s="3" t="s">
        <v>271</v>
      </c>
      <c r="S138" s="3">
        <v>0</v>
      </c>
      <c r="T138" s="3">
        <v>161</v>
      </c>
      <c r="U138" s="3">
        <v>0</v>
      </c>
      <c r="V138" s="3" t="s">
        <v>35</v>
      </c>
      <c r="W138" s="3" t="s">
        <v>35</v>
      </c>
      <c r="X138" s="3" t="s">
        <v>35</v>
      </c>
      <c r="Y138" s="3" t="s">
        <v>35</v>
      </c>
      <c r="Z138" s="3" t="s">
        <v>35</v>
      </c>
      <c r="AA138" s="3" t="s">
        <v>35</v>
      </c>
    </row>
    <row r="139" s="3" customFormat="1" spans="1:27">
      <c r="A139" s="3" t="s">
        <v>112</v>
      </c>
      <c r="B139" s="3" t="s">
        <v>30</v>
      </c>
      <c r="C139" s="3">
        <v>7224256</v>
      </c>
      <c r="D139" s="13" t="s">
        <v>368</v>
      </c>
      <c r="E139" s="16">
        <v>44659.2430092593</v>
      </c>
      <c r="F139" s="3">
        <v>1824.65</v>
      </c>
      <c r="G139" s="3">
        <v>0</v>
      </c>
      <c r="H139" s="3">
        <v>1824.65</v>
      </c>
      <c r="I139" s="3">
        <v>62.51</v>
      </c>
      <c r="J139" s="3">
        <v>0</v>
      </c>
      <c r="K139" s="3">
        <v>62.51</v>
      </c>
      <c r="L139" s="3">
        <v>194.92</v>
      </c>
      <c r="M139" s="3">
        <v>2534</v>
      </c>
      <c r="N139" s="3">
        <v>111.31</v>
      </c>
      <c r="O139" s="3">
        <v>1447</v>
      </c>
      <c r="P139" s="3" t="s">
        <v>41</v>
      </c>
      <c r="Q139" s="3" t="s">
        <v>33</v>
      </c>
      <c r="R139" s="3" t="s">
        <v>271</v>
      </c>
      <c r="S139" s="3">
        <v>0</v>
      </c>
      <c r="T139" s="3">
        <v>127</v>
      </c>
      <c r="U139" s="3">
        <v>0</v>
      </c>
      <c r="V139" s="3" t="s">
        <v>35</v>
      </c>
      <c r="W139" s="3" t="s">
        <v>35</v>
      </c>
      <c r="X139" s="3" t="s">
        <v>35</v>
      </c>
      <c r="Y139" s="3" t="s">
        <v>35</v>
      </c>
      <c r="Z139" s="3" t="s">
        <v>35</v>
      </c>
      <c r="AA139" s="3" t="s">
        <v>35</v>
      </c>
    </row>
    <row r="140" s="3" customFormat="1" spans="1:27">
      <c r="A140" s="3" t="s">
        <v>112</v>
      </c>
      <c r="B140" s="3" t="s">
        <v>30</v>
      </c>
      <c r="C140" s="3">
        <v>21986107</v>
      </c>
      <c r="D140" s="13" t="s">
        <v>369</v>
      </c>
      <c r="E140" s="16">
        <v>46100.9385532407</v>
      </c>
      <c r="F140" s="3">
        <v>1327.67</v>
      </c>
      <c r="G140" s="3">
        <v>0</v>
      </c>
      <c r="H140" s="3">
        <v>1327.67</v>
      </c>
      <c r="I140" s="3">
        <v>120.51</v>
      </c>
      <c r="J140" s="3">
        <v>0</v>
      </c>
      <c r="K140" s="3">
        <v>120.51</v>
      </c>
      <c r="L140" s="3">
        <v>383.62</v>
      </c>
      <c r="M140" s="3">
        <v>4987</v>
      </c>
      <c r="N140" s="3">
        <v>383.62</v>
      </c>
      <c r="O140" s="3">
        <v>4987</v>
      </c>
      <c r="P140" s="3" t="s">
        <v>32</v>
      </c>
      <c r="Q140" s="3" t="s">
        <v>33</v>
      </c>
      <c r="R140" s="3" t="s">
        <v>271</v>
      </c>
      <c r="S140" s="3">
        <v>0</v>
      </c>
      <c r="T140" s="3">
        <v>249</v>
      </c>
      <c r="U140" s="3">
        <v>0</v>
      </c>
      <c r="V140" s="3" t="s">
        <v>35</v>
      </c>
      <c r="W140" s="3" t="s">
        <v>35</v>
      </c>
      <c r="X140" s="3" t="s">
        <v>35</v>
      </c>
      <c r="Y140" s="3" t="s">
        <v>35</v>
      </c>
      <c r="Z140" s="3" t="s">
        <v>35</v>
      </c>
      <c r="AA140" s="3" t="s">
        <v>35</v>
      </c>
    </row>
    <row r="141" s="3" customFormat="1" spans="1:27">
      <c r="A141" s="3" t="s">
        <v>112</v>
      </c>
      <c r="B141" s="3" t="s">
        <v>30</v>
      </c>
      <c r="C141" s="3">
        <v>16883507</v>
      </c>
      <c r="D141" s="13" t="s">
        <v>370</v>
      </c>
      <c r="E141" s="16">
        <v>45812.2816782407</v>
      </c>
      <c r="F141" s="3">
        <v>1740.54</v>
      </c>
      <c r="G141" s="3">
        <v>16</v>
      </c>
      <c r="H141" s="3">
        <v>1724.54</v>
      </c>
      <c r="I141" s="3">
        <v>170.23</v>
      </c>
      <c r="J141" s="3">
        <v>-25.81</v>
      </c>
      <c r="K141" s="3">
        <v>196.04</v>
      </c>
      <c r="L141" s="3">
        <v>280.08</v>
      </c>
      <c r="M141" s="3">
        <v>3641</v>
      </c>
      <c r="N141" s="3">
        <v>2.31</v>
      </c>
      <c r="O141" s="3">
        <v>30</v>
      </c>
      <c r="P141" s="3" t="s">
        <v>41</v>
      </c>
      <c r="Q141" s="3" t="s">
        <v>33</v>
      </c>
      <c r="R141" s="3" t="s">
        <v>271</v>
      </c>
      <c r="S141" s="3">
        <v>0</v>
      </c>
      <c r="T141" s="3">
        <v>182</v>
      </c>
      <c r="U141" s="3">
        <v>0</v>
      </c>
      <c r="V141" s="3" t="s">
        <v>35</v>
      </c>
      <c r="W141" s="3" t="s">
        <v>35</v>
      </c>
      <c r="X141" s="3" t="s">
        <v>35</v>
      </c>
      <c r="Y141" s="3" t="s">
        <v>35</v>
      </c>
      <c r="Z141" s="3" t="s">
        <v>35</v>
      </c>
      <c r="AA141" s="3" t="s">
        <v>35</v>
      </c>
    </row>
    <row r="142" s="3" customFormat="1" spans="1:27">
      <c r="A142" s="3" t="s">
        <v>112</v>
      </c>
      <c r="B142" s="3" t="s">
        <v>30</v>
      </c>
      <c r="C142" s="3">
        <v>20385847</v>
      </c>
      <c r="D142" s="13" t="s">
        <v>371</v>
      </c>
      <c r="E142" s="16">
        <v>46019.4640625</v>
      </c>
      <c r="F142" s="3">
        <v>2950.11</v>
      </c>
      <c r="G142" s="3">
        <v>0</v>
      </c>
      <c r="H142" s="3">
        <v>2950.11</v>
      </c>
      <c r="I142" s="3">
        <v>174.7</v>
      </c>
      <c r="J142" s="3">
        <v>0</v>
      </c>
      <c r="K142" s="3">
        <v>174.7</v>
      </c>
      <c r="L142" s="3">
        <v>1171.85</v>
      </c>
      <c r="M142" s="3">
        <v>15234</v>
      </c>
      <c r="N142" s="3">
        <v>459.46</v>
      </c>
      <c r="O142" s="3">
        <v>5973</v>
      </c>
      <c r="P142" s="3" t="s">
        <v>32</v>
      </c>
      <c r="Q142" s="3" t="s">
        <v>42</v>
      </c>
      <c r="R142" s="3" t="s">
        <v>271</v>
      </c>
      <c r="S142" s="3">
        <v>0</v>
      </c>
      <c r="T142" s="3">
        <v>762</v>
      </c>
      <c r="U142" s="3">
        <v>0</v>
      </c>
      <c r="V142" s="3" t="s">
        <v>35</v>
      </c>
      <c r="W142" s="3" t="s">
        <v>35</v>
      </c>
      <c r="X142" s="3" t="s">
        <v>35</v>
      </c>
      <c r="Y142" s="3" t="s">
        <v>35</v>
      </c>
      <c r="Z142" s="3" t="s">
        <v>35</v>
      </c>
      <c r="AA142" s="3" t="s">
        <v>35</v>
      </c>
    </row>
    <row r="143" s="3" customFormat="1" spans="1:27">
      <c r="A143" s="3" t="s">
        <v>112</v>
      </c>
      <c r="B143" s="3" t="s">
        <v>30</v>
      </c>
      <c r="C143" s="3">
        <v>21285139</v>
      </c>
      <c r="D143" s="13" t="s">
        <v>372</v>
      </c>
      <c r="E143" s="16">
        <v>46065.458125</v>
      </c>
      <c r="F143" s="3">
        <v>444.46</v>
      </c>
      <c r="G143" s="3">
        <v>0</v>
      </c>
      <c r="H143" s="3">
        <v>444.46</v>
      </c>
      <c r="I143" s="3">
        <v>40.37</v>
      </c>
      <c r="J143" s="3">
        <v>0</v>
      </c>
      <c r="K143" s="3">
        <v>40.37</v>
      </c>
      <c r="L143" s="3">
        <v>85.85</v>
      </c>
      <c r="M143" s="3">
        <v>1116</v>
      </c>
      <c r="N143" s="3">
        <v>35.77</v>
      </c>
      <c r="O143" s="3">
        <v>465</v>
      </c>
      <c r="P143" s="3" t="s">
        <v>41</v>
      </c>
      <c r="Q143" s="3" t="s">
        <v>33</v>
      </c>
      <c r="R143" s="3" t="s">
        <v>271</v>
      </c>
      <c r="S143" s="3">
        <v>0</v>
      </c>
      <c r="T143" s="3">
        <v>56</v>
      </c>
      <c r="U143" s="3">
        <v>0</v>
      </c>
      <c r="V143" s="3" t="s">
        <v>35</v>
      </c>
      <c r="W143" s="3" t="s">
        <v>35</v>
      </c>
      <c r="X143" s="3" t="s">
        <v>35</v>
      </c>
      <c r="Y143" s="3" t="s">
        <v>35</v>
      </c>
      <c r="Z143" s="3" t="s">
        <v>35</v>
      </c>
      <c r="AA143" s="3" t="s">
        <v>35</v>
      </c>
    </row>
    <row r="144" s="3" customFormat="1" spans="1:27">
      <c r="A144" s="3" t="s">
        <v>112</v>
      </c>
      <c r="B144" s="3" t="s">
        <v>30</v>
      </c>
      <c r="C144" s="3">
        <v>22660596</v>
      </c>
      <c r="D144" s="13" t="s">
        <v>373</v>
      </c>
      <c r="E144" s="16">
        <v>46142.4785185185</v>
      </c>
      <c r="F144" s="3">
        <v>586.93</v>
      </c>
      <c r="G144" s="3">
        <v>0</v>
      </c>
      <c r="H144" s="3">
        <v>586.93</v>
      </c>
      <c r="I144" s="3">
        <v>107.98</v>
      </c>
      <c r="J144" s="3">
        <v>0</v>
      </c>
      <c r="K144" s="3">
        <v>107.98</v>
      </c>
      <c r="L144" s="3">
        <v>151.08</v>
      </c>
      <c r="M144" s="3">
        <v>1964</v>
      </c>
      <c r="N144" s="3">
        <v>151.08</v>
      </c>
      <c r="O144" s="3">
        <v>1964</v>
      </c>
      <c r="P144" s="3" t="s">
        <v>41</v>
      </c>
      <c r="Q144" s="3" t="s">
        <v>33</v>
      </c>
      <c r="R144" s="3" t="s">
        <v>271</v>
      </c>
      <c r="S144" s="3">
        <v>0</v>
      </c>
      <c r="T144" s="3">
        <v>98</v>
      </c>
      <c r="U144" s="3">
        <v>0</v>
      </c>
      <c r="V144" s="3" t="s">
        <v>35</v>
      </c>
      <c r="W144" s="3" t="s">
        <v>35</v>
      </c>
      <c r="X144" s="3" t="s">
        <v>35</v>
      </c>
      <c r="Y144" s="3" t="s">
        <v>35</v>
      </c>
      <c r="Z144" s="3" t="s">
        <v>35</v>
      </c>
      <c r="AA144" s="3" t="s">
        <v>35</v>
      </c>
    </row>
    <row r="145" s="3" customFormat="1" spans="1:27">
      <c r="A145" s="3" t="s">
        <v>112</v>
      </c>
      <c r="B145" s="3" t="s">
        <v>30</v>
      </c>
      <c r="C145" s="3">
        <v>18803559</v>
      </c>
      <c r="D145" s="13" t="s">
        <v>374</v>
      </c>
      <c r="E145" s="16">
        <v>45934.8119444445</v>
      </c>
      <c r="F145" s="3">
        <v>2359.9</v>
      </c>
      <c r="G145" s="3">
        <v>1.02</v>
      </c>
      <c r="H145" s="3">
        <v>2358.88</v>
      </c>
      <c r="I145" s="3">
        <v>10.05</v>
      </c>
      <c r="J145" s="3">
        <v>0.71</v>
      </c>
      <c r="K145" s="3">
        <v>9.34</v>
      </c>
      <c r="L145" s="3">
        <v>635.54</v>
      </c>
      <c r="M145" s="3">
        <v>8262</v>
      </c>
      <c r="N145" s="3">
        <v>231.15</v>
      </c>
      <c r="O145" s="3">
        <v>3005</v>
      </c>
      <c r="P145" s="3" t="s">
        <v>41</v>
      </c>
      <c r="Q145" s="3" t="s">
        <v>33</v>
      </c>
      <c r="R145" s="3" t="s">
        <v>271</v>
      </c>
      <c r="S145" s="3">
        <v>0</v>
      </c>
      <c r="T145" s="3">
        <v>413</v>
      </c>
      <c r="U145" s="3">
        <v>0</v>
      </c>
      <c r="V145" s="3" t="s">
        <v>35</v>
      </c>
      <c r="W145" s="3" t="s">
        <v>35</v>
      </c>
      <c r="X145" s="3" t="s">
        <v>35</v>
      </c>
      <c r="Y145" s="3" t="s">
        <v>35</v>
      </c>
      <c r="Z145" s="3" t="s">
        <v>35</v>
      </c>
      <c r="AA145" s="3" t="s">
        <v>35</v>
      </c>
    </row>
    <row r="146" s="3" customFormat="1" spans="1:27">
      <c r="A146" s="3" t="s">
        <v>112</v>
      </c>
      <c r="B146" s="3" t="s">
        <v>30</v>
      </c>
      <c r="C146" s="3">
        <v>22782698</v>
      </c>
      <c r="D146" s="13" t="s">
        <v>375</v>
      </c>
      <c r="E146" s="16">
        <v>46150.3181481482</v>
      </c>
      <c r="F146" s="3">
        <v>3576.38</v>
      </c>
      <c r="G146" s="3">
        <v>0</v>
      </c>
      <c r="H146" s="3">
        <v>3576.38</v>
      </c>
      <c r="I146" s="3">
        <v>0.06</v>
      </c>
      <c r="J146" s="3">
        <v>0</v>
      </c>
      <c r="K146" s="3">
        <v>0.06</v>
      </c>
      <c r="L146" s="3">
        <v>240.08</v>
      </c>
      <c r="M146" s="3">
        <v>3121</v>
      </c>
      <c r="N146" s="3">
        <v>240.08</v>
      </c>
      <c r="O146" s="3">
        <v>3121</v>
      </c>
      <c r="P146" s="3" t="s">
        <v>41</v>
      </c>
      <c r="Q146" s="3" t="s">
        <v>33</v>
      </c>
      <c r="R146" s="3" t="s">
        <v>271</v>
      </c>
      <c r="S146" s="3">
        <v>0</v>
      </c>
      <c r="T146" s="3">
        <v>156</v>
      </c>
      <c r="U146" s="3">
        <v>0</v>
      </c>
      <c r="V146" s="3" t="s">
        <v>35</v>
      </c>
      <c r="W146" s="3" t="s">
        <v>35</v>
      </c>
      <c r="X146" s="3" t="s">
        <v>35</v>
      </c>
      <c r="Y146" s="3" t="s">
        <v>35</v>
      </c>
      <c r="Z146" s="3" t="s">
        <v>35</v>
      </c>
      <c r="AA146" s="3" t="s">
        <v>35</v>
      </c>
    </row>
    <row r="147" s="3" customFormat="1" spans="1:27">
      <c r="A147" s="3" t="s">
        <v>112</v>
      </c>
      <c r="B147" s="3" t="s">
        <v>30</v>
      </c>
      <c r="C147" s="3">
        <v>18117048</v>
      </c>
      <c r="D147" s="13" t="s">
        <v>376</v>
      </c>
      <c r="E147" s="16">
        <v>45893.4003356481</v>
      </c>
      <c r="F147" s="3">
        <v>315.29</v>
      </c>
      <c r="G147" s="3">
        <v>4.54</v>
      </c>
      <c r="H147" s="3">
        <v>310.75</v>
      </c>
      <c r="I147" s="3">
        <v>54.38</v>
      </c>
      <c r="J147" s="3">
        <v>-2.68</v>
      </c>
      <c r="K147" s="3">
        <v>57.06</v>
      </c>
      <c r="L147" s="3">
        <v>175.62</v>
      </c>
      <c r="M147" s="3">
        <v>2283</v>
      </c>
      <c r="N147" s="3">
        <v>174.08</v>
      </c>
      <c r="O147" s="3">
        <v>2263</v>
      </c>
      <c r="P147" s="3" t="s">
        <v>41</v>
      </c>
      <c r="Q147" s="3" t="s">
        <v>33</v>
      </c>
      <c r="R147" s="3" t="s">
        <v>271</v>
      </c>
      <c r="S147" s="3">
        <v>0</v>
      </c>
      <c r="T147" s="3">
        <v>114</v>
      </c>
      <c r="U147" s="3">
        <v>0</v>
      </c>
      <c r="V147" s="3" t="s">
        <v>35</v>
      </c>
      <c r="W147" s="3" t="s">
        <v>35</v>
      </c>
      <c r="X147" s="3" t="s">
        <v>35</v>
      </c>
      <c r="Y147" s="3" t="s">
        <v>35</v>
      </c>
      <c r="Z147" s="3" t="s">
        <v>35</v>
      </c>
      <c r="AA147" s="3" t="s">
        <v>35</v>
      </c>
    </row>
    <row r="148" s="3" customFormat="1" spans="1:27">
      <c r="A148" s="3" t="s">
        <v>112</v>
      </c>
      <c r="B148" s="3" t="s">
        <v>30</v>
      </c>
      <c r="C148" s="3">
        <v>15780316</v>
      </c>
      <c r="D148" s="13" t="s">
        <v>377</v>
      </c>
      <c r="E148" s="16">
        <v>45696.0326388889</v>
      </c>
      <c r="F148" s="3">
        <v>339.17</v>
      </c>
      <c r="G148" s="3">
        <v>7.92</v>
      </c>
      <c r="H148" s="3">
        <v>331.25</v>
      </c>
      <c r="I148" s="3">
        <v>1.48</v>
      </c>
      <c r="J148" s="3">
        <v>7.1</v>
      </c>
      <c r="K148" s="3">
        <v>-5.61</v>
      </c>
      <c r="L148" s="3">
        <v>127.85</v>
      </c>
      <c r="M148" s="3">
        <v>1662</v>
      </c>
      <c r="N148" s="3">
        <v>51</v>
      </c>
      <c r="O148" s="3">
        <v>663</v>
      </c>
      <c r="P148" s="3" t="s">
        <v>41</v>
      </c>
      <c r="Q148" s="3" t="s">
        <v>33</v>
      </c>
      <c r="R148" s="3" t="s">
        <v>271</v>
      </c>
      <c r="S148" s="3">
        <v>0</v>
      </c>
      <c r="T148" s="3">
        <v>83</v>
      </c>
      <c r="U148" s="3">
        <v>0</v>
      </c>
      <c r="V148" s="3" t="s">
        <v>35</v>
      </c>
      <c r="W148" s="3" t="s">
        <v>35</v>
      </c>
      <c r="X148" s="3" t="s">
        <v>35</v>
      </c>
      <c r="Y148" s="3" t="s">
        <v>35</v>
      </c>
      <c r="Z148" s="3" t="s">
        <v>35</v>
      </c>
      <c r="AA148" s="3" t="s">
        <v>35</v>
      </c>
    </row>
    <row r="149" s="3" customFormat="1" spans="1:27">
      <c r="A149" s="3" t="s">
        <v>112</v>
      </c>
      <c r="B149" s="3" t="s">
        <v>30</v>
      </c>
      <c r="C149" s="3">
        <v>19027206</v>
      </c>
      <c r="D149" s="13" t="s">
        <v>378</v>
      </c>
      <c r="E149" s="16">
        <v>45950.1095138889</v>
      </c>
      <c r="F149" s="3">
        <v>397.95</v>
      </c>
      <c r="G149" s="3">
        <v>6.31</v>
      </c>
      <c r="H149" s="3">
        <v>391.64</v>
      </c>
      <c r="I149" s="3">
        <v>28.46</v>
      </c>
      <c r="J149" s="3">
        <v>-1.17</v>
      </c>
      <c r="K149" s="3">
        <v>29.63</v>
      </c>
      <c r="L149" s="3">
        <v>93.92</v>
      </c>
      <c r="M149" s="3">
        <v>1221</v>
      </c>
      <c r="N149" s="3">
        <v>17.31</v>
      </c>
      <c r="O149" s="3">
        <v>225</v>
      </c>
      <c r="P149" s="3" t="s">
        <v>32</v>
      </c>
      <c r="Q149" s="3" t="s">
        <v>33</v>
      </c>
      <c r="R149" s="3" t="s">
        <v>271</v>
      </c>
      <c r="S149" s="3">
        <v>0</v>
      </c>
      <c r="T149" s="3">
        <v>61</v>
      </c>
      <c r="U149" s="3">
        <v>0</v>
      </c>
      <c r="V149" s="3" t="s">
        <v>35</v>
      </c>
      <c r="W149" s="3" t="s">
        <v>35</v>
      </c>
      <c r="X149" s="3" t="s">
        <v>35</v>
      </c>
      <c r="Y149" s="3" t="s">
        <v>35</v>
      </c>
      <c r="Z149" s="3" t="s">
        <v>35</v>
      </c>
      <c r="AA149" s="3" t="s">
        <v>35</v>
      </c>
    </row>
    <row r="150" s="3" customFormat="1" spans="1:27">
      <c r="A150" s="3" t="s">
        <v>112</v>
      </c>
      <c r="B150" s="3" t="s">
        <v>30</v>
      </c>
      <c r="C150" s="3">
        <v>17394317</v>
      </c>
      <c r="D150" s="13" t="s">
        <v>379</v>
      </c>
      <c r="E150" s="16">
        <v>45851.5160416667</v>
      </c>
      <c r="F150" s="3">
        <v>7398.94</v>
      </c>
      <c r="G150" s="3">
        <v>0.08</v>
      </c>
      <c r="H150" s="3">
        <v>7398.86</v>
      </c>
      <c r="I150" s="3">
        <v>55.96</v>
      </c>
      <c r="J150" s="3">
        <v>0.08</v>
      </c>
      <c r="K150" s="3">
        <v>55.89</v>
      </c>
      <c r="L150" s="3">
        <v>926.31</v>
      </c>
      <c r="M150" s="3">
        <v>12042</v>
      </c>
      <c r="N150" s="3">
        <v>261.69</v>
      </c>
      <c r="O150" s="3">
        <v>3402</v>
      </c>
      <c r="P150" s="3" t="s">
        <v>32</v>
      </c>
      <c r="Q150" s="3" t="s">
        <v>33</v>
      </c>
      <c r="R150" s="3" t="s">
        <v>271</v>
      </c>
      <c r="S150" s="3">
        <v>0</v>
      </c>
      <c r="T150" s="3">
        <v>602</v>
      </c>
      <c r="U150" s="3">
        <v>0</v>
      </c>
      <c r="V150" s="3" t="s">
        <v>35</v>
      </c>
      <c r="W150" s="3" t="s">
        <v>35</v>
      </c>
      <c r="X150" s="3" t="s">
        <v>35</v>
      </c>
      <c r="Y150" s="3" t="s">
        <v>35</v>
      </c>
      <c r="Z150" s="3" t="s">
        <v>35</v>
      </c>
      <c r="AA150" s="3" t="s">
        <v>35</v>
      </c>
    </row>
    <row r="151" s="3" customFormat="1" spans="1:27">
      <c r="A151" s="3" t="s">
        <v>112</v>
      </c>
      <c r="B151" s="3" t="s">
        <v>30</v>
      </c>
      <c r="C151" s="3">
        <v>22824569</v>
      </c>
      <c r="D151" s="13" t="s">
        <v>380</v>
      </c>
      <c r="E151" s="16">
        <v>46153.6225115741</v>
      </c>
      <c r="F151" s="3">
        <v>1118.31</v>
      </c>
      <c r="G151" s="3">
        <v>0</v>
      </c>
      <c r="H151" s="3">
        <v>1118.31</v>
      </c>
      <c r="I151" s="3">
        <v>37.46</v>
      </c>
      <c r="J151" s="3">
        <v>0</v>
      </c>
      <c r="K151" s="3">
        <v>37.46</v>
      </c>
      <c r="L151" s="3">
        <v>139.15</v>
      </c>
      <c r="M151" s="3">
        <v>1809</v>
      </c>
      <c r="N151" s="3">
        <v>139.15</v>
      </c>
      <c r="O151" s="3">
        <v>1809</v>
      </c>
      <c r="P151" s="3" t="s">
        <v>41</v>
      </c>
      <c r="Q151" s="3" t="s">
        <v>33</v>
      </c>
      <c r="R151" s="3" t="s">
        <v>271</v>
      </c>
      <c r="S151" s="3">
        <v>0</v>
      </c>
      <c r="T151" s="3">
        <v>90</v>
      </c>
      <c r="U151" s="3">
        <v>0</v>
      </c>
      <c r="V151" s="3" t="s">
        <v>35</v>
      </c>
      <c r="W151" s="3" t="s">
        <v>35</v>
      </c>
      <c r="X151" s="3" t="s">
        <v>35</v>
      </c>
      <c r="Y151" s="3" t="s">
        <v>35</v>
      </c>
      <c r="Z151" s="3" t="s">
        <v>35</v>
      </c>
      <c r="AA151" s="3" t="s">
        <v>35</v>
      </c>
    </row>
    <row r="152" s="3" customFormat="1" spans="1:27">
      <c r="A152" s="3" t="s">
        <v>112</v>
      </c>
      <c r="B152" s="3" t="s">
        <v>30</v>
      </c>
      <c r="C152" s="3">
        <v>19557939</v>
      </c>
      <c r="D152" s="13" t="s">
        <v>381</v>
      </c>
      <c r="E152" s="16">
        <v>45979.8483449074</v>
      </c>
      <c r="F152" s="3">
        <v>5121.63</v>
      </c>
      <c r="G152" s="3">
        <v>103.42</v>
      </c>
      <c r="H152" s="3">
        <v>5018.21</v>
      </c>
      <c r="I152" s="3">
        <v>294.69</v>
      </c>
      <c r="J152" s="3">
        <v>52.42</v>
      </c>
      <c r="K152" s="3">
        <v>242.28</v>
      </c>
      <c r="L152" s="3">
        <v>1639.62</v>
      </c>
      <c r="M152" s="3">
        <v>21315</v>
      </c>
      <c r="N152" s="3">
        <v>913.77</v>
      </c>
      <c r="O152" s="3">
        <v>11879</v>
      </c>
      <c r="P152" s="3" t="s">
        <v>32</v>
      </c>
      <c r="Q152" s="3" t="s">
        <v>42</v>
      </c>
      <c r="R152" s="3" t="s">
        <v>271</v>
      </c>
      <c r="S152" s="3">
        <v>0</v>
      </c>
      <c r="T152" s="3">
        <v>1066</v>
      </c>
      <c r="U152" s="3">
        <v>0</v>
      </c>
      <c r="V152" s="3" t="s">
        <v>35</v>
      </c>
      <c r="W152" s="3" t="s">
        <v>35</v>
      </c>
      <c r="X152" s="3" t="s">
        <v>35</v>
      </c>
      <c r="Y152" s="3" t="s">
        <v>35</v>
      </c>
      <c r="Z152" s="3" t="s">
        <v>35</v>
      </c>
      <c r="AA152" s="3" t="s">
        <v>35</v>
      </c>
    </row>
    <row r="153" s="3" customFormat="1" spans="1:27">
      <c r="A153" s="3" t="s">
        <v>112</v>
      </c>
      <c r="B153" s="3" t="s">
        <v>30</v>
      </c>
      <c r="C153" s="3">
        <v>14562807</v>
      </c>
      <c r="D153" s="13" t="s">
        <v>382</v>
      </c>
      <c r="E153" s="16">
        <v>45605.8995138889</v>
      </c>
      <c r="F153" s="3">
        <v>128.85</v>
      </c>
      <c r="G153" s="3">
        <v>21.92</v>
      </c>
      <c r="H153" s="3">
        <v>106.92</v>
      </c>
      <c r="I153" s="3">
        <v>20.43</v>
      </c>
      <c r="J153" s="3">
        <v>6.17</v>
      </c>
      <c r="K153" s="3">
        <v>14.26</v>
      </c>
      <c r="L153" s="3">
        <v>72.69</v>
      </c>
      <c r="M153" s="3">
        <v>945</v>
      </c>
      <c r="N153" s="3">
        <v>7.69</v>
      </c>
      <c r="O153" s="3">
        <v>100</v>
      </c>
      <c r="P153" s="3" t="s">
        <v>61</v>
      </c>
      <c r="Q153" s="3" t="s">
        <v>33</v>
      </c>
      <c r="R153" s="3" t="s">
        <v>271</v>
      </c>
      <c r="S153" s="3">
        <v>120</v>
      </c>
      <c r="T153" s="3">
        <v>24</v>
      </c>
      <c r="U153" s="3">
        <v>0</v>
      </c>
      <c r="V153" s="3" t="s">
        <v>35</v>
      </c>
      <c r="W153" s="3" t="s">
        <v>35</v>
      </c>
      <c r="X153" s="3" t="s">
        <v>35</v>
      </c>
      <c r="Y153" s="3" t="s">
        <v>35</v>
      </c>
      <c r="Z153" s="3" t="s">
        <v>35</v>
      </c>
      <c r="AA153" s="3" t="s">
        <v>35</v>
      </c>
    </row>
    <row r="154" s="3" customFormat="1" spans="1:27">
      <c r="A154" s="3" t="s">
        <v>112</v>
      </c>
      <c r="B154" s="3" t="s">
        <v>30</v>
      </c>
      <c r="C154" s="3">
        <v>16391417</v>
      </c>
      <c r="D154" s="13" t="s">
        <v>383</v>
      </c>
      <c r="E154" s="16">
        <v>45771.7635648148</v>
      </c>
      <c r="F154" s="3">
        <v>417.23</v>
      </c>
      <c r="G154" s="3">
        <v>243.23</v>
      </c>
      <c r="H154" s="3">
        <v>174</v>
      </c>
      <c r="I154" s="3">
        <v>0.49</v>
      </c>
      <c r="J154" s="3">
        <v>36.74</v>
      </c>
      <c r="K154" s="3">
        <v>-36.25</v>
      </c>
      <c r="L154" s="3">
        <v>130.23</v>
      </c>
      <c r="M154" s="3">
        <v>1693</v>
      </c>
      <c r="N154" s="3">
        <v>20.92</v>
      </c>
      <c r="O154" s="3">
        <v>272</v>
      </c>
      <c r="P154" s="3" t="s">
        <v>61</v>
      </c>
      <c r="Q154" s="3" t="s">
        <v>33</v>
      </c>
      <c r="R154" s="3" t="s">
        <v>271</v>
      </c>
      <c r="S154" s="3">
        <v>120</v>
      </c>
      <c r="T154" s="3">
        <v>43</v>
      </c>
      <c r="U154" s="3">
        <v>0</v>
      </c>
      <c r="V154" s="3" t="s">
        <v>35</v>
      </c>
      <c r="W154" s="3" t="s">
        <v>35</v>
      </c>
      <c r="X154" s="3" t="s">
        <v>35</v>
      </c>
      <c r="Y154" s="3" t="s">
        <v>35</v>
      </c>
      <c r="Z154" s="3" t="s">
        <v>35</v>
      </c>
      <c r="AA154" s="3" t="s">
        <v>35</v>
      </c>
    </row>
    <row r="155" s="3" customFormat="1" spans="1:27">
      <c r="A155" s="3" t="s">
        <v>112</v>
      </c>
      <c r="B155" s="3" t="s">
        <v>30</v>
      </c>
      <c r="C155" s="3">
        <v>17173126</v>
      </c>
      <c r="D155" s="13" t="s">
        <v>384</v>
      </c>
      <c r="E155" s="16">
        <v>45835.9927546296</v>
      </c>
      <c r="F155" s="3">
        <v>3312.17</v>
      </c>
      <c r="G155" s="3">
        <v>6.31</v>
      </c>
      <c r="H155" s="3">
        <v>3305.86</v>
      </c>
      <c r="I155" s="3">
        <v>59.13</v>
      </c>
      <c r="J155" s="3">
        <v>-2.19</v>
      </c>
      <c r="K155" s="3">
        <v>61.33</v>
      </c>
      <c r="L155" s="3">
        <v>857.69</v>
      </c>
      <c r="M155" s="3">
        <v>11150</v>
      </c>
      <c r="N155" s="3">
        <v>147.38</v>
      </c>
      <c r="O155" s="3">
        <v>1916</v>
      </c>
      <c r="P155" s="3" t="s">
        <v>32</v>
      </c>
      <c r="Q155" s="3" t="s">
        <v>33</v>
      </c>
      <c r="R155" s="3" t="s">
        <v>271</v>
      </c>
      <c r="S155" s="3">
        <v>0</v>
      </c>
      <c r="T155" s="3">
        <v>558</v>
      </c>
      <c r="U155" s="3">
        <v>0</v>
      </c>
      <c r="V155" s="3" t="s">
        <v>35</v>
      </c>
      <c r="W155" s="3" t="s">
        <v>35</v>
      </c>
      <c r="X155" s="3" t="s">
        <v>35</v>
      </c>
      <c r="Y155" s="3" t="s">
        <v>35</v>
      </c>
      <c r="Z155" s="3" t="s">
        <v>35</v>
      </c>
      <c r="AA155" s="3" t="s">
        <v>35</v>
      </c>
    </row>
    <row r="156" s="3" customFormat="1" spans="1:27">
      <c r="A156" s="3" t="s">
        <v>112</v>
      </c>
      <c r="B156" s="3" t="s">
        <v>30</v>
      </c>
      <c r="C156" s="3">
        <v>13950868</v>
      </c>
      <c r="D156" s="13" t="s">
        <v>385</v>
      </c>
      <c r="E156" s="16">
        <v>45564.9638078704</v>
      </c>
      <c r="F156" s="3">
        <v>229.38</v>
      </c>
      <c r="G156" s="3">
        <v>0</v>
      </c>
      <c r="H156" s="3">
        <v>229.38</v>
      </c>
      <c r="I156" s="3">
        <v>75.66</v>
      </c>
      <c r="J156" s="3">
        <v>0</v>
      </c>
      <c r="K156" s="3">
        <v>75.66</v>
      </c>
      <c r="L156" s="3">
        <v>75.92</v>
      </c>
      <c r="M156" s="3">
        <v>987</v>
      </c>
      <c r="N156" s="3">
        <v>75.15</v>
      </c>
      <c r="O156" s="3">
        <v>977</v>
      </c>
      <c r="P156" s="3" t="s">
        <v>41</v>
      </c>
      <c r="Q156" s="3" t="s">
        <v>33</v>
      </c>
      <c r="R156" s="3" t="s">
        <v>271</v>
      </c>
      <c r="S156" s="3">
        <v>0</v>
      </c>
      <c r="T156" s="3">
        <v>49</v>
      </c>
      <c r="U156" s="3">
        <v>0</v>
      </c>
      <c r="V156" s="3" t="s">
        <v>35</v>
      </c>
      <c r="W156" s="3" t="s">
        <v>35</v>
      </c>
      <c r="X156" s="3" t="s">
        <v>35</v>
      </c>
      <c r="Y156" s="3" t="s">
        <v>35</v>
      </c>
      <c r="Z156" s="3" t="s">
        <v>35</v>
      </c>
      <c r="AA156" s="3" t="s">
        <v>35</v>
      </c>
    </row>
    <row r="157" s="3" customFormat="1" spans="1:27">
      <c r="A157" s="3" t="s">
        <v>112</v>
      </c>
      <c r="B157" s="3" t="s">
        <v>30</v>
      </c>
      <c r="C157" s="3">
        <v>9290589</v>
      </c>
      <c r="D157" s="13" t="s">
        <v>386</v>
      </c>
      <c r="E157" s="16">
        <v>44923.2389236111</v>
      </c>
      <c r="F157" s="3">
        <v>295.07</v>
      </c>
      <c r="G157" s="3">
        <v>0</v>
      </c>
      <c r="H157" s="3">
        <v>295.07</v>
      </c>
      <c r="I157" s="3">
        <v>20.74</v>
      </c>
      <c r="J157" s="3">
        <v>0</v>
      </c>
      <c r="K157" s="3">
        <v>20.74</v>
      </c>
      <c r="L157" s="3">
        <v>58.15</v>
      </c>
      <c r="M157" s="3">
        <v>756</v>
      </c>
      <c r="N157" s="3">
        <v>58</v>
      </c>
      <c r="O157" s="3">
        <v>754</v>
      </c>
      <c r="P157" s="3" t="s">
        <v>32</v>
      </c>
      <c r="Q157" s="3" t="s">
        <v>33</v>
      </c>
      <c r="R157" s="3" t="s">
        <v>271</v>
      </c>
      <c r="S157" s="3">
        <v>0</v>
      </c>
      <c r="T157" s="3">
        <v>38</v>
      </c>
      <c r="U157" s="3">
        <v>0</v>
      </c>
      <c r="V157" s="3" t="s">
        <v>35</v>
      </c>
      <c r="W157" s="3" t="s">
        <v>35</v>
      </c>
      <c r="X157" s="3" t="s">
        <v>35</v>
      </c>
      <c r="Y157" s="3" t="s">
        <v>35</v>
      </c>
      <c r="Z157" s="3" t="s">
        <v>35</v>
      </c>
      <c r="AA157" s="3" t="s">
        <v>35</v>
      </c>
    </row>
    <row r="158" s="3" customFormat="1" spans="1:27">
      <c r="A158" s="3" t="s">
        <v>112</v>
      </c>
      <c r="B158" s="3" t="s">
        <v>30</v>
      </c>
      <c r="C158" s="3">
        <v>17540816</v>
      </c>
      <c r="D158" s="13" t="s">
        <v>387</v>
      </c>
      <c r="E158" s="16">
        <v>45862.3698032407</v>
      </c>
      <c r="F158" s="3">
        <v>390.38</v>
      </c>
      <c r="G158" s="3">
        <v>11.65</v>
      </c>
      <c r="H158" s="3">
        <v>378.72</v>
      </c>
      <c r="I158" s="3">
        <v>-50.08</v>
      </c>
      <c r="J158" s="3">
        <v>7.22</v>
      </c>
      <c r="K158" s="3">
        <v>-57.3</v>
      </c>
      <c r="L158" s="3">
        <v>73.77</v>
      </c>
      <c r="M158" s="3">
        <v>959</v>
      </c>
      <c r="N158" s="3">
        <v>1.54</v>
      </c>
      <c r="O158" s="3">
        <v>20</v>
      </c>
      <c r="P158" s="3" t="s">
        <v>41</v>
      </c>
      <c r="Q158" s="3" t="s">
        <v>33</v>
      </c>
      <c r="R158" s="3" t="s">
        <v>271</v>
      </c>
      <c r="S158" s="3">
        <v>0</v>
      </c>
      <c r="T158" s="3">
        <v>48</v>
      </c>
      <c r="U158" s="3">
        <v>0</v>
      </c>
      <c r="V158" s="3" t="s">
        <v>35</v>
      </c>
      <c r="W158" s="3" t="s">
        <v>35</v>
      </c>
      <c r="X158" s="3" t="s">
        <v>35</v>
      </c>
      <c r="Y158" s="3" t="s">
        <v>35</v>
      </c>
      <c r="Z158" s="3" t="s">
        <v>35</v>
      </c>
      <c r="AA158" s="3" t="s">
        <v>35</v>
      </c>
    </row>
    <row r="159" s="3" customFormat="1" spans="1:27">
      <c r="A159" s="3" t="s">
        <v>112</v>
      </c>
      <c r="B159" s="3" t="s">
        <v>30</v>
      </c>
      <c r="C159" s="3">
        <v>21980956</v>
      </c>
      <c r="D159" s="13" t="s">
        <v>388</v>
      </c>
      <c r="E159" s="16">
        <v>46100.6975347222</v>
      </c>
      <c r="F159" s="3">
        <v>1076.92</v>
      </c>
      <c r="G159" s="3">
        <v>3.35</v>
      </c>
      <c r="H159" s="3">
        <v>1073.57</v>
      </c>
      <c r="I159" s="3">
        <v>83.62</v>
      </c>
      <c r="J159" s="3">
        <v>3.35</v>
      </c>
      <c r="K159" s="3">
        <v>80.27</v>
      </c>
      <c r="L159" s="3">
        <v>90.38</v>
      </c>
      <c r="M159" s="3">
        <v>1175</v>
      </c>
      <c r="N159" s="3">
        <v>90.38</v>
      </c>
      <c r="O159" s="3">
        <v>1175</v>
      </c>
      <c r="P159" s="3" t="s">
        <v>41</v>
      </c>
      <c r="Q159" s="3" t="s">
        <v>33</v>
      </c>
      <c r="R159" s="3" t="s">
        <v>271</v>
      </c>
      <c r="S159" s="3">
        <v>0</v>
      </c>
      <c r="T159" s="3">
        <v>59</v>
      </c>
      <c r="U159" s="3">
        <v>0</v>
      </c>
      <c r="V159" s="3" t="s">
        <v>35</v>
      </c>
      <c r="W159" s="3" t="s">
        <v>35</v>
      </c>
      <c r="X159" s="3" t="s">
        <v>35</v>
      </c>
      <c r="Y159" s="3" t="s">
        <v>35</v>
      </c>
      <c r="Z159" s="3" t="s">
        <v>35</v>
      </c>
      <c r="AA159" s="3" t="s">
        <v>35</v>
      </c>
    </row>
    <row r="160" s="3" customFormat="1" spans="1:27">
      <c r="A160" s="3" t="s">
        <v>112</v>
      </c>
      <c r="B160" s="3" t="s">
        <v>30</v>
      </c>
      <c r="C160" s="3">
        <v>21428526</v>
      </c>
      <c r="D160" s="13" t="s">
        <v>389</v>
      </c>
      <c r="E160" s="16">
        <v>46072.67875</v>
      </c>
      <c r="F160" s="3">
        <v>2730.88</v>
      </c>
      <c r="G160" s="3">
        <v>14.37</v>
      </c>
      <c r="H160" s="3">
        <v>2716.51</v>
      </c>
      <c r="I160" s="3">
        <v>-391.91</v>
      </c>
      <c r="J160" s="3">
        <v>14.28</v>
      </c>
      <c r="K160" s="3">
        <v>-406.19</v>
      </c>
      <c r="L160" s="3">
        <v>232.08</v>
      </c>
      <c r="M160" s="3">
        <v>3017</v>
      </c>
      <c r="N160" s="3">
        <v>140</v>
      </c>
      <c r="O160" s="3">
        <v>1820</v>
      </c>
      <c r="P160" s="3" t="s">
        <v>41</v>
      </c>
      <c r="Q160" s="3" t="s">
        <v>33</v>
      </c>
      <c r="R160" s="3" t="s">
        <v>271</v>
      </c>
      <c r="S160" s="3">
        <v>0</v>
      </c>
      <c r="T160" s="3">
        <v>151</v>
      </c>
      <c r="U160" s="3">
        <v>0</v>
      </c>
      <c r="V160" s="3" t="s">
        <v>35</v>
      </c>
      <c r="W160" s="3" t="s">
        <v>35</v>
      </c>
      <c r="X160" s="3" t="s">
        <v>35</v>
      </c>
      <c r="Y160" s="3" t="s">
        <v>35</v>
      </c>
      <c r="Z160" s="3" t="s">
        <v>35</v>
      </c>
      <c r="AA160" s="3" t="s">
        <v>35</v>
      </c>
    </row>
    <row r="161" s="3" customFormat="1" spans="1:27">
      <c r="A161" s="3" t="s">
        <v>112</v>
      </c>
      <c r="B161" s="3" t="s">
        <v>30</v>
      </c>
      <c r="C161" s="3">
        <v>10988769</v>
      </c>
      <c r="D161" s="13" t="s">
        <v>390</v>
      </c>
      <c r="E161" s="16">
        <v>45217.7525462963</v>
      </c>
      <c r="F161" s="3">
        <v>212.73</v>
      </c>
      <c r="G161" s="3">
        <v>0</v>
      </c>
      <c r="H161" s="3">
        <v>212.73</v>
      </c>
      <c r="I161" s="3">
        <v>66.08</v>
      </c>
      <c r="J161" s="3">
        <v>0</v>
      </c>
      <c r="K161" s="3">
        <v>66.08</v>
      </c>
      <c r="L161" s="3">
        <v>66.08</v>
      </c>
      <c r="M161" s="3">
        <v>859</v>
      </c>
      <c r="N161" s="3">
        <v>27.38</v>
      </c>
      <c r="O161" s="3">
        <v>356</v>
      </c>
      <c r="P161" s="3" t="s">
        <v>41</v>
      </c>
      <c r="Q161" s="3" t="s">
        <v>33</v>
      </c>
      <c r="R161" s="3" t="s">
        <v>271</v>
      </c>
      <c r="S161" s="3">
        <v>0</v>
      </c>
      <c r="T161" s="3">
        <v>43</v>
      </c>
      <c r="U161" s="3">
        <v>0</v>
      </c>
      <c r="V161" s="3" t="s">
        <v>35</v>
      </c>
      <c r="W161" s="3" t="s">
        <v>35</v>
      </c>
      <c r="X161" s="3" t="s">
        <v>35</v>
      </c>
      <c r="Y161" s="3" t="s">
        <v>35</v>
      </c>
      <c r="Z161" s="3" t="s">
        <v>35</v>
      </c>
      <c r="AA161" s="3" t="s">
        <v>35</v>
      </c>
    </row>
    <row r="162" s="3" customFormat="1" spans="1:27">
      <c r="A162" s="3" t="s">
        <v>112</v>
      </c>
      <c r="B162" s="3" t="s">
        <v>30</v>
      </c>
      <c r="C162" s="3">
        <v>22844097</v>
      </c>
      <c r="D162" s="13" t="s">
        <v>391</v>
      </c>
      <c r="E162" s="16">
        <v>46155.3226967593</v>
      </c>
      <c r="F162" s="3">
        <v>408.42</v>
      </c>
      <c r="G162" s="3">
        <v>0</v>
      </c>
      <c r="H162" s="3">
        <v>408.42</v>
      </c>
      <c r="I162" s="3">
        <v>15.67</v>
      </c>
      <c r="J162" s="3">
        <v>0</v>
      </c>
      <c r="K162" s="3">
        <v>15.67</v>
      </c>
      <c r="L162" s="3">
        <v>86.54</v>
      </c>
      <c r="M162" s="3">
        <v>1125</v>
      </c>
      <c r="N162" s="3">
        <v>86.54</v>
      </c>
      <c r="O162" s="3">
        <v>1125</v>
      </c>
      <c r="P162" s="3" t="s">
        <v>32</v>
      </c>
      <c r="Q162" s="3" t="s">
        <v>33</v>
      </c>
      <c r="R162" s="3" t="s">
        <v>271</v>
      </c>
      <c r="S162" s="3">
        <v>0</v>
      </c>
      <c r="T162" s="3">
        <v>56</v>
      </c>
      <c r="U162" s="3">
        <v>0</v>
      </c>
      <c r="V162" s="3" t="s">
        <v>35</v>
      </c>
      <c r="W162" s="3" t="s">
        <v>35</v>
      </c>
      <c r="X162" s="3" t="s">
        <v>35</v>
      </c>
      <c r="Y162" s="3" t="s">
        <v>35</v>
      </c>
      <c r="Z162" s="3" t="s">
        <v>35</v>
      </c>
      <c r="AA162" s="3" t="s">
        <v>35</v>
      </c>
    </row>
    <row r="163" s="3" customFormat="1" spans="1:27">
      <c r="A163" s="3" t="s">
        <v>112</v>
      </c>
      <c r="B163" s="3" t="s">
        <v>30</v>
      </c>
      <c r="C163" s="3">
        <v>16958296</v>
      </c>
      <c r="D163" s="13" t="s">
        <v>392</v>
      </c>
      <c r="E163" s="16">
        <v>45819.3392476852</v>
      </c>
      <c r="F163" s="3">
        <v>1773.75</v>
      </c>
      <c r="G163" s="3">
        <v>0</v>
      </c>
      <c r="H163" s="3">
        <v>1773.75</v>
      </c>
      <c r="I163" s="3">
        <v>29.83</v>
      </c>
      <c r="J163" s="3">
        <v>0</v>
      </c>
      <c r="K163" s="3">
        <v>29.83</v>
      </c>
      <c r="L163" s="3">
        <v>209.46</v>
      </c>
      <c r="M163" s="3">
        <v>2723</v>
      </c>
      <c r="N163" s="3">
        <v>12.23</v>
      </c>
      <c r="O163" s="3">
        <v>159</v>
      </c>
      <c r="P163" s="3" t="s">
        <v>32</v>
      </c>
      <c r="Q163" s="3" t="s">
        <v>33</v>
      </c>
      <c r="R163" s="3" t="s">
        <v>271</v>
      </c>
      <c r="S163" s="3">
        <v>0</v>
      </c>
      <c r="T163" s="3">
        <v>136</v>
      </c>
      <c r="U163" s="3">
        <v>0</v>
      </c>
      <c r="V163" s="3" t="s">
        <v>35</v>
      </c>
      <c r="W163" s="3" t="s">
        <v>35</v>
      </c>
      <c r="X163" s="3" t="s">
        <v>35</v>
      </c>
      <c r="Y163" s="3" t="s">
        <v>35</v>
      </c>
      <c r="Z163" s="3" t="s">
        <v>35</v>
      </c>
      <c r="AA163" s="3" t="s">
        <v>35</v>
      </c>
    </row>
    <row r="164" s="3" customFormat="1" spans="1:27">
      <c r="A164" s="3" t="s">
        <v>112</v>
      </c>
      <c r="B164" s="3" t="s">
        <v>30</v>
      </c>
      <c r="C164" s="3">
        <v>18282097</v>
      </c>
      <c r="D164" s="13" t="s">
        <v>393</v>
      </c>
      <c r="E164" s="16">
        <v>45902.6511689815</v>
      </c>
      <c r="F164" s="3">
        <v>380.04</v>
      </c>
      <c r="G164" s="3">
        <v>1.46</v>
      </c>
      <c r="H164" s="3">
        <v>378.58</v>
      </c>
      <c r="I164" s="3">
        <v>-14.36</v>
      </c>
      <c r="J164" s="3">
        <v>1.32</v>
      </c>
      <c r="K164" s="3">
        <v>-15.68</v>
      </c>
      <c r="L164" s="3">
        <v>52.58</v>
      </c>
      <c r="M164" s="3">
        <v>683.5</v>
      </c>
      <c r="N164" s="3">
        <v>10.81</v>
      </c>
      <c r="O164" s="3">
        <v>140.5</v>
      </c>
      <c r="P164" s="3" t="s">
        <v>32</v>
      </c>
      <c r="Q164" s="3" t="s">
        <v>33</v>
      </c>
      <c r="R164" s="3" t="s">
        <v>271</v>
      </c>
      <c r="S164" s="3">
        <v>0</v>
      </c>
      <c r="T164" s="3">
        <v>34</v>
      </c>
      <c r="U164" s="3">
        <v>0</v>
      </c>
      <c r="V164" s="3" t="s">
        <v>35</v>
      </c>
      <c r="W164" s="3" t="s">
        <v>35</v>
      </c>
      <c r="X164" s="3" t="s">
        <v>35</v>
      </c>
      <c r="Y164" s="3" t="s">
        <v>35</v>
      </c>
      <c r="Z164" s="3" t="s">
        <v>35</v>
      </c>
      <c r="AA164" s="3" t="s">
        <v>35</v>
      </c>
    </row>
    <row r="165" s="3" customFormat="1" spans="1:27">
      <c r="A165" s="3" t="s">
        <v>112</v>
      </c>
      <c r="B165" s="3" t="s">
        <v>30</v>
      </c>
      <c r="C165" s="3">
        <v>6091327</v>
      </c>
      <c r="D165" s="13" t="s">
        <v>394</v>
      </c>
      <c r="E165" s="16">
        <v>44535.8042592593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153.85</v>
      </c>
      <c r="M165" s="3">
        <v>2000</v>
      </c>
      <c r="N165" s="3">
        <v>153.85</v>
      </c>
      <c r="O165" s="3">
        <v>2000</v>
      </c>
      <c r="P165" s="3" t="s">
        <v>39</v>
      </c>
      <c r="Q165" s="3" t="s">
        <v>33</v>
      </c>
      <c r="R165" s="3" t="s">
        <v>271</v>
      </c>
      <c r="S165" s="3">
        <v>120</v>
      </c>
      <c r="T165" s="3">
        <v>50</v>
      </c>
      <c r="U165" s="3">
        <v>0</v>
      </c>
      <c r="V165" s="3" t="s">
        <v>35</v>
      </c>
      <c r="W165" s="3" t="s">
        <v>35</v>
      </c>
      <c r="X165" s="3" t="s">
        <v>35</v>
      </c>
      <c r="Y165" s="3" t="s">
        <v>35</v>
      </c>
      <c r="Z165" s="3" t="s">
        <v>35</v>
      </c>
      <c r="AA165" s="3" t="s">
        <v>35</v>
      </c>
    </row>
    <row r="166" s="3" customFormat="1" spans="1:27">
      <c r="A166" s="3" t="s">
        <v>112</v>
      </c>
      <c r="B166" s="3" t="s">
        <v>30</v>
      </c>
      <c r="C166" s="3">
        <v>13802808</v>
      </c>
      <c r="D166" s="13" t="s">
        <v>395</v>
      </c>
      <c r="E166" s="16">
        <v>45557.5611342593</v>
      </c>
      <c r="F166" s="3">
        <v>306.62</v>
      </c>
      <c r="G166" s="3">
        <v>3.23</v>
      </c>
      <c r="H166" s="3">
        <v>303.38</v>
      </c>
      <c r="I166" s="3">
        <v>11.92</v>
      </c>
      <c r="J166" s="3">
        <v>1.84</v>
      </c>
      <c r="K166" s="3">
        <v>10.08</v>
      </c>
      <c r="L166" s="3">
        <v>51.54</v>
      </c>
      <c r="M166" s="3">
        <v>670</v>
      </c>
      <c r="N166" s="3">
        <v>0.77</v>
      </c>
      <c r="O166" s="3">
        <v>10</v>
      </c>
      <c r="P166" s="3" t="s">
        <v>41</v>
      </c>
      <c r="Q166" s="3" t="s">
        <v>33</v>
      </c>
      <c r="R166" s="3" t="s">
        <v>271</v>
      </c>
      <c r="S166" s="3">
        <v>0</v>
      </c>
      <c r="T166" s="3">
        <v>34</v>
      </c>
      <c r="U166" s="3">
        <v>0</v>
      </c>
      <c r="V166" s="3" t="s">
        <v>35</v>
      </c>
      <c r="W166" s="3" t="s">
        <v>35</v>
      </c>
      <c r="X166" s="3" t="s">
        <v>35</v>
      </c>
      <c r="Y166" s="3" t="s">
        <v>35</v>
      </c>
      <c r="Z166" s="3" t="s">
        <v>35</v>
      </c>
      <c r="AA166" s="3" t="s">
        <v>35</v>
      </c>
    </row>
    <row r="167" s="3" customFormat="1" spans="1:27">
      <c r="A167" s="3" t="s">
        <v>112</v>
      </c>
      <c r="B167" s="3" t="s">
        <v>30</v>
      </c>
      <c r="C167" s="3">
        <v>19997989</v>
      </c>
      <c r="D167" s="13" t="s">
        <v>396</v>
      </c>
      <c r="E167" s="16">
        <v>46000.6808564815</v>
      </c>
      <c r="F167" s="3">
        <v>388.15</v>
      </c>
      <c r="G167" s="3">
        <v>0</v>
      </c>
      <c r="H167" s="3">
        <v>388.15</v>
      </c>
      <c r="I167" s="3">
        <v>-52.01</v>
      </c>
      <c r="J167" s="3">
        <v>0</v>
      </c>
      <c r="K167" s="3">
        <v>-52.01</v>
      </c>
      <c r="L167" s="3">
        <v>111.92</v>
      </c>
      <c r="M167" s="3">
        <v>1455</v>
      </c>
      <c r="N167" s="3">
        <v>18.85</v>
      </c>
      <c r="O167" s="3">
        <v>245</v>
      </c>
      <c r="P167" s="3" t="s">
        <v>32</v>
      </c>
      <c r="Q167" s="3" t="s">
        <v>33</v>
      </c>
      <c r="R167" s="3" t="s">
        <v>271</v>
      </c>
      <c r="S167" s="3">
        <v>0</v>
      </c>
      <c r="T167" s="3">
        <v>73</v>
      </c>
      <c r="U167" s="3">
        <v>0</v>
      </c>
      <c r="V167" s="3" t="s">
        <v>35</v>
      </c>
      <c r="W167" s="3" t="s">
        <v>35</v>
      </c>
      <c r="X167" s="3" t="s">
        <v>35</v>
      </c>
      <c r="Y167" s="3" t="s">
        <v>35</v>
      </c>
      <c r="Z167" s="3" t="s">
        <v>35</v>
      </c>
      <c r="AA167" s="3" t="s">
        <v>35</v>
      </c>
    </row>
    <row r="168" s="3" customFormat="1" spans="1:27">
      <c r="A168" s="3" t="s">
        <v>112</v>
      </c>
      <c r="B168" s="3" t="s">
        <v>30</v>
      </c>
      <c r="C168" s="3">
        <v>15252997</v>
      </c>
      <c r="D168" s="13" t="s">
        <v>397</v>
      </c>
      <c r="E168" s="16">
        <v>45657.4136458333</v>
      </c>
      <c r="F168" s="3">
        <v>352.96</v>
      </c>
      <c r="G168" s="3">
        <v>20.12</v>
      </c>
      <c r="H168" s="3">
        <v>332.84</v>
      </c>
      <c r="I168" s="3">
        <v>33.54</v>
      </c>
      <c r="J168" s="3">
        <v>7.08</v>
      </c>
      <c r="K168" s="3">
        <v>26.5</v>
      </c>
      <c r="L168" s="3">
        <v>124.69</v>
      </c>
      <c r="M168" s="3">
        <v>1621</v>
      </c>
      <c r="N168" s="3">
        <v>30.77</v>
      </c>
      <c r="O168" s="3">
        <v>400</v>
      </c>
      <c r="P168" s="3" t="s">
        <v>32</v>
      </c>
      <c r="Q168" s="3" t="s">
        <v>33</v>
      </c>
      <c r="R168" s="3" t="s">
        <v>271</v>
      </c>
      <c r="S168" s="3">
        <v>0</v>
      </c>
      <c r="T168" s="3">
        <v>81</v>
      </c>
      <c r="U168" s="3">
        <v>0</v>
      </c>
      <c r="V168" s="3" t="s">
        <v>35</v>
      </c>
      <c r="W168" s="3" t="s">
        <v>35</v>
      </c>
      <c r="X168" s="3" t="s">
        <v>35</v>
      </c>
      <c r="Y168" s="3" t="s">
        <v>35</v>
      </c>
      <c r="Z168" s="3" t="s">
        <v>35</v>
      </c>
      <c r="AA168" s="3" t="s">
        <v>35</v>
      </c>
    </row>
    <row r="169" s="3" customFormat="1" spans="1:27">
      <c r="A169" s="3" t="s">
        <v>112</v>
      </c>
      <c r="B169" s="3" t="s">
        <v>30</v>
      </c>
      <c r="C169" s="3">
        <v>22051628</v>
      </c>
      <c r="D169" s="13" t="s">
        <v>398</v>
      </c>
      <c r="E169" s="16">
        <v>46104.837974537</v>
      </c>
      <c r="F169" s="3">
        <v>26500.74</v>
      </c>
      <c r="G169" s="3">
        <v>0</v>
      </c>
      <c r="H169" s="3">
        <v>26500.74</v>
      </c>
      <c r="I169" s="3">
        <v>704.37</v>
      </c>
      <c r="J169" s="3">
        <v>0</v>
      </c>
      <c r="K169" s="3">
        <v>704.37</v>
      </c>
      <c r="L169" s="3">
        <v>4612.15</v>
      </c>
      <c r="M169" s="3">
        <v>59958</v>
      </c>
      <c r="N169" s="3">
        <v>4612.15</v>
      </c>
      <c r="O169" s="3">
        <v>59958</v>
      </c>
      <c r="P169" s="3" t="s">
        <v>41</v>
      </c>
      <c r="Q169" s="3" t="s">
        <v>42</v>
      </c>
      <c r="R169" s="3" t="s">
        <v>271</v>
      </c>
      <c r="S169" s="3">
        <v>0</v>
      </c>
      <c r="T169" s="3">
        <v>2998</v>
      </c>
      <c r="U169" s="3">
        <v>1</v>
      </c>
      <c r="V169" s="3">
        <v>1</v>
      </c>
      <c r="W169" s="3" t="s">
        <v>35</v>
      </c>
      <c r="X169" s="3" t="s">
        <v>35</v>
      </c>
      <c r="Y169" s="3" t="s">
        <v>35</v>
      </c>
      <c r="Z169" s="3" t="s">
        <v>35</v>
      </c>
      <c r="AA169" s="3" t="s">
        <v>35</v>
      </c>
    </row>
    <row r="170" s="3" customFormat="1" spans="1:27">
      <c r="A170" s="3" t="s">
        <v>112</v>
      </c>
      <c r="B170" s="3" t="s">
        <v>30</v>
      </c>
      <c r="C170" s="3">
        <v>21786006</v>
      </c>
      <c r="D170" s="13" t="s">
        <v>399</v>
      </c>
      <c r="E170" s="16">
        <v>46090.2351157407</v>
      </c>
      <c r="F170" s="3">
        <v>828.19</v>
      </c>
      <c r="G170" s="3">
        <v>0</v>
      </c>
      <c r="H170" s="3">
        <v>828.19</v>
      </c>
      <c r="I170" s="3">
        <v>144.2</v>
      </c>
      <c r="J170" s="3">
        <v>0</v>
      </c>
      <c r="K170" s="3">
        <v>144.2</v>
      </c>
      <c r="L170" s="3">
        <v>144.23</v>
      </c>
      <c r="M170" s="3">
        <v>1875</v>
      </c>
      <c r="N170" s="3">
        <v>144.23</v>
      </c>
      <c r="O170" s="3">
        <v>1875</v>
      </c>
      <c r="P170" s="3" t="s">
        <v>41</v>
      </c>
      <c r="Q170" s="3" t="s">
        <v>33</v>
      </c>
      <c r="R170" s="3" t="s">
        <v>271</v>
      </c>
      <c r="S170" s="3">
        <v>0</v>
      </c>
      <c r="T170" s="3">
        <v>94</v>
      </c>
      <c r="U170" s="3">
        <v>0</v>
      </c>
      <c r="V170" s="3" t="s">
        <v>35</v>
      </c>
      <c r="W170" s="3" t="s">
        <v>35</v>
      </c>
      <c r="X170" s="3" t="s">
        <v>35</v>
      </c>
      <c r="Y170" s="3" t="s">
        <v>35</v>
      </c>
      <c r="Z170" s="3" t="s">
        <v>35</v>
      </c>
      <c r="AA170" s="3" t="s">
        <v>35</v>
      </c>
    </row>
    <row r="171" s="3" customFormat="1" spans="1:27">
      <c r="A171" s="3" t="s">
        <v>112</v>
      </c>
      <c r="B171" s="3" t="s">
        <v>30</v>
      </c>
      <c r="C171" s="3">
        <v>20462629</v>
      </c>
      <c r="D171" s="13" t="s">
        <v>400</v>
      </c>
      <c r="E171" s="16">
        <v>46023.4583680556</v>
      </c>
      <c r="F171" s="3">
        <v>345.62</v>
      </c>
      <c r="G171" s="3">
        <v>18.08</v>
      </c>
      <c r="H171" s="3">
        <v>327.54</v>
      </c>
      <c r="I171" s="3">
        <v>50.86</v>
      </c>
      <c r="J171" s="3">
        <v>17.54</v>
      </c>
      <c r="K171" s="3">
        <v>33.31</v>
      </c>
      <c r="L171" s="3">
        <v>65.54</v>
      </c>
      <c r="M171" s="3">
        <v>852</v>
      </c>
      <c r="N171" s="3">
        <v>64.77</v>
      </c>
      <c r="O171" s="3">
        <v>842</v>
      </c>
      <c r="P171" s="3" t="s">
        <v>41</v>
      </c>
      <c r="Q171" s="3" t="s">
        <v>33</v>
      </c>
      <c r="R171" s="3" t="s">
        <v>271</v>
      </c>
      <c r="S171" s="3">
        <v>0</v>
      </c>
      <c r="T171" s="3">
        <v>43</v>
      </c>
      <c r="U171" s="3">
        <v>0</v>
      </c>
      <c r="V171" s="3" t="s">
        <v>35</v>
      </c>
      <c r="W171" s="3" t="s">
        <v>35</v>
      </c>
      <c r="X171" s="3" t="s">
        <v>35</v>
      </c>
      <c r="Y171" s="3" t="s">
        <v>35</v>
      </c>
      <c r="Z171" s="3" t="s">
        <v>35</v>
      </c>
      <c r="AA171" s="3" t="s">
        <v>35</v>
      </c>
    </row>
    <row r="172" s="3" customFormat="1" spans="1:27">
      <c r="A172" s="3" t="s">
        <v>112</v>
      </c>
      <c r="B172" s="3" t="s">
        <v>30</v>
      </c>
      <c r="C172" s="3">
        <v>8711966</v>
      </c>
      <c r="D172" s="13" t="s">
        <v>401</v>
      </c>
      <c r="E172" s="16">
        <v>44818.7172800926</v>
      </c>
      <c r="F172" s="3">
        <v>304.62</v>
      </c>
      <c r="G172" s="3">
        <v>0</v>
      </c>
      <c r="H172" s="3">
        <v>304.62</v>
      </c>
      <c r="I172" s="3">
        <v>-7.93</v>
      </c>
      <c r="J172" s="3">
        <v>0</v>
      </c>
      <c r="K172" s="3">
        <v>32.46</v>
      </c>
      <c r="L172" s="3">
        <v>93.08</v>
      </c>
      <c r="M172" s="3">
        <v>1210</v>
      </c>
      <c r="N172" s="3">
        <v>30.77</v>
      </c>
      <c r="O172" s="3">
        <v>400</v>
      </c>
      <c r="P172" s="3" t="s">
        <v>32</v>
      </c>
      <c r="Q172" s="3" t="s">
        <v>33</v>
      </c>
      <c r="R172" s="3" t="s">
        <v>271</v>
      </c>
      <c r="S172" s="3">
        <v>0</v>
      </c>
      <c r="T172" s="3">
        <v>60</v>
      </c>
      <c r="U172" s="3">
        <v>0</v>
      </c>
      <c r="V172" s="3" t="s">
        <v>35</v>
      </c>
      <c r="W172" s="3" t="s">
        <v>35</v>
      </c>
      <c r="X172" s="3" t="s">
        <v>35</v>
      </c>
      <c r="Y172" s="3" t="s">
        <v>35</v>
      </c>
      <c r="Z172" s="3" t="s">
        <v>35</v>
      </c>
      <c r="AA172" s="3" t="s">
        <v>35</v>
      </c>
    </row>
    <row r="173" s="3" customFormat="1" spans="1:27">
      <c r="A173" s="3" t="s">
        <v>112</v>
      </c>
      <c r="B173" s="3" t="s">
        <v>30</v>
      </c>
      <c r="C173" s="3">
        <v>21869227</v>
      </c>
      <c r="D173" s="13" t="s">
        <v>402</v>
      </c>
      <c r="E173" s="16">
        <v>46094.279525463</v>
      </c>
      <c r="F173" s="3">
        <v>1629.77</v>
      </c>
      <c r="G173" s="3">
        <v>0.08</v>
      </c>
      <c r="H173" s="3">
        <v>1629.69</v>
      </c>
      <c r="I173" s="3">
        <v>80.97</v>
      </c>
      <c r="J173" s="3">
        <v>-0.51</v>
      </c>
      <c r="K173" s="3">
        <v>81.48</v>
      </c>
      <c r="L173" s="3">
        <v>316.77</v>
      </c>
      <c r="M173" s="3">
        <v>4118</v>
      </c>
      <c r="N173" s="3">
        <v>316.77</v>
      </c>
      <c r="O173" s="3">
        <v>4118</v>
      </c>
      <c r="P173" s="3" t="s">
        <v>41</v>
      </c>
      <c r="Q173" s="3" t="s">
        <v>33</v>
      </c>
      <c r="R173" s="3" t="s">
        <v>271</v>
      </c>
      <c r="S173" s="3">
        <v>0</v>
      </c>
      <c r="T173" s="3">
        <v>206</v>
      </c>
      <c r="U173" s="3">
        <v>0</v>
      </c>
      <c r="V173" s="3" t="s">
        <v>35</v>
      </c>
      <c r="W173" s="3" t="s">
        <v>35</v>
      </c>
      <c r="X173" s="3" t="s">
        <v>35</v>
      </c>
      <c r="Y173" s="3" t="s">
        <v>35</v>
      </c>
      <c r="Z173" s="3" t="s">
        <v>35</v>
      </c>
      <c r="AA173" s="3" t="s">
        <v>35</v>
      </c>
    </row>
    <row r="174" s="3" customFormat="1" spans="1:27">
      <c r="A174" s="3" t="s">
        <v>112</v>
      </c>
      <c r="B174" s="3" t="s">
        <v>30</v>
      </c>
      <c r="C174" s="3">
        <v>19878098</v>
      </c>
      <c r="D174" s="13" t="s">
        <v>403</v>
      </c>
      <c r="E174" s="16">
        <v>45995.2789583333</v>
      </c>
      <c r="F174" s="3">
        <v>791.01</v>
      </c>
      <c r="G174" s="3">
        <v>0</v>
      </c>
      <c r="H174" s="3">
        <v>791.01</v>
      </c>
      <c r="I174" s="3">
        <v>47.76</v>
      </c>
      <c r="J174" s="3">
        <v>0</v>
      </c>
      <c r="K174" s="3">
        <v>47.76</v>
      </c>
      <c r="L174" s="3">
        <v>134.69</v>
      </c>
      <c r="M174" s="3">
        <v>1751</v>
      </c>
      <c r="N174" s="3">
        <v>39.46</v>
      </c>
      <c r="O174" s="3">
        <v>513</v>
      </c>
      <c r="P174" s="3" t="s">
        <v>32</v>
      </c>
      <c r="Q174" s="3" t="s">
        <v>33</v>
      </c>
      <c r="R174" s="3" t="s">
        <v>271</v>
      </c>
      <c r="S174" s="3">
        <v>0</v>
      </c>
      <c r="T174" s="3">
        <v>88</v>
      </c>
      <c r="U174" s="3">
        <v>0</v>
      </c>
      <c r="V174" s="3" t="s">
        <v>35</v>
      </c>
      <c r="W174" s="3" t="s">
        <v>35</v>
      </c>
      <c r="X174" s="3" t="s">
        <v>35</v>
      </c>
      <c r="Y174" s="3" t="s">
        <v>35</v>
      </c>
      <c r="Z174" s="3" t="s">
        <v>35</v>
      </c>
      <c r="AA174" s="3" t="s">
        <v>35</v>
      </c>
    </row>
    <row r="175" s="3" customFormat="1" spans="1:27">
      <c r="A175" s="3" t="s">
        <v>112</v>
      </c>
      <c r="B175" s="3" t="s">
        <v>30</v>
      </c>
      <c r="C175" s="3">
        <v>20180769</v>
      </c>
      <c r="D175" s="13" t="s">
        <v>404</v>
      </c>
      <c r="E175" s="16">
        <v>46009.5738310185</v>
      </c>
      <c r="F175" s="3">
        <v>2827.52</v>
      </c>
      <c r="G175" s="3">
        <v>0.15</v>
      </c>
      <c r="H175" s="3">
        <v>2827.36</v>
      </c>
      <c r="I175" s="3">
        <v>-79.51</v>
      </c>
      <c r="J175" s="3">
        <v>0.15</v>
      </c>
      <c r="K175" s="3">
        <v>-79.67</v>
      </c>
      <c r="L175" s="3">
        <v>658.38</v>
      </c>
      <c r="M175" s="3">
        <v>8559</v>
      </c>
      <c r="N175" s="3">
        <v>199.23</v>
      </c>
      <c r="O175" s="3">
        <v>2590</v>
      </c>
      <c r="P175" s="3" t="s">
        <v>41</v>
      </c>
      <c r="Q175" s="3" t="s">
        <v>33</v>
      </c>
      <c r="R175" s="3" t="s">
        <v>271</v>
      </c>
      <c r="S175" s="3">
        <v>0</v>
      </c>
      <c r="T175" s="3">
        <v>428</v>
      </c>
      <c r="U175" s="3">
        <v>0</v>
      </c>
      <c r="V175" s="3" t="s">
        <v>35</v>
      </c>
      <c r="W175" s="3" t="s">
        <v>35</v>
      </c>
      <c r="X175" s="3" t="s">
        <v>35</v>
      </c>
      <c r="Y175" s="3" t="s">
        <v>35</v>
      </c>
      <c r="Z175" s="3" t="s">
        <v>35</v>
      </c>
      <c r="AA175" s="3" t="s">
        <v>35</v>
      </c>
    </row>
    <row r="176" s="3" customFormat="1" spans="1:27">
      <c r="A176" s="3" t="s">
        <v>112</v>
      </c>
      <c r="B176" s="3" t="s">
        <v>30</v>
      </c>
      <c r="C176" s="3">
        <v>19040939</v>
      </c>
      <c r="D176" s="13" t="s">
        <v>405</v>
      </c>
      <c r="E176" s="16">
        <v>45951.2475231482</v>
      </c>
      <c r="F176" s="3">
        <v>45757.43</v>
      </c>
      <c r="G176" s="3">
        <v>0</v>
      </c>
      <c r="H176" s="3">
        <v>45757.43</v>
      </c>
      <c r="I176" s="3">
        <v>-1466.77</v>
      </c>
      <c r="J176" s="3">
        <v>0</v>
      </c>
      <c r="K176" s="3">
        <v>-1466.77</v>
      </c>
      <c r="L176" s="3">
        <v>10565.38</v>
      </c>
      <c r="M176" s="3">
        <v>137350</v>
      </c>
      <c r="N176" s="3">
        <v>5984.62</v>
      </c>
      <c r="O176" s="3">
        <v>77800</v>
      </c>
      <c r="P176" s="3" t="s">
        <v>41</v>
      </c>
      <c r="Q176" s="3" t="s">
        <v>42</v>
      </c>
      <c r="R176" s="3" t="s">
        <v>271</v>
      </c>
      <c r="S176" s="3">
        <v>0</v>
      </c>
      <c r="T176" s="3">
        <v>5000</v>
      </c>
      <c r="U176" s="3">
        <v>1</v>
      </c>
      <c r="V176" s="3">
        <v>1</v>
      </c>
      <c r="W176" s="3" t="s">
        <v>35</v>
      </c>
      <c r="X176" s="3" t="s">
        <v>35</v>
      </c>
      <c r="Y176" s="3" t="s">
        <v>35</v>
      </c>
      <c r="Z176" s="3" t="s">
        <v>35</v>
      </c>
      <c r="AA176" s="3" t="s">
        <v>35</v>
      </c>
    </row>
    <row r="177" s="3" customFormat="1" spans="1:27">
      <c r="A177" s="3" t="s">
        <v>112</v>
      </c>
      <c r="B177" s="3" t="s">
        <v>30</v>
      </c>
      <c r="C177" s="3">
        <v>22447938</v>
      </c>
      <c r="D177" s="13" t="s">
        <v>406</v>
      </c>
      <c r="E177" s="16">
        <v>46128.3022685185</v>
      </c>
      <c r="F177" s="3">
        <v>457.37</v>
      </c>
      <c r="G177" s="3">
        <v>0</v>
      </c>
      <c r="H177" s="3">
        <v>457.37</v>
      </c>
      <c r="I177" s="3">
        <v>77.46</v>
      </c>
      <c r="J177" s="3">
        <v>0</v>
      </c>
      <c r="K177" s="3">
        <v>77.46</v>
      </c>
      <c r="L177" s="3">
        <v>256.85</v>
      </c>
      <c r="M177" s="3">
        <v>3339</v>
      </c>
      <c r="N177" s="3">
        <v>256.85</v>
      </c>
      <c r="O177" s="3">
        <v>3339</v>
      </c>
      <c r="P177" s="3" t="s">
        <v>41</v>
      </c>
      <c r="Q177" s="3" t="s">
        <v>33</v>
      </c>
      <c r="R177" s="3" t="s">
        <v>271</v>
      </c>
      <c r="S177" s="3">
        <v>0</v>
      </c>
      <c r="T177" s="3">
        <v>167</v>
      </c>
      <c r="U177" s="3">
        <v>0</v>
      </c>
      <c r="V177" s="3" t="s">
        <v>35</v>
      </c>
      <c r="W177" s="3" t="s">
        <v>35</v>
      </c>
      <c r="X177" s="3" t="s">
        <v>35</v>
      </c>
      <c r="Y177" s="3" t="s">
        <v>35</v>
      </c>
      <c r="Z177" s="3" t="s">
        <v>35</v>
      </c>
      <c r="AA177" s="3" t="s">
        <v>35</v>
      </c>
    </row>
    <row r="178" s="3" customFormat="1" spans="1:27">
      <c r="A178" s="3" t="s">
        <v>112</v>
      </c>
      <c r="B178" s="3" t="s">
        <v>30</v>
      </c>
      <c r="C178" s="3">
        <v>16025459</v>
      </c>
      <c r="D178" s="13" t="s">
        <v>407</v>
      </c>
      <c r="E178" s="16">
        <v>45735.5367939815</v>
      </c>
      <c r="F178" s="3">
        <v>16154.48</v>
      </c>
      <c r="G178" s="3">
        <v>1.08</v>
      </c>
      <c r="H178" s="3">
        <v>16153.41</v>
      </c>
      <c r="I178" s="3">
        <v>153.39</v>
      </c>
      <c r="J178" s="3">
        <v>1.08</v>
      </c>
      <c r="K178" s="3">
        <v>152.32</v>
      </c>
      <c r="L178" s="3">
        <v>2903.23</v>
      </c>
      <c r="M178" s="3">
        <v>37742</v>
      </c>
      <c r="N178" s="3">
        <v>30.77</v>
      </c>
      <c r="O178" s="3">
        <v>400</v>
      </c>
      <c r="P178" s="3" t="s">
        <v>32</v>
      </c>
      <c r="Q178" s="3" t="s">
        <v>42</v>
      </c>
      <c r="R178" s="3" t="s">
        <v>271</v>
      </c>
      <c r="S178" s="3">
        <v>0</v>
      </c>
      <c r="T178" s="3">
        <v>1887</v>
      </c>
      <c r="U178" s="3">
        <v>0</v>
      </c>
      <c r="V178" s="3" t="s">
        <v>35</v>
      </c>
      <c r="W178" s="3" t="s">
        <v>35</v>
      </c>
      <c r="X178" s="3" t="s">
        <v>35</v>
      </c>
      <c r="Y178" s="3" t="s">
        <v>35</v>
      </c>
      <c r="Z178" s="3" t="s">
        <v>35</v>
      </c>
      <c r="AA178" s="3" t="s">
        <v>35</v>
      </c>
    </row>
    <row r="179" s="3" customFormat="1" spans="1:27">
      <c r="A179" s="3" t="s">
        <v>112</v>
      </c>
      <c r="B179" s="3" t="s">
        <v>30</v>
      </c>
      <c r="C179" s="3">
        <v>16059248</v>
      </c>
      <c r="D179" s="13" t="s">
        <v>408</v>
      </c>
      <c r="E179" s="16">
        <v>45742.1174421296</v>
      </c>
      <c r="F179" s="3">
        <v>8769.62</v>
      </c>
      <c r="G179" s="3">
        <v>5.81</v>
      </c>
      <c r="H179" s="3">
        <v>8761.96</v>
      </c>
      <c r="I179" s="3">
        <v>-976.06</v>
      </c>
      <c r="J179" s="3">
        <v>4</v>
      </c>
      <c r="K179" s="3">
        <v>-980.06</v>
      </c>
      <c r="L179" s="3">
        <v>1274.15</v>
      </c>
      <c r="M179" s="3">
        <v>16564</v>
      </c>
      <c r="N179" s="3">
        <v>513.38</v>
      </c>
      <c r="O179" s="3">
        <v>6674</v>
      </c>
      <c r="P179" s="3" t="s">
        <v>32</v>
      </c>
      <c r="Q179" s="3" t="s">
        <v>42</v>
      </c>
      <c r="R179" s="3" t="s">
        <v>271</v>
      </c>
      <c r="S179" s="3">
        <v>0</v>
      </c>
      <c r="T179" s="3">
        <v>828</v>
      </c>
      <c r="U179" s="3">
        <v>0</v>
      </c>
      <c r="V179" s="3" t="s">
        <v>35</v>
      </c>
      <c r="W179" s="3" t="s">
        <v>35</v>
      </c>
      <c r="X179" s="3" t="s">
        <v>35</v>
      </c>
      <c r="Y179" s="3" t="s">
        <v>35</v>
      </c>
      <c r="Z179" s="3" t="s">
        <v>35</v>
      </c>
      <c r="AA179" s="3" t="s">
        <v>35</v>
      </c>
    </row>
    <row r="180" s="3" customFormat="1" spans="1:27">
      <c r="A180" s="3" t="s">
        <v>112</v>
      </c>
      <c r="B180" s="3" t="s">
        <v>30</v>
      </c>
      <c r="C180" s="3">
        <v>18514567</v>
      </c>
      <c r="D180" s="13" t="s">
        <v>409</v>
      </c>
      <c r="E180" s="16">
        <v>45917.3792592593</v>
      </c>
      <c r="F180" s="3">
        <v>4369.2</v>
      </c>
      <c r="G180" s="3">
        <v>0.54</v>
      </c>
      <c r="H180" s="3">
        <v>4368.67</v>
      </c>
      <c r="I180" s="3">
        <v>221.58</v>
      </c>
      <c r="J180" s="3">
        <v>0.46</v>
      </c>
      <c r="K180" s="3">
        <v>221.13</v>
      </c>
      <c r="L180" s="3">
        <v>783.85</v>
      </c>
      <c r="M180" s="3">
        <v>10190</v>
      </c>
      <c r="N180" s="3">
        <v>30.77</v>
      </c>
      <c r="O180" s="3">
        <v>400</v>
      </c>
      <c r="P180" s="3" t="s">
        <v>41</v>
      </c>
      <c r="Q180" s="3" t="s">
        <v>33</v>
      </c>
      <c r="R180" s="3" t="s">
        <v>271</v>
      </c>
      <c r="S180" s="3">
        <v>0</v>
      </c>
      <c r="T180" s="3">
        <v>510</v>
      </c>
      <c r="U180" s="3">
        <v>0</v>
      </c>
      <c r="V180" s="3" t="s">
        <v>35</v>
      </c>
      <c r="W180" s="3" t="s">
        <v>35</v>
      </c>
      <c r="X180" s="3" t="s">
        <v>35</v>
      </c>
      <c r="Y180" s="3" t="s">
        <v>35</v>
      </c>
      <c r="Z180" s="3" t="s">
        <v>35</v>
      </c>
      <c r="AA180" s="3" t="s">
        <v>35</v>
      </c>
    </row>
    <row r="181" s="3" customFormat="1" spans="1:27">
      <c r="A181" s="3" t="s">
        <v>112</v>
      </c>
      <c r="B181" s="3" t="s">
        <v>30</v>
      </c>
      <c r="C181" s="3">
        <v>20093607</v>
      </c>
      <c r="D181" s="13" t="s">
        <v>410</v>
      </c>
      <c r="E181" s="16">
        <v>46004.7974305555</v>
      </c>
      <c r="F181" s="3">
        <v>153.59</v>
      </c>
      <c r="G181" s="3">
        <v>0</v>
      </c>
      <c r="H181" s="3">
        <v>153.59</v>
      </c>
      <c r="I181" s="3">
        <v>60.77</v>
      </c>
      <c r="J181" s="3">
        <v>0</v>
      </c>
      <c r="K181" s="3">
        <v>60.77</v>
      </c>
      <c r="L181" s="3">
        <v>60.77</v>
      </c>
      <c r="M181" s="3">
        <v>790</v>
      </c>
      <c r="N181" s="3">
        <v>35.54</v>
      </c>
      <c r="O181" s="3">
        <v>462</v>
      </c>
      <c r="P181" s="3" t="s">
        <v>41</v>
      </c>
      <c r="Q181" s="3" t="s">
        <v>33</v>
      </c>
      <c r="R181" s="3" t="s">
        <v>271</v>
      </c>
      <c r="S181" s="3">
        <v>0</v>
      </c>
      <c r="T181" s="3">
        <v>40</v>
      </c>
      <c r="U181" s="3">
        <v>0</v>
      </c>
      <c r="V181" s="3" t="s">
        <v>35</v>
      </c>
      <c r="W181" s="3" t="s">
        <v>35</v>
      </c>
      <c r="X181" s="3" t="s">
        <v>35</v>
      </c>
      <c r="Y181" s="3" t="s">
        <v>35</v>
      </c>
      <c r="Z181" s="3" t="s">
        <v>35</v>
      </c>
      <c r="AA181" s="3" t="s">
        <v>35</v>
      </c>
    </row>
    <row r="182" s="3" customFormat="1" spans="1:27">
      <c r="A182" s="3" t="s">
        <v>112</v>
      </c>
      <c r="B182" s="3" t="s">
        <v>30</v>
      </c>
      <c r="C182" s="3">
        <v>20641888</v>
      </c>
      <c r="D182" s="13" t="s">
        <v>411</v>
      </c>
      <c r="E182" s="16">
        <v>46031.1014699074</v>
      </c>
      <c r="F182" s="3">
        <v>3441.38</v>
      </c>
      <c r="G182" s="3">
        <v>0.85</v>
      </c>
      <c r="H182" s="3">
        <v>3440.53</v>
      </c>
      <c r="I182" s="3">
        <v>-13.32</v>
      </c>
      <c r="J182" s="3">
        <v>0.85</v>
      </c>
      <c r="K182" s="3">
        <v>-14.17</v>
      </c>
      <c r="L182" s="3">
        <v>698.54</v>
      </c>
      <c r="M182" s="3">
        <v>9081</v>
      </c>
      <c r="N182" s="3">
        <v>237.62</v>
      </c>
      <c r="O182" s="3">
        <v>3089</v>
      </c>
      <c r="P182" s="3" t="s">
        <v>32</v>
      </c>
      <c r="Q182" s="3" t="s">
        <v>33</v>
      </c>
      <c r="R182" s="3" t="s">
        <v>271</v>
      </c>
      <c r="S182" s="3">
        <v>0</v>
      </c>
      <c r="T182" s="3">
        <v>454</v>
      </c>
      <c r="U182" s="3">
        <v>0</v>
      </c>
      <c r="V182" s="3" t="s">
        <v>35</v>
      </c>
      <c r="W182" s="3" t="s">
        <v>35</v>
      </c>
      <c r="X182" s="3" t="s">
        <v>35</v>
      </c>
      <c r="Y182" s="3" t="s">
        <v>35</v>
      </c>
      <c r="Z182" s="3" t="s">
        <v>35</v>
      </c>
      <c r="AA182" s="3" t="s">
        <v>35</v>
      </c>
    </row>
    <row r="183" s="3" customFormat="1" spans="1:27">
      <c r="A183" s="3" t="s">
        <v>145</v>
      </c>
      <c r="B183" s="3" t="s">
        <v>30</v>
      </c>
      <c r="C183" s="3">
        <v>16812668</v>
      </c>
      <c r="D183" s="13">
        <v>233202471977</v>
      </c>
      <c r="E183" s="16">
        <v>45805.8549537037</v>
      </c>
      <c r="F183" s="3">
        <v>850.73</v>
      </c>
      <c r="G183" s="3">
        <v>79.62</v>
      </c>
      <c r="H183" s="3">
        <v>771.11</v>
      </c>
      <c r="I183" s="3">
        <v>210.46</v>
      </c>
      <c r="J183" s="3">
        <v>75.88</v>
      </c>
      <c r="K183" s="3">
        <v>134.58</v>
      </c>
      <c r="L183" s="3">
        <v>242</v>
      </c>
      <c r="M183" s="3">
        <v>3146</v>
      </c>
      <c r="N183" s="3">
        <v>16.15</v>
      </c>
      <c r="O183" s="3">
        <v>209.95</v>
      </c>
      <c r="P183" s="3" t="s">
        <v>61</v>
      </c>
      <c r="Q183" s="3" t="s">
        <v>33</v>
      </c>
      <c r="R183" s="3" t="s">
        <v>412</v>
      </c>
      <c r="S183" s="3">
        <v>120</v>
      </c>
      <c r="T183" s="3">
        <v>79</v>
      </c>
      <c r="U183" s="3">
        <v>0</v>
      </c>
      <c r="V183" s="3" t="s">
        <v>35</v>
      </c>
      <c r="W183" s="3" t="s">
        <v>35</v>
      </c>
      <c r="X183" s="3" t="s">
        <v>35</v>
      </c>
      <c r="Y183" s="3" t="s">
        <v>35</v>
      </c>
      <c r="Z183" s="3" t="s">
        <v>35</v>
      </c>
      <c r="AA183" s="3" t="s">
        <v>35</v>
      </c>
    </row>
    <row r="184" s="3" customFormat="1" spans="1:27">
      <c r="A184" s="3" t="s">
        <v>145</v>
      </c>
      <c r="B184" s="3" t="s">
        <v>30</v>
      </c>
      <c r="C184" s="3">
        <v>16779578</v>
      </c>
      <c r="D184" s="13">
        <v>233203465830</v>
      </c>
      <c r="E184" s="16">
        <v>45802.0469907407</v>
      </c>
      <c r="F184" s="3">
        <v>207.99</v>
      </c>
      <c r="G184" s="3">
        <v>0</v>
      </c>
      <c r="H184" s="3">
        <v>207.99</v>
      </c>
      <c r="I184" s="3">
        <v>23.32</v>
      </c>
      <c r="J184" s="3">
        <v>0</v>
      </c>
      <c r="K184" s="3">
        <v>24.93</v>
      </c>
      <c r="L184" s="3">
        <v>55.92</v>
      </c>
      <c r="M184" s="3">
        <v>727</v>
      </c>
      <c r="N184" s="3">
        <v>3.08</v>
      </c>
      <c r="O184" s="3">
        <v>40.04</v>
      </c>
      <c r="P184" s="3" t="s">
        <v>41</v>
      </c>
      <c r="Q184" s="3" t="s">
        <v>33</v>
      </c>
      <c r="R184" s="3" t="s">
        <v>412</v>
      </c>
      <c r="S184" s="3">
        <v>0</v>
      </c>
      <c r="T184" s="3">
        <v>36</v>
      </c>
      <c r="U184" s="3">
        <v>0</v>
      </c>
      <c r="V184" s="3" t="s">
        <v>35</v>
      </c>
      <c r="W184" s="3" t="s">
        <v>35</v>
      </c>
      <c r="X184" s="3" t="s">
        <v>35</v>
      </c>
      <c r="Y184" s="3" t="s">
        <v>35</v>
      </c>
      <c r="Z184" s="3" t="s">
        <v>35</v>
      </c>
      <c r="AA184" s="3" t="s">
        <v>35</v>
      </c>
    </row>
    <row r="185" s="3" customFormat="1" spans="1:27">
      <c r="A185" s="3" t="s">
        <v>145</v>
      </c>
      <c r="B185" s="3" t="s">
        <v>30</v>
      </c>
      <c r="C185" s="3">
        <v>20398158</v>
      </c>
      <c r="D185" s="13">
        <v>233242406918</v>
      </c>
      <c r="E185" s="16">
        <v>46019.9751851852</v>
      </c>
      <c r="F185" s="3">
        <v>2174.4</v>
      </c>
      <c r="G185" s="3">
        <v>4.55</v>
      </c>
      <c r="H185" s="3">
        <v>2169.85</v>
      </c>
      <c r="I185" s="3">
        <v>187.12</v>
      </c>
      <c r="J185" s="3">
        <v>4.38</v>
      </c>
      <c r="K185" s="3">
        <v>182.74</v>
      </c>
      <c r="L185" s="3">
        <v>684.77</v>
      </c>
      <c r="M185" s="3">
        <v>8902</v>
      </c>
      <c r="N185" s="3">
        <v>1160.46</v>
      </c>
      <c r="O185" s="3">
        <v>15085.98</v>
      </c>
      <c r="P185" s="3" t="s">
        <v>32</v>
      </c>
      <c r="Q185" s="3" t="s">
        <v>33</v>
      </c>
      <c r="R185" s="3" t="s">
        <v>412</v>
      </c>
      <c r="S185" s="3">
        <v>0</v>
      </c>
      <c r="T185" s="3">
        <v>445</v>
      </c>
      <c r="U185" s="3">
        <v>0</v>
      </c>
      <c r="V185" s="3" t="s">
        <v>35</v>
      </c>
      <c r="W185" s="3" t="s">
        <v>35</v>
      </c>
      <c r="X185" s="3" t="s">
        <v>35</v>
      </c>
      <c r="Y185" s="3" t="s">
        <v>35</v>
      </c>
      <c r="Z185" s="3" t="s">
        <v>35</v>
      </c>
      <c r="AA185" s="3" t="s">
        <v>35</v>
      </c>
    </row>
    <row r="186" s="3" customFormat="1" spans="1:27">
      <c r="A186" s="3" t="s">
        <v>145</v>
      </c>
      <c r="B186" s="3" t="s">
        <v>30</v>
      </c>
      <c r="C186" s="3">
        <v>22187969</v>
      </c>
      <c r="D186" s="13">
        <v>233245082056</v>
      </c>
      <c r="E186" s="16">
        <v>46113.2713888889</v>
      </c>
      <c r="F186" s="3">
        <v>168.46</v>
      </c>
      <c r="G186" s="3">
        <v>0</v>
      </c>
      <c r="H186" s="3">
        <v>168.46</v>
      </c>
      <c r="I186" s="3">
        <v>31.5</v>
      </c>
      <c r="J186" s="3">
        <v>0</v>
      </c>
      <c r="K186" s="3">
        <v>31.5</v>
      </c>
      <c r="L186" s="3">
        <v>58.69</v>
      </c>
      <c r="M186" s="3">
        <v>763</v>
      </c>
      <c r="N186" s="3">
        <v>58.69</v>
      </c>
      <c r="O186" s="3">
        <v>762.97</v>
      </c>
      <c r="P186" s="3" t="s">
        <v>41</v>
      </c>
      <c r="Q186" s="3" t="s">
        <v>33</v>
      </c>
      <c r="R186" s="3" t="s">
        <v>412</v>
      </c>
      <c r="S186" s="3">
        <v>0</v>
      </c>
      <c r="T186" s="3">
        <v>38</v>
      </c>
      <c r="U186" s="3">
        <v>0</v>
      </c>
      <c r="V186" s="3" t="s">
        <v>35</v>
      </c>
      <c r="W186" s="3" t="s">
        <v>35</v>
      </c>
      <c r="X186" s="3" t="s">
        <v>35</v>
      </c>
      <c r="Y186" s="3" t="s">
        <v>35</v>
      </c>
      <c r="Z186" s="3" t="s">
        <v>35</v>
      </c>
      <c r="AA186" s="3" t="s">
        <v>35</v>
      </c>
    </row>
    <row r="187" s="3" customFormat="1" spans="1:27">
      <c r="A187" s="3" t="s">
        <v>145</v>
      </c>
      <c r="B187" s="3" t="s">
        <v>30</v>
      </c>
      <c r="C187" s="3">
        <v>17855357</v>
      </c>
      <c r="D187" s="13">
        <v>233245726619</v>
      </c>
      <c r="E187" s="16">
        <v>45879.416875</v>
      </c>
      <c r="F187" s="3">
        <v>2263.83</v>
      </c>
      <c r="G187" s="3">
        <v>0</v>
      </c>
      <c r="H187" s="3">
        <v>2263.83</v>
      </c>
      <c r="I187" s="3">
        <v>332.13</v>
      </c>
      <c r="J187" s="3">
        <v>0</v>
      </c>
      <c r="K187" s="3">
        <v>332.13</v>
      </c>
      <c r="L187" s="3">
        <v>679.85</v>
      </c>
      <c r="M187" s="3">
        <v>8838</v>
      </c>
      <c r="N187" s="3">
        <v>94.62</v>
      </c>
      <c r="O187" s="3">
        <v>1230.06</v>
      </c>
      <c r="P187" s="3" t="s">
        <v>41</v>
      </c>
      <c r="Q187" s="3" t="s">
        <v>33</v>
      </c>
      <c r="R187" s="3" t="s">
        <v>412</v>
      </c>
      <c r="S187" s="3">
        <v>0</v>
      </c>
      <c r="T187" s="3">
        <v>442</v>
      </c>
      <c r="U187" s="3">
        <v>0</v>
      </c>
      <c r="V187" s="3" t="s">
        <v>35</v>
      </c>
      <c r="W187" s="3" t="s">
        <v>35</v>
      </c>
      <c r="X187" s="3" t="s">
        <v>35</v>
      </c>
      <c r="Y187" s="3" t="s">
        <v>35</v>
      </c>
      <c r="Z187" s="3" t="s">
        <v>35</v>
      </c>
      <c r="AA187" s="3" t="s">
        <v>35</v>
      </c>
    </row>
    <row r="188" s="3" customFormat="1" spans="1:27">
      <c r="A188" s="3" t="s">
        <v>145</v>
      </c>
      <c r="B188" s="3" t="s">
        <v>30</v>
      </c>
      <c r="C188" s="3">
        <v>21812127</v>
      </c>
      <c r="D188" s="13">
        <v>233248593147</v>
      </c>
      <c r="E188" s="16">
        <v>46091.5370717593</v>
      </c>
      <c r="F188" s="3">
        <v>810.58</v>
      </c>
      <c r="G188" s="3">
        <v>0</v>
      </c>
      <c r="H188" s="3">
        <v>810.58</v>
      </c>
      <c r="I188" s="3">
        <v>126.05</v>
      </c>
      <c r="J188" s="3">
        <v>0</v>
      </c>
      <c r="K188" s="3">
        <v>126.05</v>
      </c>
      <c r="L188" s="3">
        <v>141.46</v>
      </c>
      <c r="M188" s="3">
        <v>1839</v>
      </c>
      <c r="N188" s="3">
        <v>141.46</v>
      </c>
      <c r="O188" s="3">
        <v>1838.98</v>
      </c>
      <c r="P188" s="3" t="s">
        <v>32</v>
      </c>
      <c r="Q188" s="3" t="s">
        <v>33</v>
      </c>
      <c r="R188" s="3" t="s">
        <v>412</v>
      </c>
      <c r="S188" s="3">
        <v>0</v>
      </c>
      <c r="T188" s="3">
        <v>92</v>
      </c>
      <c r="U188" s="3">
        <v>0</v>
      </c>
      <c r="V188" s="3" t="s">
        <v>35</v>
      </c>
      <c r="W188" s="3" t="s">
        <v>35</v>
      </c>
      <c r="X188" s="3" t="s">
        <v>35</v>
      </c>
      <c r="Y188" s="3" t="s">
        <v>35</v>
      </c>
      <c r="Z188" s="3" t="s">
        <v>35</v>
      </c>
      <c r="AA188" s="3" t="s">
        <v>35</v>
      </c>
    </row>
    <row r="189" s="3" customFormat="1" spans="1:27">
      <c r="A189" s="3" t="s">
        <v>145</v>
      </c>
      <c r="B189" s="3" t="s">
        <v>30</v>
      </c>
      <c r="C189" s="3">
        <v>16229428</v>
      </c>
      <c r="D189" s="13">
        <v>233257746231</v>
      </c>
      <c r="E189" s="16">
        <v>45760.5818287037</v>
      </c>
      <c r="F189" s="3">
        <v>304.02</v>
      </c>
      <c r="G189" s="3">
        <v>180.71</v>
      </c>
      <c r="H189" s="3">
        <v>123.31</v>
      </c>
      <c r="I189" s="3">
        <v>102.87</v>
      </c>
      <c r="J189" s="3">
        <v>96.6</v>
      </c>
      <c r="K189" s="3">
        <v>6.27</v>
      </c>
      <c r="L189" s="3">
        <v>144.15</v>
      </c>
      <c r="M189" s="3">
        <v>1874</v>
      </c>
      <c r="N189" s="3">
        <v>15.38</v>
      </c>
      <c r="O189" s="3">
        <v>199.94</v>
      </c>
      <c r="P189" s="3" t="s">
        <v>61</v>
      </c>
      <c r="Q189" s="3" t="s">
        <v>33</v>
      </c>
      <c r="R189" s="3" t="s">
        <v>412</v>
      </c>
      <c r="S189" s="3">
        <v>120</v>
      </c>
      <c r="T189" s="3">
        <v>47</v>
      </c>
      <c r="U189" s="3">
        <v>0</v>
      </c>
      <c r="V189" s="3" t="s">
        <v>35</v>
      </c>
      <c r="W189" s="3" t="s">
        <v>35</v>
      </c>
      <c r="X189" s="3" t="s">
        <v>35</v>
      </c>
      <c r="Y189" s="3" t="s">
        <v>35</v>
      </c>
      <c r="Z189" s="3" t="s">
        <v>35</v>
      </c>
      <c r="AA189" s="3" t="s">
        <v>35</v>
      </c>
    </row>
    <row r="190" s="3" customFormat="1" spans="1:27">
      <c r="A190" s="3" t="s">
        <v>145</v>
      </c>
      <c r="B190" s="3" t="s">
        <v>30</v>
      </c>
      <c r="C190" s="3">
        <v>10451947</v>
      </c>
      <c r="D190" s="13">
        <v>233500148658</v>
      </c>
      <c r="E190" s="16">
        <v>45155.2181018519</v>
      </c>
      <c r="F190" s="3">
        <v>617.9</v>
      </c>
      <c r="G190" s="3">
        <v>0.92</v>
      </c>
      <c r="H190" s="3">
        <v>616.98</v>
      </c>
      <c r="I190" s="3">
        <v>52.46</v>
      </c>
      <c r="J190" s="3">
        <v>-1.47</v>
      </c>
      <c r="K190" s="3">
        <v>53.93</v>
      </c>
      <c r="L190" s="3">
        <v>218</v>
      </c>
      <c r="M190" s="3">
        <v>2834</v>
      </c>
      <c r="N190" s="3">
        <v>0</v>
      </c>
      <c r="O190" s="3">
        <v>0</v>
      </c>
      <c r="P190" s="3" t="s">
        <v>41</v>
      </c>
      <c r="Q190" s="3" t="s">
        <v>33</v>
      </c>
      <c r="R190" s="3" t="s">
        <v>412</v>
      </c>
      <c r="S190" s="3">
        <v>0</v>
      </c>
      <c r="T190" s="3">
        <v>142</v>
      </c>
      <c r="U190" s="3">
        <v>0</v>
      </c>
      <c r="V190" s="3" t="s">
        <v>35</v>
      </c>
      <c r="W190" s="3" t="s">
        <v>35</v>
      </c>
      <c r="X190" s="3" t="s">
        <v>35</v>
      </c>
      <c r="Y190" s="3" t="s">
        <v>35</v>
      </c>
      <c r="Z190" s="3" t="s">
        <v>35</v>
      </c>
      <c r="AA190" s="3" t="s">
        <v>35</v>
      </c>
    </row>
    <row r="191" s="3" customFormat="1" spans="1:27">
      <c r="A191" s="3" t="s">
        <v>145</v>
      </c>
      <c r="B191" s="3" t="s">
        <v>30</v>
      </c>
      <c r="C191" s="3">
        <v>8390697</v>
      </c>
      <c r="D191" s="13">
        <v>233503314322</v>
      </c>
      <c r="E191" s="16">
        <v>44772.3188078704</v>
      </c>
      <c r="F191" s="3">
        <v>968.69</v>
      </c>
      <c r="G191" s="3">
        <v>98.46</v>
      </c>
      <c r="H191" s="3">
        <v>870.23</v>
      </c>
      <c r="I191" s="3">
        <v>163.72</v>
      </c>
      <c r="J191" s="3">
        <v>51.88</v>
      </c>
      <c r="K191" s="3">
        <v>111.84</v>
      </c>
      <c r="L191" s="3">
        <v>195.31</v>
      </c>
      <c r="M191" s="3">
        <v>2539</v>
      </c>
      <c r="N191" s="3">
        <v>195.31</v>
      </c>
      <c r="O191" s="3">
        <v>2539.03</v>
      </c>
      <c r="P191" s="3" t="s">
        <v>61</v>
      </c>
      <c r="Q191" s="3" t="s">
        <v>33</v>
      </c>
      <c r="R191" s="3" t="s">
        <v>412</v>
      </c>
      <c r="S191" s="3">
        <v>120</v>
      </c>
      <c r="T191" s="3">
        <v>64</v>
      </c>
      <c r="U191" s="3">
        <v>0</v>
      </c>
      <c r="V191" s="3" t="s">
        <v>35</v>
      </c>
      <c r="W191" s="3" t="s">
        <v>35</v>
      </c>
      <c r="X191" s="3" t="s">
        <v>35</v>
      </c>
      <c r="Y191" s="3" t="s">
        <v>35</v>
      </c>
      <c r="Z191" s="3" t="s">
        <v>35</v>
      </c>
      <c r="AA191" s="3" t="s">
        <v>35</v>
      </c>
    </row>
    <row r="192" s="3" customFormat="1" spans="1:27">
      <c r="A192" s="3" t="s">
        <v>145</v>
      </c>
      <c r="B192" s="3" t="s">
        <v>30</v>
      </c>
      <c r="C192" s="3">
        <v>21006907</v>
      </c>
      <c r="D192" s="13">
        <v>233503600463</v>
      </c>
      <c r="E192" s="16">
        <v>46050.3440856481</v>
      </c>
      <c r="F192" s="3">
        <v>703.42</v>
      </c>
      <c r="G192" s="3">
        <v>339.53</v>
      </c>
      <c r="H192" s="3">
        <v>363.88</v>
      </c>
      <c r="I192" s="3">
        <v>94.92</v>
      </c>
      <c r="J192" s="3">
        <v>78.04</v>
      </c>
      <c r="K192" s="3">
        <v>16.88</v>
      </c>
      <c r="L192" s="3">
        <v>212</v>
      </c>
      <c r="M192" s="3">
        <v>2756</v>
      </c>
      <c r="N192" s="3">
        <v>212</v>
      </c>
      <c r="O192" s="3">
        <v>2756</v>
      </c>
      <c r="P192" s="3" t="s">
        <v>61</v>
      </c>
      <c r="Q192" s="3" t="s">
        <v>33</v>
      </c>
      <c r="R192" s="3" t="s">
        <v>412</v>
      </c>
      <c r="S192" s="3">
        <v>120</v>
      </c>
      <c r="T192" s="3">
        <v>69</v>
      </c>
      <c r="U192" s="3">
        <v>0</v>
      </c>
      <c r="V192" s="3" t="s">
        <v>35</v>
      </c>
      <c r="W192" s="3" t="s">
        <v>35</v>
      </c>
      <c r="X192" s="3" t="s">
        <v>35</v>
      </c>
      <c r="Y192" s="3" t="s">
        <v>35</v>
      </c>
      <c r="Z192" s="3" t="s">
        <v>35</v>
      </c>
      <c r="AA192" s="3" t="s">
        <v>35</v>
      </c>
    </row>
    <row r="193" s="3" customFormat="1" spans="1:27">
      <c r="A193" s="3" t="s">
        <v>145</v>
      </c>
      <c r="B193" s="3" t="s">
        <v>30</v>
      </c>
      <c r="C193" s="3">
        <v>20721976</v>
      </c>
      <c r="D193" s="13">
        <v>233505271584</v>
      </c>
      <c r="E193" s="16">
        <v>46034.9221064815</v>
      </c>
      <c r="F193" s="3">
        <v>965.97</v>
      </c>
      <c r="G193" s="3">
        <v>41.5</v>
      </c>
      <c r="H193" s="3">
        <v>924.47</v>
      </c>
      <c r="I193" s="3">
        <v>24.01</v>
      </c>
      <c r="J193" s="3">
        <v>24.52</v>
      </c>
      <c r="K193" s="3">
        <v>-0.5</v>
      </c>
      <c r="L193" s="3">
        <v>70.69</v>
      </c>
      <c r="M193" s="3">
        <v>919</v>
      </c>
      <c r="N193" s="3">
        <v>15.62</v>
      </c>
      <c r="O193" s="3">
        <v>203.06</v>
      </c>
      <c r="P193" s="3" t="s">
        <v>41</v>
      </c>
      <c r="Q193" s="3" t="s">
        <v>33</v>
      </c>
      <c r="R193" s="3" t="s">
        <v>412</v>
      </c>
      <c r="S193" s="3">
        <v>0</v>
      </c>
      <c r="T193" s="3">
        <v>46</v>
      </c>
      <c r="U193" s="3">
        <v>0</v>
      </c>
      <c r="V193" s="3" t="s">
        <v>35</v>
      </c>
      <c r="W193" s="3" t="s">
        <v>35</v>
      </c>
      <c r="X193" s="3" t="s">
        <v>35</v>
      </c>
      <c r="Y193" s="3" t="s">
        <v>35</v>
      </c>
      <c r="Z193" s="3" t="s">
        <v>35</v>
      </c>
      <c r="AA193" s="3" t="s">
        <v>35</v>
      </c>
    </row>
    <row r="194" s="3" customFormat="1" spans="1:27">
      <c r="A194" s="3" t="s">
        <v>145</v>
      </c>
      <c r="B194" s="3" t="s">
        <v>30</v>
      </c>
      <c r="C194" s="3">
        <v>15687696</v>
      </c>
      <c r="D194" s="13">
        <v>233531369812</v>
      </c>
      <c r="E194" s="16">
        <v>45689.9504166667</v>
      </c>
      <c r="F194" s="3">
        <v>737.43</v>
      </c>
      <c r="G194" s="3">
        <v>14.85</v>
      </c>
      <c r="H194" s="3">
        <v>722.59</v>
      </c>
      <c r="I194" s="3">
        <v>113.23</v>
      </c>
      <c r="J194" s="3">
        <v>8.64</v>
      </c>
      <c r="K194" s="3">
        <v>104.6</v>
      </c>
      <c r="L194" s="3">
        <v>264.54</v>
      </c>
      <c r="M194" s="3">
        <v>3439</v>
      </c>
      <c r="N194" s="3">
        <v>4.46</v>
      </c>
      <c r="O194" s="3">
        <v>57.98</v>
      </c>
      <c r="P194" s="3" t="s">
        <v>32</v>
      </c>
      <c r="Q194" s="3" t="s">
        <v>33</v>
      </c>
      <c r="R194" s="3" t="s">
        <v>412</v>
      </c>
      <c r="S194" s="3">
        <v>0</v>
      </c>
      <c r="T194" s="3">
        <v>172</v>
      </c>
      <c r="U194" s="3">
        <v>0</v>
      </c>
      <c r="V194" s="3" t="s">
        <v>35</v>
      </c>
      <c r="W194" s="3" t="s">
        <v>35</v>
      </c>
      <c r="X194" s="3" t="s">
        <v>35</v>
      </c>
      <c r="Y194" s="3" t="s">
        <v>35</v>
      </c>
      <c r="Z194" s="3" t="s">
        <v>35</v>
      </c>
      <c r="AA194" s="3" t="s">
        <v>35</v>
      </c>
    </row>
    <row r="195" s="3" customFormat="1" spans="1:27">
      <c r="A195" s="3" t="s">
        <v>145</v>
      </c>
      <c r="B195" s="3" t="s">
        <v>30</v>
      </c>
      <c r="C195" s="3">
        <v>21012159</v>
      </c>
      <c r="D195" s="13">
        <v>233531936605</v>
      </c>
      <c r="E195" s="16">
        <v>46050.590625</v>
      </c>
      <c r="F195" s="3">
        <v>572.96</v>
      </c>
      <c r="G195" s="3">
        <v>326.77</v>
      </c>
      <c r="H195" s="3">
        <v>246.19</v>
      </c>
      <c r="I195" s="3">
        <v>-9.26</v>
      </c>
      <c r="J195" s="3">
        <v>-29.23</v>
      </c>
      <c r="K195" s="3">
        <v>19.97</v>
      </c>
      <c r="L195" s="3">
        <v>348.62</v>
      </c>
      <c r="M195" s="3">
        <v>4532</v>
      </c>
      <c r="N195" s="3">
        <v>242.62</v>
      </c>
      <c r="O195" s="3">
        <v>3154.06</v>
      </c>
      <c r="P195" s="3" t="s">
        <v>61</v>
      </c>
      <c r="Q195" s="3" t="s">
        <v>33</v>
      </c>
      <c r="R195" s="3" t="s">
        <v>412</v>
      </c>
      <c r="S195" s="3">
        <v>120</v>
      </c>
      <c r="T195" s="3">
        <v>114</v>
      </c>
      <c r="U195" s="3">
        <v>0</v>
      </c>
      <c r="V195" s="3" t="s">
        <v>35</v>
      </c>
      <c r="W195" s="3" t="s">
        <v>35</v>
      </c>
      <c r="X195" s="3" t="s">
        <v>35</v>
      </c>
      <c r="Y195" s="3" t="s">
        <v>35</v>
      </c>
      <c r="Z195" s="3" t="s">
        <v>35</v>
      </c>
      <c r="AA195" s="3" t="s">
        <v>35</v>
      </c>
    </row>
    <row r="196" s="3" customFormat="1" spans="1:27">
      <c r="A196" s="3" t="s">
        <v>145</v>
      </c>
      <c r="B196" s="3" t="s">
        <v>30</v>
      </c>
      <c r="C196" s="3">
        <v>20723339</v>
      </c>
      <c r="D196" s="13">
        <v>233534221912</v>
      </c>
      <c r="E196" s="16">
        <v>46035.0433449074</v>
      </c>
      <c r="F196" s="3">
        <v>1249.21</v>
      </c>
      <c r="G196" s="3">
        <v>528.57</v>
      </c>
      <c r="H196" s="3">
        <v>720.65</v>
      </c>
      <c r="I196" s="3">
        <v>92.61</v>
      </c>
      <c r="J196" s="3">
        <v>60.71</v>
      </c>
      <c r="K196" s="3">
        <v>31.91</v>
      </c>
      <c r="L196" s="3">
        <v>352.04</v>
      </c>
      <c r="M196" s="3">
        <v>4576.5</v>
      </c>
      <c r="N196" s="3">
        <v>894.23</v>
      </c>
      <c r="O196" s="3">
        <v>11624.99</v>
      </c>
      <c r="P196" s="3" t="s">
        <v>61</v>
      </c>
      <c r="Q196" s="3" t="s">
        <v>33</v>
      </c>
      <c r="R196" s="3" t="s">
        <v>412</v>
      </c>
      <c r="S196" s="3">
        <v>120</v>
      </c>
      <c r="T196" s="3">
        <v>115</v>
      </c>
      <c r="U196" s="3">
        <v>0</v>
      </c>
      <c r="V196" s="3" t="s">
        <v>35</v>
      </c>
      <c r="W196" s="3" t="s">
        <v>35</v>
      </c>
      <c r="X196" s="3" t="s">
        <v>35</v>
      </c>
      <c r="Y196" s="3" t="s">
        <v>35</v>
      </c>
      <c r="Z196" s="3" t="s">
        <v>35</v>
      </c>
      <c r="AA196" s="3" t="s">
        <v>35</v>
      </c>
    </row>
    <row r="197" s="3" customFormat="1" spans="1:27">
      <c r="A197" s="3" t="s">
        <v>145</v>
      </c>
      <c r="B197" s="3" t="s">
        <v>30</v>
      </c>
      <c r="C197" s="3">
        <v>20453866</v>
      </c>
      <c r="D197" s="13">
        <v>233535475914</v>
      </c>
      <c r="E197" s="16">
        <v>46022.8482175926</v>
      </c>
      <c r="F197" s="3">
        <v>12832.43</v>
      </c>
      <c r="G197" s="3">
        <v>0.08</v>
      </c>
      <c r="H197" s="3">
        <v>12831.66</v>
      </c>
      <c r="I197" s="3">
        <v>713.63</v>
      </c>
      <c r="J197" s="3">
        <v>0.08</v>
      </c>
      <c r="K197" s="3">
        <v>713.55</v>
      </c>
      <c r="L197" s="3">
        <v>2130.31</v>
      </c>
      <c r="M197" s="3">
        <v>27694</v>
      </c>
      <c r="N197" s="3">
        <v>1818.54</v>
      </c>
      <c r="O197" s="3">
        <v>23641.02</v>
      </c>
      <c r="P197" s="3" t="s">
        <v>41</v>
      </c>
      <c r="Q197" s="3" t="s">
        <v>42</v>
      </c>
      <c r="R197" s="3" t="s">
        <v>412</v>
      </c>
      <c r="S197" s="3">
        <v>0</v>
      </c>
      <c r="T197" s="3">
        <v>1385</v>
      </c>
      <c r="U197" s="3">
        <v>0</v>
      </c>
      <c r="V197" s="3" t="s">
        <v>35</v>
      </c>
      <c r="W197" s="3" t="s">
        <v>35</v>
      </c>
      <c r="X197" s="3" t="s">
        <v>35</v>
      </c>
      <c r="Y197" s="3" t="s">
        <v>35</v>
      </c>
      <c r="Z197" s="3" t="s">
        <v>35</v>
      </c>
      <c r="AA197" s="3" t="s">
        <v>35</v>
      </c>
    </row>
    <row r="198" s="3" customFormat="1" spans="1:27">
      <c r="A198" s="3" t="s">
        <v>145</v>
      </c>
      <c r="B198" s="3" t="s">
        <v>30</v>
      </c>
      <c r="C198" s="3">
        <v>14561318</v>
      </c>
      <c r="D198" s="13">
        <v>233536447577</v>
      </c>
      <c r="E198" s="16">
        <v>45605.8153935185</v>
      </c>
      <c r="F198" s="3">
        <v>808.99</v>
      </c>
      <c r="G198" s="3">
        <v>23</v>
      </c>
      <c r="H198" s="3">
        <v>785.99</v>
      </c>
      <c r="I198" s="3">
        <v>0.46</v>
      </c>
      <c r="J198" s="3">
        <v>-10.82</v>
      </c>
      <c r="K198" s="3">
        <v>11.28</v>
      </c>
      <c r="L198" s="3">
        <v>201.62</v>
      </c>
      <c r="M198" s="3">
        <v>2621</v>
      </c>
      <c r="N198" s="3">
        <v>195</v>
      </c>
      <c r="O198" s="3">
        <v>2535</v>
      </c>
      <c r="P198" s="3" t="s">
        <v>41</v>
      </c>
      <c r="Q198" s="3" t="s">
        <v>33</v>
      </c>
      <c r="R198" s="3" t="s">
        <v>412</v>
      </c>
      <c r="S198" s="3">
        <v>0</v>
      </c>
      <c r="T198" s="3">
        <v>131</v>
      </c>
      <c r="U198" s="3">
        <v>0</v>
      </c>
      <c r="V198" s="3" t="s">
        <v>35</v>
      </c>
      <c r="W198" s="3" t="s">
        <v>35</v>
      </c>
      <c r="X198" s="3" t="s">
        <v>35</v>
      </c>
      <c r="Y198" s="3" t="s">
        <v>35</v>
      </c>
      <c r="Z198" s="3" t="s">
        <v>35</v>
      </c>
      <c r="AA198" s="3" t="s">
        <v>35</v>
      </c>
    </row>
    <row r="199" s="3" customFormat="1" spans="1:27">
      <c r="A199" s="3" t="s">
        <v>145</v>
      </c>
      <c r="B199" s="3" t="s">
        <v>30</v>
      </c>
      <c r="C199" s="3">
        <v>13973508</v>
      </c>
      <c r="D199" s="13">
        <v>233536522217</v>
      </c>
      <c r="E199" s="16">
        <v>45567.3221759259</v>
      </c>
      <c r="F199" s="3">
        <v>9600.04</v>
      </c>
      <c r="G199" s="3">
        <v>12.3</v>
      </c>
      <c r="H199" s="3">
        <v>9587.51</v>
      </c>
      <c r="I199" s="3">
        <v>123.88</v>
      </c>
      <c r="J199" s="3">
        <v>2.11</v>
      </c>
      <c r="K199" s="3">
        <v>121.76</v>
      </c>
      <c r="L199" s="3">
        <v>1785.85</v>
      </c>
      <c r="M199" s="3">
        <v>23216</v>
      </c>
      <c r="N199" s="3">
        <v>804.46</v>
      </c>
      <c r="O199" s="3">
        <v>10457.98</v>
      </c>
      <c r="P199" s="3" t="s">
        <v>32</v>
      </c>
      <c r="Q199" s="3" t="s">
        <v>42</v>
      </c>
      <c r="R199" s="3" t="s">
        <v>412</v>
      </c>
      <c r="S199" s="3">
        <v>0</v>
      </c>
      <c r="T199" s="3">
        <v>1161</v>
      </c>
      <c r="U199" s="3">
        <v>0</v>
      </c>
      <c r="V199" s="3" t="s">
        <v>35</v>
      </c>
      <c r="W199" s="3" t="s">
        <v>35</v>
      </c>
      <c r="X199" s="3" t="s">
        <v>35</v>
      </c>
      <c r="Y199" s="3" t="s">
        <v>35</v>
      </c>
      <c r="Z199" s="3" t="s">
        <v>35</v>
      </c>
      <c r="AA199" s="3" t="s">
        <v>35</v>
      </c>
    </row>
    <row r="200" s="3" customFormat="1" spans="1:27">
      <c r="A200" s="3" t="s">
        <v>145</v>
      </c>
      <c r="B200" s="3" t="s">
        <v>30</v>
      </c>
      <c r="C200" s="3">
        <v>22873957</v>
      </c>
      <c r="D200" s="13">
        <v>233536829880</v>
      </c>
      <c r="E200" s="16">
        <v>46156.6720949074</v>
      </c>
      <c r="F200" s="3">
        <v>801.62</v>
      </c>
      <c r="G200" s="3">
        <v>0</v>
      </c>
      <c r="H200" s="3">
        <v>801.62</v>
      </c>
      <c r="I200" s="3">
        <v>26.54</v>
      </c>
      <c r="J200" s="3">
        <v>0</v>
      </c>
      <c r="K200" s="3">
        <v>26.54</v>
      </c>
      <c r="L200" s="3">
        <v>62.31</v>
      </c>
      <c r="M200" s="3">
        <v>810</v>
      </c>
      <c r="N200" s="3">
        <v>62.31</v>
      </c>
      <c r="O200" s="3">
        <v>810.03</v>
      </c>
      <c r="P200" s="3" t="s">
        <v>41</v>
      </c>
      <c r="Q200" s="3" t="s">
        <v>33</v>
      </c>
      <c r="R200" s="3" t="s">
        <v>412</v>
      </c>
      <c r="S200" s="3">
        <v>0</v>
      </c>
      <c r="T200" s="3">
        <v>40</v>
      </c>
      <c r="U200" s="3">
        <v>0</v>
      </c>
      <c r="V200" s="3" t="s">
        <v>35</v>
      </c>
      <c r="W200" s="3" t="s">
        <v>35</v>
      </c>
      <c r="X200" s="3" t="s">
        <v>35</v>
      </c>
      <c r="Y200" s="3" t="s">
        <v>35</v>
      </c>
      <c r="Z200" s="3" t="s">
        <v>35</v>
      </c>
      <c r="AA200" s="3" t="s">
        <v>35</v>
      </c>
    </row>
    <row r="201" s="3" customFormat="1" spans="1:27">
      <c r="A201" s="3" t="s">
        <v>145</v>
      </c>
      <c r="B201" s="3" t="s">
        <v>30</v>
      </c>
      <c r="C201" s="3">
        <v>20815899</v>
      </c>
      <c r="D201" s="13">
        <v>233538190171</v>
      </c>
      <c r="E201" s="16">
        <v>46039.824537037</v>
      </c>
      <c r="F201" s="3">
        <v>1897.55</v>
      </c>
      <c r="G201" s="3">
        <v>0.39</v>
      </c>
      <c r="H201" s="3">
        <v>1897.16</v>
      </c>
      <c r="I201" s="3">
        <v>344.84</v>
      </c>
      <c r="J201" s="3">
        <v>0.39</v>
      </c>
      <c r="K201" s="3">
        <v>344.45</v>
      </c>
      <c r="L201" s="3">
        <v>794.23</v>
      </c>
      <c r="M201" s="3">
        <v>10325</v>
      </c>
      <c r="N201" s="3">
        <v>235.15</v>
      </c>
      <c r="O201" s="3">
        <v>3056.95</v>
      </c>
      <c r="P201" s="3" t="s">
        <v>32</v>
      </c>
      <c r="Q201" s="3" t="s">
        <v>33</v>
      </c>
      <c r="R201" s="3" t="s">
        <v>412</v>
      </c>
      <c r="S201" s="3">
        <v>0</v>
      </c>
      <c r="T201" s="3">
        <v>516</v>
      </c>
      <c r="U201" s="3">
        <v>0</v>
      </c>
      <c r="V201" s="3" t="s">
        <v>35</v>
      </c>
      <c r="W201" s="3" t="s">
        <v>35</v>
      </c>
      <c r="X201" s="3" t="s">
        <v>35</v>
      </c>
      <c r="Y201" s="3" t="s">
        <v>35</v>
      </c>
      <c r="Z201" s="3" t="s">
        <v>35</v>
      </c>
      <c r="AA201" s="3" t="s">
        <v>35</v>
      </c>
    </row>
    <row r="202" s="3" customFormat="1" spans="1:27">
      <c r="A202" s="3" t="s">
        <v>145</v>
      </c>
      <c r="B202" s="3" t="s">
        <v>30</v>
      </c>
      <c r="C202" s="3">
        <v>22399019</v>
      </c>
      <c r="D202" s="13">
        <v>233539046132</v>
      </c>
      <c r="E202" s="16">
        <v>46124.8442476852</v>
      </c>
      <c r="F202" s="3">
        <v>345.38</v>
      </c>
      <c r="G202" s="3">
        <v>0</v>
      </c>
      <c r="H202" s="3">
        <v>345.38</v>
      </c>
      <c r="I202" s="3">
        <v>17.37</v>
      </c>
      <c r="J202" s="3">
        <v>0</v>
      </c>
      <c r="K202" s="3">
        <v>17.37</v>
      </c>
      <c r="L202" s="3">
        <v>88.38</v>
      </c>
      <c r="M202" s="3">
        <v>1149</v>
      </c>
      <c r="N202" s="3">
        <v>88.38</v>
      </c>
      <c r="O202" s="3">
        <v>1148.94</v>
      </c>
      <c r="P202" s="3" t="s">
        <v>32</v>
      </c>
      <c r="Q202" s="3" t="s">
        <v>33</v>
      </c>
      <c r="R202" s="3" t="s">
        <v>412</v>
      </c>
      <c r="S202" s="3">
        <v>0</v>
      </c>
      <c r="T202" s="3">
        <v>57</v>
      </c>
      <c r="U202" s="3">
        <v>0</v>
      </c>
      <c r="V202" s="3" t="s">
        <v>35</v>
      </c>
      <c r="W202" s="3" t="s">
        <v>35</v>
      </c>
      <c r="X202" s="3" t="s">
        <v>35</v>
      </c>
      <c r="Y202" s="3" t="s">
        <v>35</v>
      </c>
      <c r="Z202" s="3" t="s">
        <v>35</v>
      </c>
      <c r="AA202" s="3" t="s">
        <v>35</v>
      </c>
    </row>
    <row r="203" s="3" customFormat="1" spans="1:27">
      <c r="A203" s="3" t="s">
        <v>145</v>
      </c>
      <c r="B203" s="3" t="s">
        <v>30</v>
      </c>
      <c r="C203" s="3">
        <v>17864468</v>
      </c>
      <c r="D203" s="13">
        <v>233539282807</v>
      </c>
      <c r="E203" s="16">
        <v>45880.2616782407</v>
      </c>
      <c r="F203" s="3">
        <v>152.35</v>
      </c>
      <c r="G203" s="3">
        <v>0</v>
      </c>
      <c r="H203" s="3">
        <v>152.35</v>
      </c>
      <c r="I203" s="3">
        <v>9.89</v>
      </c>
      <c r="J203" s="3">
        <v>0</v>
      </c>
      <c r="K203" s="3">
        <v>9.89</v>
      </c>
      <c r="L203" s="3">
        <v>52.69</v>
      </c>
      <c r="M203" s="3">
        <v>685</v>
      </c>
      <c r="N203" s="3">
        <v>33.46</v>
      </c>
      <c r="O203" s="3">
        <v>434.98</v>
      </c>
      <c r="P203" s="3" t="s">
        <v>32</v>
      </c>
      <c r="Q203" s="3" t="s">
        <v>33</v>
      </c>
      <c r="R203" s="3" t="s">
        <v>412</v>
      </c>
      <c r="S203" s="3">
        <v>0</v>
      </c>
      <c r="T203" s="3">
        <v>34</v>
      </c>
      <c r="U203" s="3">
        <v>0</v>
      </c>
      <c r="V203" s="3" t="s">
        <v>35</v>
      </c>
      <c r="W203" s="3" t="s">
        <v>35</v>
      </c>
      <c r="X203" s="3" t="s">
        <v>35</v>
      </c>
      <c r="Y203" s="3" t="s">
        <v>35</v>
      </c>
      <c r="Z203" s="3" t="s">
        <v>35</v>
      </c>
      <c r="AA203" s="3" t="s">
        <v>35</v>
      </c>
    </row>
    <row r="204" s="3" customFormat="1" spans="1:27">
      <c r="A204" s="3" t="s">
        <v>145</v>
      </c>
      <c r="B204" s="3" t="s">
        <v>30</v>
      </c>
      <c r="C204" s="3">
        <v>17838248</v>
      </c>
      <c r="D204" s="13">
        <v>233540624253</v>
      </c>
      <c r="E204" s="16">
        <v>45877.8694675926</v>
      </c>
      <c r="F204" s="3">
        <v>10995.49</v>
      </c>
      <c r="G204" s="3">
        <v>1.85</v>
      </c>
      <c r="H204" s="3">
        <v>10993.65</v>
      </c>
      <c r="I204" s="3">
        <v>682.55</v>
      </c>
      <c r="J204" s="3">
        <v>-9.65</v>
      </c>
      <c r="K204" s="3">
        <v>692.2</v>
      </c>
      <c r="L204" s="3">
        <v>1315.77</v>
      </c>
      <c r="M204" s="3">
        <v>17105</v>
      </c>
      <c r="N204" s="3">
        <v>455.54</v>
      </c>
      <c r="O204" s="3">
        <v>5922.02</v>
      </c>
      <c r="P204" s="3" t="s">
        <v>41</v>
      </c>
      <c r="Q204" s="3" t="s">
        <v>42</v>
      </c>
      <c r="R204" s="3" t="s">
        <v>412</v>
      </c>
      <c r="S204" s="3">
        <v>0</v>
      </c>
      <c r="T204" s="3">
        <v>855</v>
      </c>
      <c r="U204" s="3">
        <v>0</v>
      </c>
      <c r="V204" s="3" t="s">
        <v>35</v>
      </c>
      <c r="W204" s="3" t="s">
        <v>35</v>
      </c>
      <c r="X204" s="3" t="s">
        <v>35</v>
      </c>
      <c r="Y204" s="3" t="s">
        <v>35</v>
      </c>
      <c r="Z204" s="3" t="s">
        <v>35</v>
      </c>
      <c r="AA204" s="3" t="s">
        <v>35</v>
      </c>
    </row>
    <row r="205" s="3" customFormat="1" spans="1:27">
      <c r="A205" s="3" t="s">
        <v>145</v>
      </c>
      <c r="B205" s="3" t="s">
        <v>30</v>
      </c>
      <c r="C205" s="3">
        <v>19512537</v>
      </c>
      <c r="D205" s="13">
        <v>233541503624</v>
      </c>
      <c r="E205" s="16">
        <v>45977.6010300926</v>
      </c>
      <c r="F205" s="3">
        <v>2849.49</v>
      </c>
      <c r="G205" s="3">
        <v>0.23</v>
      </c>
      <c r="H205" s="3">
        <v>2849.26</v>
      </c>
      <c r="I205" s="3">
        <v>19.66</v>
      </c>
      <c r="J205" s="3">
        <v>0.23</v>
      </c>
      <c r="K205" s="3">
        <v>19.43</v>
      </c>
      <c r="L205" s="3">
        <v>399</v>
      </c>
      <c r="M205" s="3">
        <v>5187</v>
      </c>
      <c r="N205" s="3">
        <v>18.08</v>
      </c>
      <c r="O205" s="3">
        <v>235.04</v>
      </c>
      <c r="P205" s="3" t="s">
        <v>41</v>
      </c>
      <c r="Q205" s="3" t="s">
        <v>33</v>
      </c>
      <c r="R205" s="3" t="s">
        <v>412</v>
      </c>
      <c r="S205" s="3">
        <v>0</v>
      </c>
      <c r="T205" s="3">
        <v>259</v>
      </c>
      <c r="U205" s="3">
        <v>0</v>
      </c>
      <c r="V205" s="3" t="s">
        <v>35</v>
      </c>
      <c r="W205" s="3" t="s">
        <v>35</v>
      </c>
      <c r="X205" s="3" t="s">
        <v>35</v>
      </c>
      <c r="Y205" s="3" t="s">
        <v>35</v>
      </c>
      <c r="Z205" s="3" t="s">
        <v>35</v>
      </c>
      <c r="AA205" s="3" t="s">
        <v>35</v>
      </c>
    </row>
    <row r="206" s="3" customFormat="1" spans="1:27">
      <c r="A206" s="3" t="s">
        <v>145</v>
      </c>
      <c r="B206" s="3" t="s">
        <v>30</v>
      </c>
      <c r="C206" s="3">
        <v>20413789</v>
      </c>
      <c r="D206" s="13">
        <v>233541683908</v>
      </c>
      <c r="E206" s="16">
        <v>46020.7343518518</v>
      </c>
      <c r="F206" s="3">
        <v>196.1</v>
      </c>
      <c r="G206" s="3">
        <v>0.77</v>
      </c>
      <c r="H206" s="3">
        <v>195.33</v>
      </c>
      <c r="I206" s="3">
        <v>49.69</v>
      </c>
      <c r="J206" s="3">
        <v>0.77</v>
      </c>
      <c r="K206" s="3">
        <v>48.92</v>
      </c>
      <c r="L206" s="3">
        <v>120</v>
      </c>
      <c r="M206" s="3">
        <v>1560</v>
      </c>
      <c r="N206" s="3">
        <v>0.77</v>
      </c>
      <c r="O206" s="3">
        <v>10.01</v>
      </c>
      <c r="P206" s="3" t="s">
        <v>41</v>
      </c>
      <c r="Q206" s="3" t="s">
        <v>33</v>
      </c>
      <c r="R206" s="3" t="s">
        <v>412</v>
      </c>
      <c r="S206" s="3">
        <v>0</v>
      </c>
      <c r="T206" s="3">
        <v>78</v>
      </c>
      <c r="U206" s="3">
        <v>0</v>
      </c>
      <c r="V206" s="3" t="s">
        <v>35</v>
      </c>
      <c r="W206" s="3" t="s">
        <v>35</v>
      </c>
      <c r="X206" s="3" t="s">
        <v>35</v>
      </c>
      <c r="Y206" s="3" t="s">
        <v>35</v>
      </c>
      <c r="Z206" s="3" t="s">
        <v>35</v>
      </c>
      <c r="AA206" s="3" t="s">
        <v>35</v>
      </c>
    </row>
    <row r="207" s="3" customFormat="1" spans="1:27">
      <c r="A207" s="3" t="s">
        <v>145</v>
      </c>
      <c r="B207" s="3" t="s">
        <v>30</v>
      </c>
      <c r="C207" s="3">
        <v>18018506</v>
      </c>
      <c r="D207" s="13">
        <v>233543536942</v>
      </c>
      <c r="E207" s="16">
        <v>45889.4585763889</v>
      </c>
      <c r="F207" s="3">
        <v>3911.31</v>
      </c>
      <c r="G207" s="3">
        <v>2.15</v>
      </c>
      <c r="H207" s="3">
        <v>3909.15</v>
      </c>
      <c r="I207" s="3">
        <v>84.76</v>
      </c>
      <c r="J207" s="3">
        <v>1.55</v>
      </c>
      <c r="K207" s="3">
        <v>83.2</v>
      </c>
      <c r="L207" s="3">
        <v>415.08</v>
      </c>
      <c r="M207" s="3">
        <v>5396</v>
      </c>
      <c r="N207" s="3">
        <v>24.92</v>
      </c>
      <c r="O207" s="3">
        <v>323.96</v>
      </c>
      <c r="P207" s="3" t="s">
        <v>41</v>
      </c>
      <c r="Q207" s="3" t="s">
        <v>33</v>
      </c>
      <c r="R207" s="3" t="s">
        <v>412</v>
      </c>
      <c r="S207" s="3">
        <v>0</v>
      </c>
      <c r="T207" s="3">
        <v>270</v>
      </c>
      <c r="U207" s="3">
        <v>0</v>
      </c>
      <c r="V207" s="3" t="s">
        <v>35</v>
      </c>
      <c r="W207" s="3" t="s">
        <v>35</v>
      </c>
      <c r="X207" s="3" t="s">
        <v>35</v>
      </c>
      <c r="Y207" s="3" t="s">
        <v>35</v>
      </c>
      <c r="Z207" s="3" t="s">
        <v>35</v>
      </c>
      <c r="AA207" s="3" t="s">
        <v>35</v>
      </c>
    </row>
    <row r="208" s="3" customFormat="1" spans="1:27">
      <c r="A208" s="3" t="s">
        <v>145</v>
      </c>
      <c r="B208" s="3" t="s">
        <v>30</v>
      </c>
      <c r="C208" s="3">
        <v>22924758</v>
      </c>
      <c r="D208" s="13">
        <v>233543640304</v>
      </c>
      <c r="E208" s="16">
        <v>46160.7011111111</v>
      </c>
      <c r="F208" s="3">
        <v>2031.54</v>
      </c>
      <c r="G208" s="3">
        <v>0</v>
      </c>
      <c r="H208" s="3">
        <v>2031.54</v>
      </c>
      <c r="I208" s="3">
        <v>999.38</v>
      </c>
      <c r="J208" s="3">
        <v>0</v>
      </c>
      <c r="K208" s="3">
        <v>999.38</v>
      </c>
      <c r="L208" s="3">
        <v>1000</v>
      </c>
      <c r="M208" s="3">
        <v>13000</v>
      </c>
      <c r="N208" s="3">
        <v>1000</v>
      </c>
      <c r="O208" s="3">
        <v>13000</v>
      </c>
      <c r="P208" s="3" t="s">
        <v>41</v>
      </c>
      <c r="Q208" s="3" t="s">
        <v>42</v>
      </c>
      <c r="R208" s="3" t="s">
        <v>412</v>
      </c>
      <c r="S208" s="3">
        <v>0</v>
      </c>
      <c r="T208" s="3">
        <v>650</v>
      </c>
      <c r="U208" s="3">
        <v>0</v>
      </c>
      <c r="V208" s="3" t="s">
        <v>35</v>
      </c>
      <c r="W208" s="3" t="s">
        <v>35</v>
      </c>
      <c r="X208" s="3" t="s">
        <v>35</v>
      </c>
      <c r="Y208" s="3" t="s">
        <v>35</v>
      </c>
      <c r="Z208" s="3" t="s">
        <v>35</v>
      </c>
      <c r="AA208" s="3" t="s">
        <v>35</v>
      </c>
    </row>
    <row r="209" s="3" customFormat="1" spans="1:27">
      <c r="A209" s="3" t="s">
        <v>145</v>
      </c>
      <c r="B209" s="3" t="s">
        <v>30</v>
      </c>
      <c r="C209" s="3">
        <v>17732038</v>
      </c>
      <c r="D209" s="13">
        <v>233543915356</v>
      </c>
      <c r="E209" s="16">
        <v>45872.0507638889</v>
      </c>
      <c r="F209" s="3">
        <v>632.57</v>
      </c>
      <c r="G209" s="3">
        <v>1.08</v>
      </c>
      <c r="H209" s="3">
        <v>631.26</v>
      </c>
      <c r="I209" s="3">
        <v>21.45</v>
      </c>
      <c r="J209" s="3">
        <v>0.58</v>
      </c>
      <c r="K209" s="3">
        <v>20.87</v>
      </c>
      <c r="L209" s="3">
        <v>306.08</v>
      </c>
      <c r="M209" s="3">
        <v>3979</v>
      </c>
      <c r="N209" s="3">
        <v>2.31</v>
      </c>
      <c r="O209" s="3">
        <v>30.03</v>
      </c>
      <c r="P209" s="3" t="s">
        <v>32</v>
      </c>
      <c r="Q209" s="3" t="s">
        <v>33</v>
      </c>
      <c r="R209" s="3" t="s">
        <v>412</v>
      </c>
      <c r="S209" s="3">
        <v>0</v>
      </c>
      <c r="T209" s="3">
        <v>199</v>
      </c>
      <c r="U209" s="3">
        <v>0</v>
      </c>
      <c r="V209" s="3" t="s">
        <v>35</v>
      </c>
      <c r="W209" s="3" t="s">
        <v>35</v>
      </c>
      <c r="X209" s="3" t="s">
        <v>35</v>
      </c>
      <c r="Y209" s="3" t="s">
        <v>35</v>
      </c>
      <c r="Z209" s="3" t="s">
        <v>35</v>
      </c>
      <c r="AA209" s="3" t="s">
        <v>35</v>
      </c>
    </row>
    <row r="210" s="3" customFormat="1" spans="1:27">
      <c r="A210" s="3" t="s">
        <v>145</v>
      </c>
      <c r="B210" s="3" t="s">
        <v>30</v>
      </c>
      <c r="C210" s="3">
        <v>18962287</v>
      </c>
      <c r="D210" s="13">
        <v>233544180624</v>
      </c>
      <c r="E210" s="16">
        <v>45946.3453472222</v>
      </c>
      <c r="F210" s="3">
        <v>305.09</v>
      </c>
      <c r="G210" s="3">
        <v>119.22</v>
      </c>
      <c r="H210" s="3">
        <v>185.87</v>
      </c>
      <c r="I210" s="3">
        <v>13.68</v>
      </c>
      <c r="J210" s="3">
        <v>-12.33</v>
      </c>
      <c r="K210" s="3">
        <v>26.01</v>
      </c>
      <c r="L210" s="3">
        <v>159.23</v>
      </c>
      <c r="M210" s="3">
        <v>2070</v>
      </c>
      <c r="N210" s="3">
        <v>0</v>
      </c>
      <c r="O210" s="3">
        <v>0</v>
      </c>
      <c r="P210" s="3" t="s">
        <v>61</v>
      </c>
      <c r="Q210" s="3" t="s">
        <v>33</v>
      </c>
      <c r="R210" s="3" t="s">
        <v>412</v>
      </c>
      <c r="S210" s="3">
        <v>120</v>
      </c>
      <c r="T210" s="3">
        <v>52</v>
      </c>
      <c r="U210" s="3">
        <v>0</v>
      </c>
      <c r="V210" s="3" t="s">
        <v>35</v>
      </c>
      <c r="W210" s="3" t="s">
        <v>35</v>
      </c>
      <c r="X210" s="3" t="s">
        <v>35</v>
      </c>
      <c r="Y210" s="3" t="s">
        <v>35</v>
      </c>
      <c r="Z210" s="3" t="s">
        <v>35</v>
      </c>
      <c r="AA210" s="3" t="s">
        <v>35</v>
      </c>
    </row>
    <row r="211" s="3" customFormat="1" spans="1:27">
      <c r="A211" s="3" t="s">
        <v>145</v>
      </c>
      <c r="B211" s="3" t="s">
        <v>30</v>
      </c>
      <c r="C211" s="3">
        <v>20113108</v>
      </c>
      <c r="D211" s="13">
        <v>233544269565</v>
      </c>
      <c r="E211" s="16">
        <v>46005.7952777778</v>
      </c>
      <c r="F211" s="3">
        <v>195.37</v>
      </c>
      <c r="G211" s="3">
        <v>20.92</v>
      </c>
      <c r="H211" s="3">
        <v>174.45</v>
      </c>
      <c r="I211" s="3">
        <v>20.11</v>
      </c>
      <c r="J211" s="3">
        <v>-10</v>
      </c>
      <c r="K211" s="3">
        <v>30.12</v>
      </c>
      <c r="L211" s="3">
        <v>108</v>
      </c>
      <c r="M211" s="3">
        <v>1404</v>
      </c>
      <c r="N211" s="3">
        <v>28.85</v>
      </c>
      <c r="O211" s="3">
        <v>375.05</v>
      </c>
      <c r="P211" s="3" t="s">
        <v>61</v>
      </c>
      <c r="Q211" s="3" t="s">
        <v>33</v>
      </c>
      <c r="R211" s="3" t="s">
        <v>412</v>
      </c>
      <c r="S211" s="3">
        <v>120</v>
      </c>
      <c r="T211" s="3">
        <v>35</v>
      </c>
      <c r="U211" s="3">
        <v>0</v>
      </c>
      <c r="V211" s="3" t="s">
        <v>35</v>
      </c>
      <c r="W211" s="3" t="s">
        <v>35</v>
      </c>
      <c r="X211" s="3" t="s">
        <v>35</v>
      </c>
      <c r="Y211" s="3" t="s">
        <v>35</v>
      </c>
      <c r="Z211" s="3" t="s">
        <v>35</v>
      </c>
      <c r="AA211" s="3" t="s">
        <v>35</v>
      </c>
    </row>
    <row r="212" s="3" customFormat="1" spans="1:27">
      <c r="A212" s="3" t="s">
        <v>145</v>
      </c>
      <c r="B212" s="3" t="s">
        <v>30</v>
      </c>
      <c r="C212" s="3">
        <v>14844666</v>
      </c>
      <c r="D212" s="13">
        <v>233544817618</v>
      </c>
      <c r="E212" s="16">
        <v>45622.7680555556</v>
      </c>
      <c r="F212" s="3">
        <v>2415.57</v>
      </c>
      <c r="G212" s="3">
        <v>765.77</v>
      </c>
      <c r="H212" s="3">
        <v>1649.8</v>
      </c>
      <c r="I212" s="3">
        <v>748.02</v>
      </c>
      <c r="J212" s="3">
        <v>469.72</v>
      </c>
      <c r="K212" s="3">
        <v>278.3</v>
      </c>
      <c r="L212" s="3">
        <v>1048.46</v>
      </c>
      <c r="M212" s="3">
        <v>13630</v>
      </c>
      <c r="N212" s="3">
        <v>0</v>
      </c>
      <c r="O212" s="3">
        <v>0</v>
      </c>
      <c r="P212" s="3" t="s">
        <v>61</v>
      </c>
      <c r="Q212" s="3" t="s">
        <v>42</v>
      </c>
      <c r="R212" s="3" t="s">
        <v>412</v>
      </c>
      <c r="S212" s="3">
        <v>500</v>
      </c>
      <c r="T212" s="3">
        <v>341</v>
      </c>
      <c r="U212" s="3">
        <v>0</v>
      </c>
      <c r="V212" s="3" t="s">
        <v>35</v>
      </c>
      <c r="W212" s="3" t="s">
        <v>35</v>
      </c>
      <c r="X212" s="3" t="s">
        <v>35</v>
      </c>
      <c r="Y212" s="3" t="s">
        <v>35</v>
      </c>
      <c r="Z212" s="3" t="s">
        <v>35</v>
      </c>
      <c r="AA212" s="3" t="s">
        <v>35</v>
      </c>
    </row>
    <row r="213" s="3" customFormat="1" spans="1:27">
      <c r="A213" s="3" t="s">
        <v>145</v>
      </c>
      <c r="B213" s="3" t="s">
        <v>30</v>
      </c>
      <c r="C213" s="3">
        <v>17950999</v>
      </c>
      <c r="D213" s="13">
        <v>233544833210</v>
      </c>
      <c r="E213" s="16">
        <v>45884.5619097222</v>
      </c>
      <c r="F213" s="3">
        <v>1879.22</v>
      </c>
      <c r="G213" s="3">
        <v>37.22</v>
      </c>
      <c r="H213" s="3">
        <v>1842</v>
      </c>
      <c r="I213" s="3">
        <v>96.75</v>
      </c>
      <c r="J213" s="3">
        <v>34.39</v>
      </c>
      <c r="K213" s="3">
        <v>62.37</v>
      </c>
      <c r="L213" s="3">
        <v>692.31</v>
      </c>
      <c r="M213" s="3">
        <v>9000</v>
      </c>
      <c r="N213" s="3">
        <v>76.54</v>
      </c>
      <c r="O213" s="3">
        <v>995.02</v>
      </c>
      <c r="P213" s="3" t="s">
        <v>41</v>
      </c>
      <c r="Q213" s="3" t="s">
        <v>33</v>
      </c>
      <c r="R213" s="3" t="s">
        <v>412</v>
      </c>
      <c r="S213" s="3">
        <v>0</v>
      </c>
      <c r="T213" s="3">
        <v>450</v>
      </c>
      <c r="U213" s="3">
        <v>0</v>
      </c>
      <c r="V213" s="3" t="s">
        <v>35</v>
      </c>
      <c r="W213" s="3" t="s">
        <v>35</v>
      </c>
      <c r="X213" s="3" t="s">
        <v>35</v>
      </c>
      <c r="Y213" s="3" t="s">
        <v>35</v>
      </c>
      <c r="Z213" s="3" t="s">
        <v>35</v>
      </c>
      <c r="AA213" s="3" t="s">
        <v>35</v>
      </c>
    </row>
    <row r="214" s="3" customFormat="1" spans="1:27">
      <c r="A214" s="3" t="s">
        <v>145</v>
      </c>
      <c r="B214" s="3" t="s">
        <v>30</v>
      </c>
      <c r="C214" s="3">
        <v>18774969</v>
      </c>
      <c r="D214" s="13">
        <v>233546128244</v>
      </c>
      <c r="E214" s="16">
        <v>45932.8425694444</v>
      </c>
      <c r="F214" s="3">
        <v>46612.29</v>
      </c>
      <c r="G214" s="3">
        <v>0</v>
      </c>
      <c r="H214" s="3">
        <v>46612.29</v>
      </c>
      <c r="I214" s="3">
        <v>-819.65</v>
      </c>
      <c r="J214" s="3">
        <v>0</v>
      </c>
      <c r="K214" s="3">
        <v>-819.65</v>
      </c>
      <c r="L214" s="3">
        <v>14657.23</v>
      </c>
      <c r="M214" s="3">
        <v>190544</v>
      </c>
      <c r="N214" s="3">
        <v>4797.54</v>
      </c>
      <c r="O214" s="3">
        <v>62368.02</v>
      </c>
      <c r="P214" s="3" t="s">
        <v>41</v>
      </c>
      <c r="Q214" s="3" t="s">
        <v>42</v>
      </c>
      <c r="R214" s="3" t="s">
        <v>412</v>
      </c>
      <c r="S214" s="3">
        <v>0</v>
      </c>
      <c r="T214" s="3">
        <v>5000</v>
      </c>
      <c r="U214" s="3">
        <v>1</v>
      </c>
      <c r="V214" s="3">
        <v>1</v>
      </c>
      <c r="W214" s="3" t="s">
        <v>35</v>
      </c>
      <c r="X214" s="3" t="s">
        <v>35</v>
      </c>
      <c r="Y214" s="3" t="s">
        <v>35</v>
      </c>
      <c r="Z214" s="3" t="s">
        <v>35</v>
      </c>
      <c r="AA214" s="3" t="s">
        <v>35</v>
      </c>
    </row>
    <row r="215" s="3" customFormat="1" spans="1:27">
      <c r="A215" s="3" t="s">
        <v>145</v>
      </c>
      <c r="B215" s="3" t="s">
        <v>30</v>
      </c>
      <c r="C215" s="3">
        <v>21301189</v>
      </c>
      <c r="D215" s="13">
        <v>233546457029</v>
      </c>
      <c r="E215" s="16">
        <v>46066.0004861111</v>
      </c>
      <c r="F215" s="3">
        <v>766.54</v>
      </c>
      <c r="G215" s="3">
        <v>9.59</v>
      </c>
      <c r="H215" s="3">
        <v>756.94</v>
      </c>
      <c r="I215" s="3">
        <v>21.97</v>
      </c>
      <c r="J215" s="3">
        <v>6.17</v>
      </c>
      <c r="K215" s="3">
        <v>15.79</v>
      </c>
      <c r="L215" s="3">
        <v>116.77</v>
      </c>
      <c r="M215" s="3">
        <v>1518</v>
      </c>
      <c r="N215" s="3">
        <v>109</v>
      </c>
      <c r="O215" s="3">
        <v>1417</v>
      </c>
      <c r="P215" s="3" t="s">
        <v>41</v>
      </c>
      <c r="Q215" s="3" t="s">
        <v>33</v>
      </c>
      <c r="R215" s="3" t="s">
        <v>412</v>
      </c>
      <c r="S215" s="3">
        <v>0</v>
      </c>
      <c r="T215" s="3">
        <v>76</v>
      </c>
      <c r="U215" s="3">
        <v>0</v>
      </c>
      <c r="V215" s="3" t="s">
        <v>35</v>
      </c>
      <c r="W215" s="3" t="s">
        <v>35</v>
      </c>
      <c r="X215" s="3" t="s">
        <v>35</v>
      </c>
      <c r="Y215" s="3" t="s">
        <v>35</v>
      </c>
      <c r="Z215" s="3" t="s">
        <v>35</v>
      </c>
      <c r="AA215" s="3" t="s">
        <v>35</v>
      </c>
    </row>
    <row r="216" s="3" customFormat="1" spans="1:27">
      <c r="A216" s="3" t="s">
        <v>145</v>
      </c>
      <c r="B216" s="3" t="s">
        <v>30</v>
      </c>
      <c r="C216" s="3">
        <v>22652697</v>
      </c>
      <c r="D216" s="13">
        <v>233547335141</v>
      </c>
      <c r="E216" s="16">
        <v>46141.6940509259</v>
      </c>
      <c r="F216" s="3">
        <v>866.88</v>
      </c>
      <c r="G216" s="3">
        <v>0</v>
      </c>
      <c r="H216" s="3">
        <v>866.88</v>
      </c>
      <c r="I216" s="3">
        <v>88.44</v>
      </c>
      <c r="J216" s="3">
        <v>0</v>
      </c>
      <c r="K216" s="3">
        <v>88.44</v>
      </c>
      <c r="L216" s="3">
        <v>150</v>
      </c>
      <c r="M216" s="3">
        <v>1950</v>
      </c>
      <c r="N216" s="3">
        <v>150</v>
      </c>
      <c r="O216" s="3">
        <v>1950</v>
      </c>
      <c r="P216" s="3" t="s">
        <v>32</v>
      </c>
      <c r="Q216" s="3" t="s">
        <v>33</v>
      </c>
      <c r="R216" s="3" t="s">
        <v>412</v>
      </c>
      <c r="S216" s="3">
        <v>0</v>
      </c>
      <c r="T216" s="3">
        <v>98</v>
      </c>
      <c r="U216" s="3">
        <v>0</v>
      </c>
      <c r="V216" s="3" t="s">
        <v>35</v>
      </c>
      <c r="W216" s="3" t="s">
        <v>35</v>
      </c>
      <c r="X216" s="3" t="s">
        <v>35</v>
      </c>
      <c r="Y216" s="3" t="s">
        <v>35</v>
      </c>
      <c r="Z216" s="3" t="s">
        <v>35</v>
      </c>
      <c r="AA216" s="3" t="s">
        <v>35</v>
      </c>
    </row>
    <row r="217" s="3" customFormat="1" spans="1:27">
      <c r="A217" s="3" t="s">
        <v>145</v>
      </c>
      <c r="B217" s="3" t="s">
        <v>30</v>
      </c>
      <c r="C217" s="3">
        <v>20236109</v>
      </c>
      <c r="D217" s="13">
        <v>233548472171</v>
      </c>
      <c r="E217" s="16">
        <v>46012.1353472222</v>
      </c>
      <c r="F217" s="3">
        <v>455.37</v>
      </c>
      <c r="G217" s="3">
        <v>0.54</v>
      </c>
      <c r="H217" s="3">
        <v>454.83</v>
      </c>
      <c r="I217" s="3">
        <v>23.23</v>
      </c>
      <c r="J217" s="3">
        <v>0.54</v>
      </c>
      <c r="K217" s="3">
        <v>22.69</v>
      </c>
      <c r="L217" s="3">
        <v>158.31</v>
      </c>
      <c r="M217" s="3">
        <v>2058</v>
      </c>
      <c r="N217" s="3">
        <v>5.31</v>
      </c>
      <c r="O217" s="3">
        <v>69.03</v>
      </c>
      <c r="P217" s="3" t="s">
        <v>41</v>
      </c>
      <c r="Q217" s="3" t="s">
        <v>33</v>
      </c>
      <c r="R217" s="3" t="s">
        <v>412</v>
      </c>
      <c r="S217" s="3">
        <v>0</v>
      </c>
      <c r="T217" s="3">
        <v>103</v>
      </c>
      <c r="U217" s="3">
        <v>0</v>
      </c>
      <c r="V217" s="3" t="s">
        <v>35</v>
      </c>
      <c r="W217" s="3" t="s">
        <v>35</v>
      </c>
      <c r="X217" s="3" t="s">
        <v>35</v>
      </c>
      <c r="Y217" s="3" t="s">
        <v>35</v>
      </c>
      <c r="Z217" s="3" t="s">
        <v>35</v>
      </c>
      <c r="AA217" s="3" t="s">
        <v>35</v>
      </c>
    </row>
    <row r="218" s="3" customFormat="1" spans="1:27">
      <c r="A218" s="3" t="s">
        <v>145</v>
      </c>
      <c r="B218" s="3" t="s">
        <v>30</v>
      </c>
      <c r="C218" s="3">
        <v>13585988</v>
      </c>
      <c r="D218" s="13">
        <v>233550641760</v>
      </c>
      <c r="E218" s="16">
        <v>45539.9278240741</v>
      </c>
      <c r="F218" s="3">
        <v>1766.75</v>
      </c>
      <c r="G218" s="3">
        <v>0.38</v>
      </c>
      <c r="H218" s="3">
        <v>1764.52</v>
      </c>
      <c r="I218" s="3">
        <v>166.02</v>
      </c>
      <c r="J218" s="3">
        <v>0.38</v>
      </c>
      <c r="K218" s="3">
        <v>165.63</v>
      </c>
      <c r="L218" s="3">
        <v>208.23</v>
      </c>
      <c r="M218" s="3">
        <v>2707</v>
      </c>
      <c r="N218" s="3">
        <v>107.69</v>
      </c>
      <c r="O218" s="3">
        <v>1399.97</v>
      </c>
      <c r="P218" s="3" t="s">
        <v>32</v>
      </c>
      <c r="Q218" s="3" t="s">
        <v>33</v>
      </c>
      <c r="R218" s="3" t="s">
        <v>412</v>
      </c>
      <c r="S218" s="3">
        <v>0</v>
      </c>
      <c r="T218" s="3">
        <v>135</v>
      </c>
      <c r="U218" s="3">
        <v>0</v>
      </c>
      <c r="V218" s="3" t="s">
        <v>35</v>
      </c>
      <c r="W218" s="3" t="s">
        <v>35</v>
      </c>
      <c r="X218" s="3" t="s">
        <v>35</v>
      </c>
      <c r="Y218" s="3" t="s">
        <v>35</v>
      </c>
      <c r="Z218" s="3" t="s">
        <v>35</v>
      </c>
      <c r="AA218" s="3" t="s">
        <v>35</v>
      </c>
    </row>
    <row r="219" s="3" customFormat="1" spans="1:27">
      <c r="A219" s="3" t="s">
        <v>145</v>
      </c>
      <c r="B219" s="3" t="s">
        <v>30</v>
      </c>
      <c r="C219" s="3">
        <v>21947029</v>
      </c>
      <c r="D219" s="13">
        <v>233552598263</v>
      </c>
      <c r="E219" s="16">
        <v>46098.8418865741</v>
      </c>
      <c r="F219" s="3">
        <v>794.46</v>
      </c>
      <c r="G219" s="3">
        <v>31.04</v>
      </c>
      <c r="H219" s="3">
        <v>763.19</v>
      </c>
      <c r="I219" s="3">
        <v>20.33</v>
      </c>
      <c r="J219" s="3">
        <v>-1.2</v>
      </c>
      <c r="K219" s="3">
        <v>21.54</v>
      </c>
      <c r="L219" s="3">
        <v>215</v>
      </c>
      <c r="M219" s="3">
        <v>2795</v>
      </c>
      <c r="N219" s="3">
        <v>215</v>
      </c>
      <c r="O219" s="3">
        <v>2795</v>
      </c>
      <c r="P219" s="3" t="s">
        <v>32</v>
      </c>
      <c r="Q219" s="3" t="s">
        <v>33</v>
      </c>
      <c r="R219" s="3" t="s">
        <v>412</v>
      </c>
      <c r="S219" s="3">
        <v>0</v>
      </c>
      <c r="T219" s="3">
        <v>140</v>
      </c>
      <c r="U219" s="3">
        <v>0</v>
      </c>
      <c r="V219" s="3" t="s">
        <v>35</v>
      </c>
      <c r="W219" s="3" t="s">
        <v>35</v>
      </c>
      <c r="X219" s="3" t="s">
        <v>35</v>
      </c>
      <c r="Y219" s="3" t="s">
        <v>35</v>
      </c>
      <c r="Z219" s="3" t="s">
        <v>35</v>
      </c>
      <c r="AA219" s="3" t="s">
        <v>35</v>
      </c>
    </row>
    <row r="220" s="3" customFormat="1" spans="1:27">
      <c r="A220" s="3" t="s">
        <v>145</v>
      </c>
      <c r="B220" s="3" t="s">
        <v>30</v>
      </c>
      <c r="C220" s="3">
        <v>21108267</v>
      </c>
      <c r="D220" s="13">
        <v>233554154847</v>
      </c>
      <c r="E220" s="16">
        <v>46055.6187962963</v>
      </c>
      <c r="F220" s="3">
        <v>1362.29</v>
      </c>
      <c r="G220" s="3">
        <v>0</v>
      </c>
      <c r="H220" s="3">
        <v>1362.29</v>
      </c>
      <c r="I220" s="3">
        <v>227.69</v>
      </c>
      <c r="J220" s="3">
        <v>0</v>
      </c>
      <c r="K220" s="3">
        <v>227.69</v>
      </c>
      <c r="L220" s="3">
        <v>266.15</v>
      </c>
      <c r="M220" s="3">
        <v>3460</v>
      </c>
      <c r="N220" s="3">
        <v>0</v>
      </c>
      <c r="O220" s="3">
        <v>0</v>
      </c>
      <c r="P220" s="3" t="s">
        <v>41</v>
      </c>
      <c r="Q220" s="3" t="s">
        <v>33</v>
      </c>
      <c r="R220" s="3" t="s">
        <v>412</v>
      </c>
      <c r="S220" s="3">
        <v>0</v>
      </c>
      <c r="T220" s="3">
        <v>173</v>
      </c>
      <c r="U220" s="3">
        <v>0</v>
      </c>
      <c r="V220" s="3" t="s">
        <v>35</v>
      </c>
      <c r="W220" s="3" t="s">
        <v>35</v>
      </c>
      <c r="X220" s="3" t="s">
        <v>35</v>
      </c>
      <c r="Y220" s="3" t="s">
        <v>35</v>
      </c>
      <c r="Z220" s="3" t="s">
        <v>35</v>
      </c>
      <c r="AA220" s="3" t="s">
        <v>35</v>
      </c>
    </row>
    <row r="221" s="3" customFormat="1" spans="1:27">
      <c r="A221" s="3" t="s">
        <v>145</v>
      </c>
      <c r="B221" s="3" t="s">
        <v>30</v>
      </c>
      <c r="C221" s="3">
        <v>22752429</v>
      </c>
      <c r="D221" s="13">
        <v>233555949923</v>
      </c>
      <c r="E221" s="16">
        <v>46148.8893055556</v>
      </c>
      <c r="F221" s="3">
        <v>1197.92</v>
      </c>
      <c r="G221" s="3">
        <v>0.08</v>
      </c>
      <c r="H221" s="3">
        <v>1197.85</v>
      </c>
      <c r="I221" s="3">
        <v>149.43</v>
      </c>
      <c r="J221" s="3">
        <v>-0.08</v>
      </c>
      <c r="K221" s="3">
        <v>149.52</v>
      </c>
      <c r="L221" s="3">
        <v>274.31</v>
      </c>
      <c r="M221" s="3">
        <v>3566</v>
      </c>
      <c r="N221" s="3">
        <v>822.92</v>
      </c>
      <c r="O221" s="3">
        <v>10697.96</v>
      </c>
      <c r="P221" s="3" t="s">
        <v>32</v>
      </c>
      <c r="Q221" s="3" t="s">
        <v>33</v>
      </c>
      <c r="R221" s="3" t="s">
        <v>412</v>
      </c>
      <c r="S221" s="3">
        <v>0</v>
      </c>
      <c r="T221" s="3">
        <v>178</v>
      </c>
      <c r="U221" s="3">
        <v>0</v>
      </c>
      <c r="V221" s="3" t="s">
        <v>35</v>
      </c>
      <c r="W221" s="3" t="s">
        <v>35</v>
      </c>
      <c r="X221" s="3" t="s">
        <v>35</v>
      </c>
      <c r="Y221" s="3" t="s">
        <v>35</v>
      </c>
      <c r="Z221" s="3" t="s">
        <v>35</v>
      </c>
      <c r="AA221" s="3" t="s">
        <v>35</v>
      </c>
    </row>
    <row r="222" s="3" customFormat="1" spans="1:27">
      <c r="A222" s="3" t="s">
        <v>145</v>
      </c>
      <c r="B222" s="3" t="s">
        <v>30</v>
      </c>
      <c r="C222" s="3">
        <v>16697498</v>
      </c>
      <c r="D222" s="13">
        <v>233556273127</v>
      </c>
      <c r="E222" s="16">
        <v>45793.5215046296</v>
      </c>
      <c r="F222" s="3">
        <v>1174.77</v>
      </c>
      <c r="G222" s="3">
        <v>693.85</v>
      </c>
      <c r="H222" s="3">
        <v>480.92</v>
      </c>
      <c r="I222" s="3">
        <v>353.6</v>
      </c>
      <c r="J222" s="3">
        <v>271.21</v>
      </c>
      <c r="K222" s="3">
        <v>82.39</v>
      </c>
      <c r="L222" s="3">
        <v>554.77</v>
      </c>
      <c r="M222" s="3">
        <v>7212</v>
      </c>
      <c r="N222" s="3">
        <v>0</v>
      </c>
      <c r="O222" s="3">
        <v>0</v>
      </c>
      <c r="P222" s="3" t="s">
        <v>61</v>
      </c>
      <c r="Q222" s="3" t="s">
        <v>33</v>
      </c>
      <c r="R222" s="3" t="s">
        <v>412</v>
      </c>
      <c r="S222" s="3">
        <v>120</v>
      </c>
      <c r="T222" s="3">
        <v>181</v>
      </c>
      <c r="U222" s="3">
        <v>0</v>
      </c>
      <c r="V222" s="3" t="s">
        <v>35</v>
      </c>
      <c r="W222" s="3" t="s">
        <v>35</v>
      </c>
      <c r="X222" s="3" t="s">
        <v>35</v>
      </c>
      <c r="Y222" s="3" t="s">
        <v>35</v>
      </c>
      <c r="Z222" s="3" t="s">
        <v>35</v>
      </c>
      <c r="AA222" s="3" t="s">
        <v>35</v>
      </c>
    </row>
    <row r="223" s="3" customFormat="1" spans="1:27">
      <c r="A223" s="3" t="s">
        <v>145</v>
      </c>
      <c r="B223" s="3" t="s">
        <v>30</v>
      </c>
      <c r="C223" s="3">
        <v>10001207</v>
      </c>
      <c r="D223" s="13">
        <v>233558696996</v>
      </c>
      <c r="E223" s="16">
        <v>45069.9705439815</v>
      </c>
      <c r="F223" s="3">
        <v>16078.13</v>
      </c>
      <c r="G223" s="3">
        <v>0.15</v>
      </c>
      <c r="H223" s="3">
        <v>16077.97</v>
      </c>
      <c r="I223" s="3">
        <v>-106.48</v>
      </c>
      <c r="J223" s="3">
        <v>0.07</v>
      </c>
      <c r="K223" s="3">
        <v>-106.55</v>
      </c>
      <c r="L223" s="3">
        <v>1394.15</v>
      </c>
      <c r="M223" s="3">
        <v>18124</v>
      </c>
      <c r="N223" s="3">
        <v>702.38</v>
      </c>
      <c r="O223" s="3">
        <v>9130.94</v>
      </c>
      <c r="P223" s="3" t="s">
        <v>41</v>
      </c>
      <c r="Q223" s="3" t="s">
        <v>42</v>
      </c>
      <c r="R223" s="3" t="s">
        <v>412</v>
      </c>
      <c r="S223" s="3">
        <v>0</v>
      </c>
      <c r="T223" s="3">
        <v>906</v>
      </c>
      <c r="U223" s="3">
        <v>0</v>
      </c>
      <c r="V223" s="3" t="s">
        <v>35</v>
      </c>
      <c r="W223" s="3" t="s">
        <v>35</v>
      </c>
      <c r="X223" s="3" t="s">
        <v>35</v>
      </c>
      <c r="Y223" s="3" t="s">
        <v>35</v>
      </c>
      <c r="Z223" s="3" t="s">
        <v>35</v>
      </c>
      <c r="AA223" s="3" t="s">
        <v>35</v>
      </c>
    </row>
    <row r="224" s="3" customFormat="1" spans="1:27">
      <c r="A224" s="3" t="s">
        <v>145</v>
      </c>
      <c r="B224" s="3" t="s">
        <v>30</v>
      </c>
      <c r="C224" s="3">
        <v>8460878</v>
      </c>
      <c r="D224" s="13">
        <v>233559223319</v>
      </c>
      <c r="E224" s="16">
        <v>44783.5044560185</v>
      </c>
      <c r="F224" s="3">
        <v>18.19</v>
      </c>
      <c r="G224" s="3">
        <v>0</v>
      </c>
      <c r="H224" s="3">
        <v>18.19</v>
      </c>
      <c r="I224" s="3">
        <v>1.44</v>
      </c>
      <c r="J224" s="3">
        <v>0</v>
      </c>
      <c r="K224" s="3">
        <v>1.44</v>
      </c>
      <c r="L224" s="3">
        <v>84.62</v>
      </c>
      <c r="M224" s="3">
        <v>1100</v>
      </c>
      <c r="N224" s="3">
        <v>84.62</v>
      </c>
      <c r="O224" s="3">
        <v>1100.06</v>
      </c>
      <c r="P224" s="3" t="s">
        <v>41</v>
      </c>
      <c r="Q224" s="3" t="s">
        <v>33</v>
      </c>
      <c r="R224" s="3" t="s">
        <v>412</v>
      </c>
      <c r="S224" s="3">
        <v>0</v>
      </c>
      <c r="T224" s="3">
        <v>55</v>
      </c>
      <c r="U224" s="3">
        <v>0</v>
      </c>
      <c r="V224" s="3" t="s">
        <v>35</v>
      </c>
      <c r="W224" s="3" t="s">
        <v>35</v>
      </c>
      <c r="X224" s="3" t="s">
        <v>35</v>
      </c>
      <c r="Y224" s="3" t="s">
        <v>35</v>
      </c>
      <c r="Z224" s="3" t="s">
        <v>35</v>
      </c>
      <c r="AA224" s="3" t="s">
        <v>35</v>
      </c>
    </row>
    <row r="225" s="3" customFormat="1" spans="1:27">
      <c r="A225" s="3" t="s">
        <v>145</v>
      </c>
      <c r="B225" s="3" t="s">
        <v>30</v>
      </c>
      <c r="C225" s="3">
        <v>19696966</v>
      </c>
      <c r="D225" s="13">
        <v>233591130260</v>
      </c>
      <c r="E225" s="16">
        <v>45986.4511111111</v>
      </c>
      <c r="F225" s="3">
        <v>359.33</v>
      </c>
      <c r="G225" s="3">
        <v>0</v>
      </c>
      <c r="H225" s="3">
        <v>359.33</v>
      </c>
      <c r="I225" s="3">
        <v>0.6</v>
      </c>
      <c r="J225" s="3">
        <v>0</v>
      </c>
      <c r="K225" s="3">
        <v>0.6</v>
      </c>
      <c r="L225" s="3">
        <v>75.38</v>
      </c>
      <c r="M225" s="3">
        <v>980</v>
      </c>
      <c r="N225" s="3">
        <v>37.69</v>
      </c>
      <c r="O225" s="3">
        <v>489.97</v>
      </c>
      <c r="P225" s="3" t="s">
        <v>32</v>
      </c>
      <c r="Q225" s="3" t="s">
        <v>33</v>
      </c>
      <c r="R225" s="3" t="s">
        <v>412</v>
      </c>
      <c r="S225" s="3">
        <v>0</v>
      </c>
      <c r="T225" s="3">
        <v>49</v>
      </c>
      <c r="U225" s="3">
        <v>0</v>
      </c>
      <c r="V225" s="3" t="s">
        <v>35</v>
      </c>
      <c r="W225" s="3" t="s">
        <v>35</v>
      </c>
      <c r="X225" s="3" t="s">
        <v>35</v>
      </c>
      <c r="Y225" s="3" t="s">
        <v>35</v>
      </c>
      <c r="Z225" s="3" t="s">
        <v>35</v>
      </c>
      <c r="AA225" s="3" t="s">
        <v>35</v>
      </c>
    </row>
    <row r="226" s="3" customFormat="1" spans="1:27">
      <c r="A226" s="3" t="s">
        <v>145</v>
      </c>
      <c r="B226" s="3" t="s">
        <v>30</v>
      </c>
      <c r="C226" s="3">
        <v>20600436</v>
      </c>
      <c r="D226" s="13">
        <v>233591507141</v>
      </c>
      <c r="E226" s="16">
        <v>46029.7269444444</v>
      </c>
      <c r="F226" s="3">
        <v>1747.95</v>
      </c>
      <c r="G226" s="3">
        <v>2.46</v>
      </c>
      <c r="H226" s="3">
        <v>1745.49</v>
      </c>
      <c r="I226" s="3">
        <v>156.62</v>
      </c>
      <c r="J226" s="3">
        <v>2.46</v>
      </c>
      <c r="K226" s="3">
        <v>154.15</v>
      </c>
      <c r="L226" s="3">
        <v>215.38</v>
      </c>
      <c r="M226" s="3">
        <v>2800</v>
      </c>
      <c r="N226" s="3">
        <v>185.46</v>
      </c>
      <c r="O226" s="3">
        <v>2410.98</v>
      </c>
      <c r="P226" s="3" t="s">
        <v>41</v>
      </c>
      <c r="Q226" s="3" t="s">
        <v>33</v>
      </c>
      <c r="R226" s="3" t="s">
        <v>412</v>
      </c>
      <c r="S226" s="3">
        <v>0</v>
      </c>
      <c r="T226" s="3">
        <v>140</v>
      </c>
      <c r="U226" s="3">
        <v>0</v>
      </c>
      <c r="V226" s="3" t="s">
        <v>35</v>
      </c>
      <c r="W226" s="3" t="s">
        <v>35</v>
      </c>
      <c r="X226" s="3" t="s">
        <v>35</v>
      </c>
      <c r="Y226" s="3" t="s">
        <v>35</v>
      </c>
      <c r="Z226" s="3" t="s">
        <v>35</v>
      </c>
      <c r="AA226" s="3" t="s">
        <v>35</v>
      </c>
    </row>
    <row r="227" s="3" customFormat="1" spans="1:27">
      <c r="A227" s="3" t="s">
        <v>145</v>
      </c>
      <c r="B227" s="3" t="s">
        <v>30</v>
      </c>
      <c r="C227" s="3">
        <v>19257039</v>
      </c>
      <c r="D227" s="13">
        <v>233592057174</v>
      </c>
      <c r="E227" s="16">
        <v>45965.3009375</v>
      </c>
      <c r="F227" s="3">
        <v>734.66</v>
      </c>
      <c r="G227" s="3">
        <v>0.38</v>
      </c>
      <c r="H227" s="3">
        <v>734.28</v>
      </c>
      <c r="I227" s="3">
        <v>28.92</v>
      </c>
      <c r="J227" s="3">
        <v>0.19</v>
      </c>
      <c r="K227" s="3">
        <v>28.73</v>
      </c>
      <c r="L227" s="3">
        <v>134.46</v>
      </c>
      <c r="M227" s="3">
        <v>1748</v>
      </c>
      <c r="N227" s="3">
        <v>0.77</v>
      </c>
      <c r="O227" s="3">
        <v>10.01</v>
      </c>
      <c r="P227" s="3" t="s">
        <v>32</v>
      </c>
      <c r="Q227" s="3" t="s">
        <v>33</v>
      </c>
      <c r="R227" s="3" t="s">
        <v>412</v>
      </c>
      <c r="S227" s="3">
        <v>0</v>
      </c>
      <c r="T227" s="3">
        <v>87</v>
      </c>
      <c r="U227" s="3">
        <v>0</v>
      </c>
      <c r="V227" s="3" t="s">
        <v>35</v>
      </c>
      <c r="W227" s="3" t="s">
        <v>35</v>
      </c>
      <c r="X227" s="3" t="s">
        <v>35</v>
      </c>
      <c r="Y227" s="3" t="s">
        <v>35</v>
      </c>
      <c r="Z227" s="3" t="s">
        <v>35</v>
      </c>
      <c r="AA227" s="3" t="s">
        <v>35</v>
      </c>
    </row>
    <row r="228" s="3" customFormat="1" spans="1:27">
      <c r="A228" s="3" t="s">
        <v>145</v>
      </c>
      <c r="B228" s="3" t="s">
        <v>30</v>
      </c>
      <c r="C228" s="3">
        <v>22519006</v>
      </c>
      <c r="D228" s="13">
        <v>233593950410</v>
      </c>
      <c r="E228" s="16">
        <v>46132.5333449074</v>
      </c>
      <c r="F228" s="3">
        <v>1291.15</v>
      </c>
      <c r="G228" s="3">
        <v>1.81</v>
      </c>
      <c r="H228" s="3">
        <v>1289.35</v>
      </c>
      <c r="I228" s="3">
        <v>22.29</v>
      </c>
      <c r="J228" s="3">
        <v>1.81</v>
      </c>
      <c r="K228" s="3">
        <v>20.48</v>
      </c>
      <c r="L228" s="3">
        <v>266.85</v>
      </c>
      <c r="M228" s="3">
        <v>3469</v>
      </c>
      <c r="N228" s="3">
        <v>266.85</v>
      </c>
      <c r="O228" s="3">
        <v>3469.05</v>
      </c>
      <c r="P228" s="3" t="s">
        <v>41</v>
      </c>
      <c r="Q228" s="3" t="s">
        <v>33</v>
      </c>
      <c r="R228" s="3" t="s">
        <v>412</v>
      </c>
      <c r="S228" s="3">
        <v>0</v>
      </c>
      <c r="T228" s="3">
        <v>173</v>
      </c>
      <c r="U228" s="3">
        <v>0</v>
      </c>
      <c r="V228" s="3" t="s">
        <v>35</v>
      </c>
      <c r="W228" s="3" t="s">
        <v>35</v>
      </c>
      <c r="X228" s="3" t="s">
        <v>35</v>
      </c>
      <c r="Y228" s="3" t="s">
        <v>35</v>
      </c>
      <c r="Z228" s="3" t="s">
        <v>35</v>
      </c>
      <c r="AA228" s="3" t="s">
        <v>35</v>
      </c>
    </row>
    <row r="229" s="3" customFormat="1" spans="1:27">
      <c r="A229" s="3" t="s">
        <v>145</v>
      </c>
      <c r="B229" s="3" t="s">
        <v>30</v>
      </c>
      <c r="C229" s="3">
        <v>22541819</v>
      </c>
      <c r="D229" s="13">
        <v>233597408477</v>
      </c>
      <c r="E229" s="16">
        <v>46134.2021180556</v>
      </c>
      <c r="F229" s="3">
        <v>8613.57</v>
      </c>
      <c r="G229" s="3">
        <v>0</v>
      </c>
      <c r="H229" s="3">
        <v>8613.57</v>
      </c>
      <c r="I229" s="3">
        <v>1155.15</v>
      </c>
      <c r="J229" s="3">
        <v>0</v>
      </c>
      <c r="K229" s="3">
        <v>1155.15</v>
      </c>
      <c r="L229" s="3">
        <v>1397.69</v>
      </c>
      <c r="M229" s="3">
        <v>18170</v>
      </c>
      <c r="N229" s="3">
        <v>1397.69</v>
      </c>
      <c r="O229" s="3">
        <v>18169.97</v>
      </c>
      <c r="P229" s="3" t="s">
        <v>41</v>
      </c>
      <c r="Q229" s="3" t="s">
        <v>42</v>
      </c>
      <c r="R229" s="3" t="s">
        <v>412</v>
      </c>
      <c r="S229" s="3">
        <v>0</v>
      </c>
      <c r="T229" s="3">
        <v>908</v>
      </c>
      <c r="U229" s="3">
        <v>0</v>
      </c>
      <c r="V229" s="3" t="s">
        <v>35</v>
      </c>
      <c r="W229" s="3" t="s">
        <v>35</v>
      </c>
      <c r="X229" s="3" t="s">
        <v>35</v>
      </c>
      <c r="Y229" s="3" t="s">
        <v>35</v>
      </c>
      <c r="Z229" s="3" t="s">
        <v>35</v>
      </c>
      <c r="AA229" s="3" t="s">
        <v>35</v>
      </c>
    </row>
    <row r="230" s="3" customFormat="1" spans="1:27">
      <c r="A230" s="3" t="s">
        <v>145</v>
      </c>
      <c r="B230" s="3" t="s">
        <v>30</v>
      </c>
      <c r="C230" s="3">
        <v>22507627</v>
      </c>
      <c r="D230" s="13">
        <v>233598339437</v>
      </c>
      <c r="E230" s="16">
        <v>46131.6153935185</v>
      </c>
      <c r="F230" s="3">
        <v>2585.53</v>
      </c>
      <c r="G230" s="3">
        <v>3.85</v>
      </c>
      <c r="H230" s="3">
        <v>2580.53</v>
      </c>
      <c r="I230" s="3">
        <v>133.45</v>
      </c>
      <c r="J230" s="3">
        <v>3.85</v>
      </c>
      <c r="K230" s="3">
        <v>129.61</v>
      </c>
      <c r="L230" s="3">
        <v>287.31</v>
      </c>
      <c r="M230" s="3">
        <v>3735</v>
      </c>
      <c r="N230" s="3">
        <v>287.31</v>
      </c>
      <c r="O230" s="3">
        <v>3735.03</v>
      </c>
      <c r="P230" s="3" t="s">
        <v>32</v>
      </c>
      <c r="Q230" s="3" t="s">
        <v>33</v>
      </c>
      <c r="R230" s="3" t="s">
        <v>412</v>
      </c>
      <c r="S230" s="3">
        <v>0</v>
      </c>
      <c r="T230" s="3">
        <v>187</v>
      </c>
      <c r="U230" s="3">
        <v>0</v>
      </c>
      <c r="V230" s="3" t="s">
        <v>35</v>
      </c>
      <c r="W230" s="3" t="s">
        <v>35</v>
      </c>
      <c r="X230" s="3" t="s">
        <v>35</v>
      </c>
      <c r="Y230" s="3" t="s">
        <v>35</v>
      </c>
      <c r="Z230" s="3" t="s">
        <v>35</v>
      </c>
      <c r="AA230" s="3" t="s">
        <v>35</v>
      </c>
    </row>
    <row r="231" s="3" customFormat="1" spans="1:27">
      <c r="A231" s="3" t="s">
        <v>145</v>
      </c>
      <c r="B231" s="3" t="s">
        <v>30</v>
      </c>
      <c r="C231" s="3">
        <v>22092099</v>
      </c>
      <c r="D231" s="13">
        <v>233599762914</v>
      </c>
      <c r="E231" s="16">
        <v>46107.3107638889</v>
      </c>
      <c r="F231" s="3">
        <v>17889.34</v>
      </c>
      <c r="G231" s="3">
        <v>0</v>
      </c>
      <c r="H231" s="3">
        <v>17889.34</v>
      </c>
      <c r="I231" s="3">
        <v>578.77</v>
      </c>
      <c r="J231" s="3">
        <v>0</v>
      </c>
      <c r="K231" s="3">
        <v>578.77</v>
      </c>
      <c r="L231" s="3">
        <v>2813.08</v>
      </c>
      <c r="M231" s="3">
        <v>36570</v>
      </c>
      <c r="N231" s="3">
        <v>2813.08</v>
      </c>
      <c r="O231" s="3">
        <v>36570.04</v>
      </c>
      <c r="P231" s="3" t="s">
        <v>41</v>
      </c>
      <c r="Q231" s="3" t="s">
        <v>42</v>
      </c>
      <c r="R231" s="3" t="s">
        <v>412</v>
      </c>
      <c r="S231" s="3">
        <v>0</v>
      </c>
      <c r="T231" s="3">
        <v>1828</v>
      </c>
      <c r="U231" s="3">
        <v>0</v>
      </c>
      <c r="V231" s="3" t="s">
        <v>35</v>
      </c>
      <c r="W231" s="3" t="s">
        <v>35</v>
      </c>
      <c r="X231" s="3" t="s">
        <v>35</v>
      </c>
      <c r="Y231" s="3" t="s">
        <v>35</v>
      </c>
      <c r="Z231" s="3" t="s">
        <v>35</v>
      </c>
      <c r="AA231" s="3" t="s">
        <v>35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91"/>
  <sheetViews>
    <sheetView workbookViewId="0">
      <selection activeCell="B1" sqref="B1"/>
    </sheetView>
  </sheetViews>
  <sheetFormatPr defaultColWidth="9.02654867256637" defaultRowHeight="13.5" outlineLevelCol="1"/>
  <cols>
    <col min="1" max="1" width="21.787610619469" style="12"/>
    <col min="2" max="2" width="9"/>
  </cols>
  <sheetData>
    <row r="1" spans="1:2">
      <c r="A1" s="13" t="s">
        <v>3</v>
      </c>
      <c r="B1" s="3" t="s">
        <v>17</v>
      </c>
    </row>
    <row r="2" spans="1:2">
      <c r="A2" s="13">
        <v>233200425461</v>
      </c>
      <c r="B2" s="3" t="s">
        <v>34</v>
      </c>
    </row>
    <row r="3" spans="1:2">
      <c r="A3" s="13">
        <v>233202423882</v>
      </c>
      <c r="B3" s="3" t="s">
        <v>34</v>
      </c>
    </row>
    <row r="4" spans="1:2">
      <c r="A4" s="13">
        <v>233500578321</v>
      </c>
      <c r="B4" s="3" t="s">
        <v>34</v>
      </c>
    </row>
    <row r="5" spans="1:2">
      <c r="A5" s="13">
        <v>233503326514</v>
      </c>
      <c r="B5" s="3" t="s">
        <v>34</v>
      </c>
    </row>
    <row r="6" spans="1:2">
      <c r="A6" s="13">
        <v>233506502760</v>
      </c>
      <c r="B6" s="3" t="s">
        <v>34</v>
      </c>
    </row>
    <row r="7" spans="1:2">
      <c r="A7" s="13">
        <v>233507814734</v>
      </c>
      <c r="B7" s="3" t="s">
        <v>34</v>
      </c>
    </row>
    <row r="8" spans="1:2">
      <c r="A8" s="13">
        <v>233240254349</v>
      </c>
      <c r="B8" s="3" t="s">
        <v>34</v>
      </c>
    </row>
    <row r="9" spans="1:2">
      <c r="A9" s="13">
        <v>233243952996</v>
      </c>
      <c r="B9" s="3" t="s">
        <v>34</v>
      </c>
    </row>
    <row r="10" spans="1:2">
      <c r="A10" s="13">
        <v>233248914647</v>
      </c>
      <c r="B10" s="3" t="s">
        <v>34</v>
      </c>
    </row>
    <row r="11" spans="1:2">
      <c r="A11" s="13">
        <v>233256999078</v>
      </c>
      <c r="B11" s="3" t="s">
        <v>34</v>
      </c>
    </row>
    <row r="12" spans="1:2">
      <c r="A12" s="13">
        <v>233257286401</v>
      </c>
      <c r="B12" s="3" t="s">
        <v>34</v>
      </c>
    </row>
    <row r="13" spans="1:2">
      <c r="A13" s="13">
        <v>233257564352</v>
      </c>
      <c r="B13" s="3" t="s">
        <v>34</v>
      </c>
    </row>
    <row r="14" spans="1:2">
      <c r="A14" s="13">
        <v>233257685762</v>
      </c>
      <c r="B14" s="3" t="s">
        <v>34</v>
      </c>
    </row>
    <row r="15" spans="1:2">
      <c r="A15" s="13">
        <v>233530876873</v>
      </c>
      <c r="B15" s="3" t="s">
        <v>34</v>
      </c>
    </row>
    <row r="16" spans="1:2">
      <c r="A16" s="13">
        <v>233531138233</v>
      </c>
      <c r="B16" s="3" t="s">
        <v>34</v>
      </c>
    </row>
    <row r="17" spans="1:2">
      <c r="A17" s="13">
        <v>233531439036</v>
      </c>
      <c r="B17" s="3" t="s">
        <v>34</v>
      </c>
    </row>
    <row r="18" spans="1:2">
      <c r="A18" s="13">
        <v>233531966836</v>
      </c>
      <c r="B18" s="3" t="s">
        <v>34</v>
      </c>
    </row>
    <row r="19" spans="1:2">
      <c r="A19" s="13">
        <v>233535425471</v>
      </c>
      <c r="B19" s="3" t="s">
        <v>34</v>
      </c>
    </row>
    <row r="20" spans="1:2">
      <c r="A20" s="13">
        <v>233535831756</v>
      </c>
      <c r="B20" s="3" t="s">
        <v>34</v>
      </c>
    </row>
    <row r="21" spans="1:2">
      <c r="A21" s="13">
        <v>233537499088</v>
      </c>
      <c r="B21" s="3" t="s">
        <v>34</v>
      </c>
    </row>
    <row r="22" spans="1:2">
      <c r="A22" s="13">
        <v>233537704967</v>
      </c>
      <c r="B22" s="3" t="s">
        <v>34</v>
      </c>
    </row>
    <row r="23" spans="1:2">
      <c r="A23" s="13">
        <v>233539043315</v>
      </c>
      <c r="B23" s="3" t="s">
        <v>34</v>
      </c>
    </row>
    <row r="24" spans="1:2">
      <c r="A24" s="13">
        <v>233539614598</v>
      </c>
      <c r="B24" s="3" t="s">
        <v>34</v>
      </c>
    </row>
    <row r="25" spans="1:2">
      <c r="A25" s="13">
        <v>233542275666</v>
      </c>
      <c r="B25" s="3" t="s">
        <v>34</v>
      </c>
    </row>
    <row r="26" spans="1:2">
      <c r="A26" s="13">
        <v>233544687595</v>
      </c>
      <c r="B26" s="3" t="s">
        <v>34</v>
      </c>
    </row>
    <row r="27" spans="1:2">
      <c r="A27" s="13">
        <v>233544979077</v>
      </c>
      <c r="B27" s="3" t="s">
        <v>34</v>
      </c>
    </row>
    <row r="28" spans="1:2">
      <c r="A28" s="13">
        <v>233545295774</v>
      </c>
      <c r="B28" s="3" t="s">
        <v>34</v>
      </c>
    </row>
    <row r="29" spans="1:2">
      <c r="A29" s="13">
        <v>233545807815</v>
      </c>
      <c r="B29" s="3" t="s">
        <v>34</v>
      </c>
    </row>
    <row r="30" spans="1:2">
      <c r="A30" s="13">
        <v>233548155384</v>
      </c>
      <c r="B30" s="3" t="s">
        <v>34</v>
      </c>
    </row>
    <row r="31" spans="1:2">
      <c r="A31" s="13">
        <v>233548694876</v>
      </c>
      <c r="B31" s="3" t="s">
        <v>34</v>
      </c>
    </row>
    <row r="32" spans="1:2">
      <c r="A32" s="13">
        <v>233548989747</v>
      </c>
      <c r="B32" s="3" t="s">
        <v>34</v>
      </c>
    </row>
    <row r="33" spans="1:2">
      <c r="A33" s="13">
        <v>233549920355</v>
      </c>
      <c r="B33" s="3" t="s">
        <v>34</v>
      </c>
    </row>
    <row r="34" spans="1:2">
      <c r="A34" s="13">
        <v>233551995862</v>
      </c>
      <c r="B34" s="3" t="s">
        <v>34</v>
      </c>
    </row>
    <row r="35" spans="1:2">
      <c r="A35" s="13">
        <v>233552808730</v>
      </c>
      <c r="B35" s="3" t="s">
        <v>34</v>
      </c>
    </row>
    <row r="36" spans="1:2">
      <c r="A36" s="13">
        <v>233557444083</v>
      </c>
      <c r="B36" s="3" t="s">
        <v>34</v>
      </c>
    </row>
    <row r="37" spans="1:2">
      <c r="A37" s="13">
        <v>233594085826</v>
      </c>
      <c r="B37" s="3" t="s">
        <v>34</v>
      </c>
    </row>
    <row r="38" spans="1:2">
      <c r="A38" s="13">
        <v>233201534803</v>
      </c>
      <c r="B38" s="3" t="s">
        <v>34</v>
      </c>
    </row>
    <row r="39" spans="1:2">
      <c r="A39" s="13">
        <v>233204251901</v>
      </c>
      <c r="B39" s="3" t="s">
        <v>34</v>
      </c>
    </row>
    <row r="40" spans="1:2">
      <c r="A40" s="13">
        <v>233505307892</v>
      </c>
      <c r="B40" s="3" t="s">
        <v>34</v>
      </c>
    </row>
    <row r="41" spans="1:2">
      <c r="A41" s="13">
        <v>233241107011</v>
      </c>
      <c r="B41" s="3" t="s">
        <v>34</v>
      </c>
    </row>
    <row r="42" spans="1:2">
      <c r="A42" s="13">
        <v>233243087488</v>
      </c>
      <c r="B42" s="3" t="s">
        <v>34</v>
      </c>
    </row>
    <row r="43" spans="1:2">
      <c r="A43" s="13">
        <v>233243902182</v>
      </c>
      <c r="B43" s="3" t="s">
        <v>34</v>
      </c>
    </row>
    <row r="44" spans="1:2">
      <c r="A44" s="13">
        <v>233246278056</v>
      </c>
      <c r="B44" s="3" t="s">
        <v>34</v>
      </c>
    </row>
    <row r="45" spans="1:2">
      <c r="A45" s="13">
        <v>233246486641</v>
      </c>
      <c r="B45" s="3" t="s">
        <v>34</v>
      </c>
    </row>
    <row r="46" spans="1:2">
      <c r="A46" s="13">
        <v>233247574216</v>
      </c>
      <c r="B46" s="3" t="s">
        <v>34</v>
      </c>
    </row>
    <row r="47" spans="1:2">
      <c r="A47" s="13">
        <v>233247850749</v>
      </c>
      <c r="B47" s="3" t="s">
        <v>34</v>
      </c>
    </row>
    <row r="48" spans="1:2">
      <c r="A48" s="13">
        <v>233256605971</v>
      </c>
      <c r="B48" s="3" t="s">
        <v>34</v>
      </c>
    </row>
    <row r="49" spans="1:2">
      <c r="A49" s="13">
        <v>233257783811</v>
      </c>
      <c r="B49" s="3" t="s">
        <v>34</v>
      </c>
    </row>
    <row r="50" spans="1:2">
      <c r="A50" s="13">
        <v>233533515688</v>
      </c>
      <c r="B50" s="3" t="s">
        <v>34</v>
      </c>
    </row>
    <row r="51" spans="1:2">
      <c r="A51" s="13">
        <v>233538468651</v>
      </c>
      <c r="B51" s="3" t="s">
        <v>34</v>
      </c>
    </row>
    <row r="52" spans="1:2">
      <c r="A52" s="13">
        <v>233539291766</v>
      </c>
      <c r="B52" s="3" t="s">
        <v>34</v>
      </c>
    </row>
    <row r="53" spans="1:2">
      <c r="A53" s="13">
        <v>233539695179</v>
      </c>
      <c r="B53" s="3" t="s">
        <v>34</v>
      </c>
    </row>
    <row r="54" spans="1:2">
      <c r="A54" s="13">
        <v>233541818650</v>
      </c>
      <c r="B54" s="3" t="s">
        <v>34</v>
      </c>
    </row>
    <row r="55" spans="1:2">
      <c r="A55" s="13">
        <v>233542675398</v>
      </c>
      <c r="B55" s="3" t="s">
        <v>34</v>
      </c>
    </row>
    <row r="56" spans="1:2">
      <c r="A56" s="13">
        <v>233547083268</v>
      </c>
      <c r="B56" s="3" t="s">
        <v>34</v>
      </c>
    </row>
    <row r="57" spans="1:2">
      <c r="A57" s="13">
        <v>233548536598</v>
      </c>
      <c r="B57" s="3" t="s">
        <v>34</v>
      </c>
    </row>
    <row r="58" spans="1:2">
      <c r="A58" s="13">
        <v>233549352539</v>
      </c>
      <c r="B58" s="3" t="s">
        <v>34</v>
      </c>
    </row>
    <row r="59" spans="1:2">
      <c r="A59" s="13">
        <v>233552289192</v>
      </c>
      <c r="B59" s="3" t="s">
        <v>34</v>
      </c>
    </row>
    <row r="60" spans="1:2">
      <c r="A60" s="13">
        <v>233552853700</v>
      </c>
      <c r="B60" s="3" t="s">
        <v>34</v>
      </c>
    </row>
    <row r="61" spans="1:2">
      <c r="A61" s="13">
        <v>233554247328</v>
      </c>
      <c r="B61" s="3" t="s">
        <v>34</v>
      </c>
    </row>
    <row r="62" spans="1:2">
      <c r="A62" s="13">
        <v>233592580788</v>
      </c>
      <c r="B62" s="3" t="s">
        <v>34</v>
      </c>
    </row>
    <row r="63" spans="1:2">
      <c r="A63" s="14">
        <v>233202510472</v>
      </c>
      <c r="B63" s="15" t="s">
        <v>34</v>
      </c>
    </row>
    <row r="64" spans="1:2">
      <c r="A64" s="14">
        <v>233208326265</v>
      </c>
      <c r="B64" s="15" t="s">
        <v>34</v>
      </c>
    </row>
    <row r="65" spans="1:2">
      <c r="A65" s="14">
        <v>233245688964</v>
      </c>
      <c r="B65" s="15" t="s">
        <v>34</v>
      </c>
    </row>
    <row r="66" spans="1:2">
      <c r="A66" s="14">
        <v>233247247678</v>
      </c>
      <c r="B66" s="15" t="s">
        <v>34</v>
      </c>
    </row>
    <row r="67" spans="1:2">
      <c r="A67" s="14">
        <v>233247393151</v>
      </c>
      <c r="B67" s="15" t="s">
        <v>34</v>
      </c>
    </row>
    <row r="68" spans="1:2">
      <c r="A68" s="14">
        <v>233249488836</v>
      </c>
      <c r="B68" s="15" t="s">
        <v>34</v>
      </c>
    </row>
    <row r="69" spans="1:2">
      <c r="A69" s="14">
        <v>233256304920</v>
      </c>
      <c r="B69" s="15" t="s">
        <v>34</v>
      </c>
    </row>
    <row r="70" spans="1:2">
      <c r="A70" s="14">
        <v>233256916100</v>
      </c>
      <c r="B70" s="15" t="s">
        <v>34</v>
      </c>
    </row>
    <row r="71" spans="1:2">
      <c r="A71" s="14">
        <v>233257443175</v>
      </c>
      <c r="B71" s="15" t="s">
        <v>34</v>
      </c>
    </row>
    <row r="72" spans="1:2">
      <c r="A72" s="14">
        <v>233257519851</v>
      </c>
      <c r="B72" s="15" t="s">
        <v>34</v>
      </c>
    </row>
    <row r="73" spans="1:2">
      <c r="A73" s="14">
        <v>233502784330</v>
      </c>
      <c r="B73" s="15" t="s">
        <v>34</v>
      </c>
    </row>
    <row r="74" spans="1:2">
      <c r="A74" s="14">
        <v>233503718805</v>
      </c>
      <c r="B74" s="15" t="s">
        <v>34</v>
      </c>
    </row>
    <row r="75" spans="1:2">
      <c r="A75" s="14">
        <v>233505517369</v>
      </c>
      <c r="B75" s="15" t="s">
        <v>34</v>
      </c>
    </row>
    <row r="76" spans="1:2">
      <c r="A76" s="14">
        <v>233507469796</v>
      </c>
      <c r="B76" s="15" t="s">
        <v>34</v>
      </c>
    </row>
    <row r="77" spans="1:2">
      <c r="A77" s="14">
        <v>233531410156</v>
      </c>
      <c r="B77" s="15" t="s">
        <v>34</v>
      </c>
    </row>
    <row r="78" spans="1:2">
      <c r="A78" s="14">
        <v>233531887435</v>
      </c>
      <c r="B78" s="15" t="s">
        <v>34</v>
      </c>
    </row>
    <row r="79" spans="1:2">
      <c r="A79" s="14">
        <v>233533826168</v>
      </c>
      <c r="B79" s="15" t="s">
        <v>34</v>
      </c>
    </row>
    <row r="80" spans="1:2">
      <c r="A80" s="14">
        <v>233535058461</v>
      </c>
      <c r="B80" s="15" t="s">
        <v>34</v>
      </c>
    </row>
    <row r="81" spans="1:2">
      <c r="A81" s="14">
        <v>233536105177</v>
      </c>
      <c r="B81" s="15" t="s">
        <v>34</v>
      </c>
    </row>
    <row r="82" spans="1:2">
      <c r="A82" s="14">
        <v>233536619231</v>
      </c>
      <c r="B82" s="15" t="s">
        <v>34</v>
      </c>
    </row>
    <row r="83" spans="1:2">
      <c r="A83" s="14">
        <v>233537617719</v>
      </c>
      <c r="B83" s="15" t="s">
        <v>34</v>
      </c>
    </row>
    <row r="84" spans="1:2">
      <c r="A84" s="14">
        <v>233539069212</v>
      </c>
      <c r="B84" s="15" t="s">
        <v>34</v>
      </c>
    </row>
    <row r="85" spans="1:2">
      <c r="A85" s="14">
        <v>233544905944</v>
      </c>
      <c r="B85" s="15" t="s">
        <v>34</v>
      </c>
    </row>
    <row r="86" spans="1:2">
      <c r="A86" s="14">
        <v>233545337894</v>
      </c>
      <c r="B86" s="15" t="s">
        <v>34</v>
      </c>
    </row>
    <row r="87" spans="1:2">
      <c r="A87" s="14">
        <v>233547769061</v>
      </c>
      <c r="B87" s="15" t="s">
        <v>34</v>
      </c>
    </row>
    <row r="88" spans="1:2">
      <c r="A88" s="14">
        <v>233548259287</v>
      </c>
      <c r="B88" s="15" t="s">
        <v>34</v>
      </c>
    </row>
    <row r="89" spans="1:2">
      <c r="A89" s="14">
        <v>233549671804</v>
      </c>
      <c r="B89" s="15" t="s">
        <v>34</v>
      </c>
    </row>
    <row r="90" spans="1:2">
      <c r="A90" s="14">
        <v>233550345957</v>
      </c>
      <c r="B90" s="15" t="s">
        <v>34</v>
      </c>
    </row>
    <row r="91" spans="1:2">
      <c r="A91" s="14">
        <v>233551605927</v>
      </c>
      <c r="B91" s="15" t="s">
        <v>34</v>
      </c>
    </row>
    <row r="92" spans="1:2">
      <c r="A92" s="14">
        <v>233552108003</v>
      </c>
      <c r="B92" s="15" t="s">
        <v>34</v>
      </c>
    </row>
    <row r="93" spans="1:2">
      <c r="A93" s="14">
        <v>233555686955</v>
      </c>
      <c r="B93" s="15" t="s">
        <v>34</v>
      </c>
    </row>
    <row r="94" spans="1:2">
      <c r="A94" s="14">
        <v>233555837953</v>
      </c>
      <c r="B94" s="15" t="s">
        <v>34</v>
      </c>
    </row>
    <row r="95" spans="1:2">
      <c r="A95" s="14">
        <v>233557493822</v>
      </c>
      <c r="B95" s="15" t="s">
        <v>34</v>
      </c>
    </row>
    <row r="96" spans="1:2">
      <c r="A96" s="14">
        <v>233557714056</v>
      </c>
      <c r="B96" s="15" t="s">
        <v>34</v>
      </c>
    </row>
    <row r="97" spans="1:2">
      <c r="A97" s="14">
        <v>233557777141</v>
      </c>
      <c r="B97" s="15" t="s">
        <v>34</v>
      </c>
    </row>
    <row r="98" spans="1:2">
      <c r="A98" s="14">
        <v>233559732728</v>
      </c>
      <c r="B98" s="15" t="s">
        <v>34</v>
      </c>
    </row>
    <row r="99" spans="1:2">
      <c r="A99" s="14">
        <v>233593196722</v>
      </c>
      <c r="B99" s="15" t="s">
        <v>34</v>
      </c>
    </row>
    <row r="100" spans="1:2">
      <c r="A100" s="14">
        <v>233599668929</v>
      </c>
      <c r="B100" s="15" t="s">
        <v>34</v>
      </c>
    </row>
    <row r="101" spans="1:2">
      <c r="A101" s="13">
        <v>233205674321</v>
      </c>
      <c r="B101" s="3" t="s">
        <v>34</v>
      </c>
    </row>
    <row r="102" spans="1:2">
      <c r="A102" s="13">
        <v>233206412771</v>
      </c>
      <c r="B102" s="3" t="s">
        <v>34</v>
      </c>
    </row>
    <row r="103" spans="1:2">
      <c r="A103" s="13">
        <v>233242773533</v>
      </c>
      <c r="B103" s="3" t="s">
        <v>34</v>
      </c>
    </row>
    <row r="104" spans="1:2">
      <c r="A104" s="13">
        <v>233242983501</v>
      </c>
      <c r="B104" s="3" t="s">
        <v>34</v>
      </c>
    </row>
    <row r="105" spans="1:2">
      <c r="A105" s="13">
        <v>233245374329</v>
      </c>
      <c r="B105" s="3" t="s">
        <v>34</v>
      </c>
    </row>
    <row r="106" spans="1:2">
      <c r="A106" s="13">
        <v>233245923424</v>
      </c>
      <c r="B106" s="3" t="s">
        <v>34</v>
      </c>
    </row>
    <row r="107" spans="1:2">
      <c r="A107" s="13">
        <v>233246969922</v>
      </c>
      <c r="B107" s="3" t="s">
        <v>34</v>
      </c>
    </row>
    <row r="108" spans="1:2">
      <c r="A108" s="13">
        <v>233248070816</v>
      </c>
      <c r="B108" s="3" t="s">
        <v>34</v>
      </c>
    </row>
    <row r="109" spans="1:2">
      <c r="A109" s="13">
        <v>233248356133</v>
      </c>
      <c r="B109" s="3" t="s">
        <v>34</v>
      </c>
    </row>
    <row r="110" spans="1:2">
      <c r="A110" s="13">
        <v>233277807786</v>
      </c>
      <c r="B110" s="3" t="s">
        <v>34</v>
      </c>
    </row>
    <row r="111" spans="1:2">
      <c r="A111" s="13">
        <v>233500244589</v>
      </c>
      <c r="B111" s="3" t="s">
        <v>34</v>
      </c>
    </row>
    <row r="112" spans="1:2">
      <c r="A112" s="13">
        <v>233502672121</v>
      </c>
      <c r="B112" s="3" t="s">
        <v>34</v>
      </c>
    </row>
    <row r="113" spans="1:2">
      <c r="A113" s="13">
        <v>233530794204</v>
      </c>
      <c r="B113" s="3" t="s">
        <v>34</v>
      </c>
    </row>
    <row r="114" spans="1:2">
      <c r="A114" s="13">
        <v>233532749478</v>
      </c>
      <c r="B114" s="3" t="s">
        <v>34</v>
      </c>
    </row>
    <row r="115" spans="1:2">
      <c r="A115" s="13">
        <v>233533186236</v>
      </c>
      <c r="B115" s="3" t="s">
        <v>34</v>
      </c>
    </row>
    <row r="116" spans="1:2">
      <c r="A116" s="13">
        <v>233533377138</v>
      </c>
      <c r="B116" s="3" t="s">
        <v>34</v>
      </c>
    </row>
    <row r="117" spans="1:2">
      <c r="A117" s="13">
        <v>233538119555</v>
      </c>
      <c r="B117" s="3" t="s">
        <v>34</v>
      </c>
    </row>
    <row r="118" spans="1:2">
      <c r="A118" s="13">
        <v>233542100562</v>
      </c>
      <c r="B118" s="3" t="s">
        <v>34</v>
      </c>
    </row>
    <row r="119" spans="1:2">
      <c r="A119" s="13">
        <v>233544913832</v>
      </c>
      <c r="B119" s="3" t="s">
        <v>34</v>
      </c>
    </row>
    <row r="120" spans="1:2">
      <c r="A120" s="13">
        <v>233552066358</v>
      </c>
      <c r="B120" s="3" t="s">
        <v>34</v>
      </c>
    </row>
    <row r="121" spans="1:2">
      <c r="A121" s="13">
        <v>233553219886</v>
      </c>
      <c r="B121" s="3" t="s">
        <v>34</v>
      </c>
    </row>
    <row r="122" spans="1:2">
      <c r="A122" s="13">
        <v>233557086546</v>
      </c>
      <c r="B122" s="3" t="s">
        <v>34</v>
      </c>
    </row>
    <row r="123" spans="1:2">
      <c r="A123" s="13">
        <v>233558171044</v>
      </c>
      <c r="B123" s="3" t="s">
        <v>34</v>
      </c>
    </row>
    <row r="124" spans="1:2">
      <c r="A124" s="13">
        <v>233558394162</v>
      </c>
      <c r="B124" s="3" t="s">
        <v>34</v>
      </c>
    </row>
    <row r="125" spans="1:2">
      <c r="A125" s="13">
        <v>233591882426</v>
      </c>
      <c r="B125" s="3" t="s">
        <v>34</v>
      </c>
    </row>
    <row r="126" spans="1:2">
      <c r="A126" s="13">
        <v>233591903619</v>
      </c>
      <c r="B126" s="3" t="s">
        <v>34</v>
      </c>
    </row>
    <row r="127" spans="1:2">
      <c r="A127" s="13">
        <v>233592262499</v>
      </c>
      <c r="B127" s="3" t="s">
        <v>34</v>
      </c>
    </row>
    <row r="128" spans="1:2">
      <c r="A128" s="13">
        <v>233593917702</v>
      </c>
      <c r="B128" s="3" t="s">
        <v>34</v>
      </c>
    </row>
    <row r="129" spans="1:2">
      <c r="A129" s="13">
        <v>233596535721</v>
      </c>
      <c r="B129" s="3" t="s">
        <v>34</v>
      </c>
    </row>
    <row r="130" spans="1:2">
      <c r="A130" s="13">
        <v>233597869750</v>
      </c>
      <c r="B130" s="3" t="s">
        <v>34</v>
      </c>
    </row>
    <row r="131" spans="1:2">
      <c r="A131" s="13">
        <v>233598826679</v>
      </c>
      <c r="B131" s="3" t="s">
        <v>34</v>
      </c>
    </row>
    <row r="132" spans="1:2">
      <c r="A132" s="13">
        <v>233599049022</v>
      </c>
      <c r="B132" s="3" t="s">
        <v>34</v>
      </c>
    </row>
    <row r="133" spans="1:2">
      <c r="A133" s="13">
        <v>233201683310</v>
      </c>
      <c r="B133" s="3" t="s">
        <v>34</v>
      </c>
    </row>
    <row r="134" spans="1:2">
      <c r="A134" s="13">
        <v>233201775602</v>
      </c>
      <c r="B134" s="3" t="s">
        <v>34</v>
      </c>
    </row>
    <row r="135" spans="1:2">
      <c r="A135" s="13">
        <v>233207394944</v>
      </c>
      <c r="B135" s="3" t="s">
        <v>34</v>
      </c>
    </row>
    <row r="136" spans="1:2">
      <c r="A136" s="13">
        <v>233209260780</v>
      </c>
      <c r="B136" s="3" t="s">
        <v>34</v>
      </c>
    </row>
    <row r="137" spans="1:2">
      <c r="A137" s="13">
        <v>233242720495</v>
      </c>
      <c r="B137" s="3" t="s">
        <v>34</v>
      </c>
    </row>
    <row r="138" spans="1:2">
      <c r="A138" s="13">
        <v>233243016610</v>
      </c>
      <c r="B138" s="3" t="s">
        <v>34</v>
      </c>
    </row>
    <row r="139" spans="1:2">
      <c r="A139" s="13">
        <v>233243243365</v>
      </c>
      <c r="B139" s="3" t="s">
        <v>34</v>
      </c>
    </row>
    <row r="140" spans="1:2">
      <c r="A140" s="13">
        <v>233244893284</v>
      </c>
      <c r="B140" s="3" t="s">
        <v>34</v>
      </c>
    </row>
    <row r="141" spans="1:2">
      <c r="A141" s="13">
        <v>233245294616</v>
      </c>
      <c r="B141" s="3" t="s">
        <v>34</v>
      </c>
    </row>
    <row r="142" spans="1:2">
      <c r="A142" s="13">
        <v>233245616781</v>
      </c>
      <c r="B142" s="3" t="s">
        <v>34</v>
      </c>
    </row>
    <row r="143" spans="1:2">
      <c r="A143" s="13">
        <v>233247657338</v>
      </c>
      <c r="B143" s="3" t="s">
        <v>34</v>
      </c>
    </row>
    <row r="144" spans="1:2">
      <c r="A144" s="13">
        <v>233247904073</v>
      </c>
      <c r="B144" s="3" t="s">
        <v>34</v>
      </c>
    </row>
    <row r="145" spans="1:2">
      <c r="A145" s="13">
        <v>233256634713</v>
      </c>
      <c r="B145" s="3" t="s">
        <v>34</v>
      </c>
    </row>
    <row r="146" spans="1:2">
      <c r="A146" s="13">
        <v>233275324742</v>
      </c>
      <c r="B146" s="3" t="s">
        <v>34</v>
      </c>
    </row>
    <row r="147" spans="1:2">
      <c r="A147" s="13">
        <v>233503441168</v>
      </c>
      <c r="B147" s="3" t="s">
        <v>34</v>
      </c>
    </row>
    <row r="148" spans="1:2">
      <c r="A148" s="13">
        <v>233504756403</v>
      </c>
      <c r="B148" s="3" t="s">
        <v>34</v>
      </c>
    </row>
    <row r="149" spans="1:2">
      <c r="A149" s="13">
        <v>233530490066</v>
      </c>
      <c r="B149" s="3" t="s">
        <v>34</v>
      </c>
    </row>
    <row r="150" spans="1:2">
      <c r="A150" s="13">
        <v>233531263528</v>
      </c>
      <c r="B150" s="3" t="s">
        <v>34</v>
      </c>
    </row>
    <row r="151" spans="1:2">
      <c r="A151" s="13">
        <v>233531781196</v>
      </c>
      <c r="B151" s="3" t="s">
        <v>34</v>
      </c>
    </row>
    <row r="152" spans="1:2">
      <c r="A152" s="13">
        <v>233532653605</v>
      </c>
      <c r="B152" s="3" t="s">
        <v>34</v>
      </c>
    </row>
    <row r="153" spans="1:2">
      <c r="A153" s="13">
        <v>233533085845</v>
      </c>
      <c r="B153" s="3" t="s">
        <v>34</v>
      </c>
    </row>
    <row r="154" spans="1:2">
      <c r="A154" s="13">
        <v>233535064720</v>
      </c>
      <c r="B154" s="3" t="s">
        <v>34</v>
      </c>
    </row>
    <row r="155" spans="1:2">
      <c r="A155" s="13">
        <v>233540993379</v>
      </c>
      <c r="B155" s="3" t="s">
        <v>34</v>
      </c>
    </row>
    <row r="156" spans="1:2">
      <c r="A156" s="13">
        <v>233542704167</v>
      </c>
      <c r="B156" s="3" t="s">
        <v>34</v>
      </c>
    </row>
    <row r="157" spans="1:2">
      <c r="A157" s="13">
        <v>233543173589</v>
      </c>
      <c r="B157" s="3" t="s">
        <v>34</v>
      </c>
    </row>
    <row r="158" spans="1:2">
      <c r="A158" s="13">
        <v>233546147982</v>
      </c>
      <c r="B158" s="3" t="s">
        <v>34</v>
      </c>
    </row>
    <row r="159" spans="1:2">
      <c r="A159" s="13">
        <v>233547316813</v>
      </c>
      <c r="B159" s="3" t="s">
        <v>34</v>
      </c>
    </row>
    <row r="160" spans="1:2">
      <c r="A160" s="13">
        <v>233549811433</v>
      </c>
      <c r="B160" s="3" t="s">
        <v>34</v>
      </c>
    </row>
    <row r="161" spans="1:2">
      <c r="A161" s="13">
        <v>233550974187</v>
      </c>
      <c r="B161" s="3" t="s">
        <v>34</v>
      </c>
    </row>
    <row r="162" spans="1:2">
      <c r="A162" s="13">
        <v>233551567423</v>
      </c>
      <c r="B162" s="3" t="s">
        <v>34</v>
      </c>
    </row>
    <row r="163" spans="1:2">
      <c r="A163" s="13">
        <v>233551914847</v>
      </c>
      <c r="B163" s="3" t="s">
        <v>34</v>
      </c>
    </row>
    <row r="164" spans="1:2">
      <c r="A164" s="13">
        <v>233553902578</v>
      </c>
      <c r="B164" s="3" t="s">
        <v>34</v>
      </c>
    </row>
    <row r="165" spans="1:2">
      <c r="A165" s="13">
        <v>233555683159</v>
      </c>
      <c r="B165" s="3" t="s">
        <v>34</v>
      </c>
    </row>
    <row r="166" spans="1:2">
      <c r="A166" s="13">
        <v>233555706110</v>
      </c>
      <c r="B166" s="3" t="s">
        <v>34</v>
      </c>
    </row>
    <row r="167" spans="1:2">
      <c r="A167" s="13">
        <v>233556387444</v>
      </c>
      <c r="B167" s="3" t="s">
        <v>34</v>
      </c>
    </row>
    <row r="168" spans="1:2">
      <c r="A168" s="13">
        <v>233591225910</v>
      </c>
      <c r="B168" s="3" t="s">
        <v>34</v>
      </c>
    </row>
    <row r="169" spans="1:2">
      <c r="A169" s="13">
        <v>233594828331</v>
      </c>
      <c r="B169" s="3" t="s">
        <v>34</v>
      </c>
    </row>
    <row r="170" spans="1:2">
      <c r="A170" s="13">
        <v>233599686769</v>
      </c>
      <c r="B170" s="3" t="s">
        <v>34</v>
      </c>
    </row>
    <row r="171" spans="1:2">
      <c r="A171" s="13">
        <v>233201359579</v>
      </c>
      <c r="B171" s="3" t="s">
        <v>148</v>
      </c>
    </row>
    <row r="172" spans="1:2">
      <c r="A172" s="13">
        <v>233202159883</v>
      </c>
      <c r="B172" s="3" t="s">
        <v>148</v>
      </c>
    </row>
    <row r="173" spans="1:2">
      <c r="A173" s="13">
        <v>233202438559</v>
      </c>
      <c r="B173" s="3" t="s">
        <v>148</v>
      </c>
    </row>
    <row r="174" spans="1:2">
      <c r="A174" s="13">
        <v>233500556145</v>
      </c>
      <c r="B174" s="3" t="s">
        <v>148</v>
      </c>
    </row>
    <row r="175" spans="1:2">
      <c r="A175" s="13">
        <v>233500580056</v>
      </c>
      <c r="B175" s="3" t="s">
        <v>148</v>
      </c>
    </row>
    <row r="176" spans="1:2">
      <c r="A176" s="13">
        <v>233505126375</v>
      </c>
      <c r="B176" s="3" t="s">
        <v>148</v>
      </c>
    </row>
    <row r="177" spans="1:2">
      <c r="A177" s="13">
        <v>233505415114</v>
      </c>
      <c r="B177" s="3" t="s">
        <v>148</v>
      </c>
    </row>
    <row r="178" spans="1:2">
      <c r="A178" s="13">
        <v>233509066010</v>
      </c>
      <c r="B178" s="3" t="s">
        <v>148</v>
      </c>
    </row>
    <row r="179" spans="1:2">
      <c r="A179" s="13">
        <v>233509875276</v>
      </c>
      <c r="B179" s="3" t="s">
        <v>148</v>
      </c>
    </row>
    <row r="180" spans="1:2">
      <c r="A180" s="13">
        <v>233264612466</v>
      </c>
      <c r="B180" s="3" t="s">
        <v>148</v>
      </c>
    </row>
    <row r="181" spans="1:2">
      <c r="A181" s="13">
        <v>233267635627</v>
      </c>
      <c r="B181" s="3" t="s">
        <v>148</v>
      </c>
    </row>
    <row r="182" spans="1:2">
      <c r="A182" s="13">
        <v>233268228181</v>
      </c>
      <c r="B182" s="3" t="s">
        <v>148</v>
      </c>
    </row>
    <row r="183" spans="1:2">
      <c r="A183" s="13">
        <v>233571660024</v>
      </c>
      <c r="B183" s="3" t="s">
        <v>148</v>
      </c>
    </row>
    <row r="184" spans="1:2">
      <c r="A184" s="13">
        <v>233240097781</v>
      </c>
      <c r="B184" s="3" t="s">
        <v>148</v>
      </c>
    </row>
    <row r="185" spans="1:2">
      <c r="A185" s="13">
        <v>233242285035</v>
      </c>
      <c r="B185" s="3" t="s">
        <v>148</v>
      </c>
    </row>
    <row r="186" spans="1:2">
      <c r="A186" s="13">
        <v>233243747967</v>
      </c>
      <c r="B186" s="3" t="s">
        <v>148</v>
      </c>
    </row>
    <row r="187" spans="1:2">
      <c r="A187" s="13">
        <v>233244845722</v>
      </c>
      <c r="B187" s="3" t="s">
        <v>148</v>
      </c>
    </row>
    <row r="188" spans="1:2">
      <c r="A188" s="13">
        <v>233245012485</v>
      </c>
      <c r="B188" s="3" t="s">
        <v>148</v>
      </c>
    </row>
    <row r="189" spans="1:2">
      <c r="A189" s="13">
        <v>233245694932</v>
      </c>
      <c r="B189" s="3" t="s">
        <v>148</v>
      </c>
    </row>
    <row r="190" spans="1:2">
      <c r="A190" s="13">
        <v>233246936676</v>
      </c>
      <c r="B190" s="3" t="s">
        <v>148</v>
      </c>
    </row>
    <row r="191" spans="1:2">
      <c r="A191" s="13">
        <v>233247884786</v>
      </c>
      <c r="B191" s="3" t="s">
        <v>148</v>
      </c>
    </row>
    <row r="192" spans="1:2">
      <c r="A192" s="13">
        <v>233257323851</v>
      </c>
      <c r="B192" s="3" t="s">
        <v>148</v>
      </c>
    </row>
    <row r="193" spans="1:2">
      <c r="A193" s="13">
        <v>233257480377</v>
      </c>
      <c r="B193" s="3" t="s">
        <v>148</v>
      </c>
    </row>
    <row r="194" spans="1:2">
      <c r="A194" s="13">
        <v>233257520716</v>
      </c>
      <c r="B194" s="3" t="s">
        <v>148</v>
      </c>
    </row>
    <row r="195" spans="1:2">
      <c r="A195" s="13">
        <v>233257871806</v>
      </c>
      <c r="B195" s="3" t="s">
        <v>148</v>
      </c>
    </row>
    <row r="196" spans="1:2">
      <c r="A196" s="13">
        <v>233533362272</v>
      </c>
      <c r="B196" s="3" t="s">
        <v>148</v>
      </c>
    </row>
    <row r="197" spans="1:2">
      <c r="A197" s="13">
        <v>233533764476</v>
      </c>
      <c r="B197" s="3" t="s">
        <v>148</v>
      </c>
    </row>
    <row r="198" spans="1:2">
      <c r="A198" s="13">
        <v>233534001349</v>
      </c>
      <c r="B198" s="3" t="s">
        <v>148</v>
      </c>
    </row>
    <row r="199" spans="1:2">
      <c r="A199" s="13">
        <v>233534478904</v>
      </c>
      <c r="B199" s="3" t="s">
        <v>148</v>
      </c>
    </row>
    <row r="200" spans="1:2">
      <c r="A200" s="13">
        <v>233535084552</v>
      </c>
      <c r="B200" s="3" t="s">
        <v>148</v>
      </c>
    </row>
    <row r="201" spans="1:2">
      <c r="A201" s="13">
        <v>233536975005</v>
      </c>
      <c r="B201" s="3" t="s">
        <v>148</v>
      </c>
    </row>
    <row r="202" spans="1:2">
      <c r="A202" s="13">
        <v>233537951485</v>
      </c>
      <c r="B202" s="3" t="s">
        <v>148</v>
      </c>
    </row>
    <row r="203" spans="1:2">
      <c r="A203" s="13">
        <v>233540312088</v>
      </c>
      <c r="B203" s="3" t="s">
        <v>148</v>
      </c>
    </row>
    <row r="204" spans="1:2">
      <c r="A204" s="13">
        <v>233540576978</v>
      </c>
      <c r="B204" s="3" t="s">
        <v>148</v>
      </c>
    </row>
    <row r="205" spans="1:2">
      <c r="A205" s="13">
        <v>233541576758</v>
      </c>
      <c r="B205" s="3" t="s">
        <v>148</v>
      </c>
    </row>
    <row r="206" spans="1:2">
      <c r="A206" s="13">
        <v>233541808237</v>
      </c>
      <c r="B206" s="3" t="s">
        <v>148</v>
      </c>
    </row>
    <row r="207" spans="1:2">
      <c r="A207" s="13">
        <v>233542168939</v>
      </c>
      <c r="B207" s="3" t="s">
        <v>148</v>
      </c>
    </row>
    <row r="208" spans="1:2">
      <c r="A208" s="13">
        <v>233543639050</v>
      </c>
      <c r="B208" s="3" t="s">
        <v>148</v>
      </c>
    </row>
    <row r="209" spans="1:2">
      <c r="A209" s="13">
        <v>233548305001</v>
      </c>
      <c r="B209" s="3" t="s">
        <v>148</v>
      </c>
    </row>
    <row r="210" spans="1:2">
      <c r="A210" s="13">
        <v>233551286908</v>
      </c>
      <c r="B210" s="3" t="s">
        <v>148</v>
      </c>
    </row>
    <row r="211" spans="1:2">
      <c r="A211" s="13">
        <v>233552383650</v>
      </c>
      <c r="B211" s="3" t="s">
        <v>148</v>
      </c>
    </row>
    <row r="212" spans="1:2">
      <c r="A212" s="13">
        <v>233552619671</v>
      </c>
      <c r="B212" s="3" t="s">
        <v>148</v>
      </c>
    </row>
    <row r="213" spans="1:2">
      <c r="A213" s="13">
        <v>233554485255</v>
      </c>
      <c r="B213" s="3" t="s">
        <v>148</v>
      </c>
    </row>
    <row r="214" spans="1:2">
      <c r="A214" s="13">
        <v>233554857562</v>
      </c>
      <c r="B214" s="3" t="s">
        <v>148</v>
      </c>
    </row>
    <row r="215" spans="1:2">
      <c r="A215" s="13">
        <v>233555333290</v>
      </c>
      <c r="B215" s="3" t="s">
        <v>148</v>
      </c>
    </row>
    <row r="216" spans="1:2">
      <c r="A216" s="13">
        <v>233555763867</v>
      </c>
      <c r="B216" s="3" t="s">
        <v>148</v>
      </c>
    </row>
    <row r="217" spans="1:2">
      <c r="A217" s="13">
        <v>233559186932</v>
      </c>
      <c r="B217" s="3" t="s">
        <v>148</v>
      </c>
    </row>
    <row r="218" spans="1:2">
      <c r="A218" s="13">
        <v>233593835709</v>
      </c>
      <c r="B218" s="3" t="s">
        <v>148</v>
      </c>
    </row>
    <row r="219" spans="1:2">
      <c r="A219" s="13">
        <v>233595846265</v>
      </c>
      <c r="B219" s="3" t="s">
        <v>148</v>
      </c>
    </row>
    <row r="220" spans="1:2">
      <c r="A220" s="13">
        <v>233595956926</v>
      </c>
      <c r="B220" s="3" t="s">
        <v>148</v>
      </c>
    </row>
    <row r="221" spans="1:2">
      <c r="A221" s="13">
        <v>233597296254</v>
      </c>
      <c r="B221" s="3" t="s">
        <v>148</v>
      </c>
    </row>
    <row r="222" spans="1:2">
      <c r="A222" s="13">
        <v>233598392217</v>
      </c>
      <c r="B222" s="3" t="s">
        <v>148</v>
      </c>
    </row>
    <row r="223" spans="1:2">
      <c r="A223" s="13">
        <v>233599838991</v>
      </c>
      <c r="B223" s="3" t="s">
        <v>148</v>
      </c>
    </row>
    <row r="224" spans="1:2">
      <c r="A224" s="13">
        <v>233202065140</v>
      </c>
      <c r="B224" s="3" t="s">
        <v>148</v>
      </c>
    </row>
    <row r="225" spans="1:2">
      <c r="A225" s="13">
        <v>233203514545</v>
      </c>
      <c r="B225" s="3" t="s">
        <v>148</v>
      </c>
    </row>
    <row r="226" spans="1:2">
      <c r="A226" s="13">
        <v>233209737890</v>
      </c>
      <c r="B226" s="3" t="s">
        <v>148</v>
      </c>
    </row>
    <row r="227" spans="1:2">
      <c r="A227" s="13">
        <v>233508868600</v>
      </c>
      <c r="B227" s="3" t="s">
        <v>148</v>
      </c>
    </row>
    <row r="228" spans="1:2">
      <c r="A228" s="13">
        <v>233243256747</v>
      </c>
      <c r="B228" s="3" t="s">
        <v>148</v>
      </c>
    </row>
    <row r="229" spans="1:2">
      <c r="A229" s="13">
        <v>233243788708</v>
      </c>
      <c r="B229" s="3" t="s">
        <v>148</v>
      </c>
    </row>
    <row r="230" spans="1:2">
      <c r="A230" s="13">
        <v>233246773930</v>
      </c>
      <c r="B230" s="3" t="s">
        <v>148</v>
      </c>
    </row>
    <row r="231" spans="1:2">
      <c r="A231" s="13">
        <v>233531482687</v>
      </c>
      <c r="B231" s="3" t="s">
        <v>148</v>
      </c>
    </row>
    <row r="232" spans="1:2">
      <c r="A232" s="13">
        <v>233531894257</v>
      </c>
      <c r="B232" s="3" t="s">
        <v>148</v>
      </c>
    </row>
    <row r="233" spans="1:2">
      <c r="A233" s="13">
        <v>233532035600</v>
      </c>
      <c r="B233" s="3" t="s">
        <v>148</v>
      </c>
    </row>
    <row r="234" spans="1:2">
      <c r="A234" s="13">
        <v>233532670211</v>
      </c>
      <c r="B234" s="3" t="s">
        <v>148</v>
      </c>
    </row>
    <row r="235" spans="1:2">
      <c r="A235" s="13">
        <v>233533549777</v>
      </c>
      <c r="B235" s="3" t="s">
        <v>148</v>
      </c>
    </row>
    <row r="236" spans="1:2">
      <c r="A236" s="13">
        <v>233534036763</v>
      </c>
      <c r="B236" s="3" t="s">
        <v>148</v>
      </c>
    </row>
    <row r="237" spans="1:2">
      <c r="A237" s="13">
        <v>233536040004</v>
      </c>
      <c r="B237" s="3" t="s">
        <v>148</v>
      </c>
    </row>
    <row r="238" spans="1:2">
      <c r="A238" s="13">
        <v>233539595174</v>
      </c>
      <c r="B238" s="3" t="s">
        <v>148</v>
      </c>
    </row>
    <row r="239" spans="1:2">
      <c r="A239" s="13">
        <v>233539622144</v>
      </c>
      <c r="B239" s="3" t="s">
        <v>148</v>
      </c>
    </row>
    <row r="240" spans="1:2">
      <c r="A240" s="13">
        <v>233539965983</v>
      </c>
      <c r="B240" s="3" t="s">
        <v>148</v>
      </c>
    </row>
    <row r="241" spans="1:2">
      <c r="A241" s="13">
        <v>233541140331</v>
      </c>
      <c r="B241" s="3" t="s">
        <v>148</v>
      </c>
    </row>
    <row r="242" spans="1:2">
      <c r="A242" s="13">
        <v>233543234141</v>
      </c>
      <c r="B242" s="3" t="s">
        <v>148</v>
      </c>
    </row>
    <row r="243" spans="1:2">
      <c r="A243" s="13">
        <v>233548350363</v>
      </c>
      <c r="B243" s="3" t="s">
        <v>148</v>
      </c>
    </row>
    <row r="244" spans="1:2">
      <c r="A244" s="13">
        <v>233548660654</v>
      </c>
      <c r="B244" s="3" t="s">
        <v>148</v>
      </c>
    </row>
    <row r="245" spans="1:2">
      <c r="A245" s="13">
        <v>233551400667</v>
      </c>
      <c r="B245" s="3" t="s">
        <v>148</v>
      </c>
    </row>
    <row r="246" spans="1:2">
      <c r="A246" s="13">
        <v>233553800193</v>
      </c>
      <c r="B246" s="3" t="s">
        <v>148</v>
      </c>
    </row>
    <row r="247" spans="1:2">
      <c r="A247" s="13">
        <v>233591381501</v>
      </c>
      <c r="B247" s="3" t="s">
        <v>148</v>
      </c>
    </row>
    <row r="248" spans="1:2">
      <c r="A248" s="13">
        <v>233598782161</v>
      </c>
      <c r="B248" s="3" t="s">
        <v>148</v>
      </c>
    </row>
    <row r="249" spans="1:2">
      <c r="A249" s="13">
        <v>233598886565</v>
      </c>
      <c r="B249" s="3" t="s">
        <v>148</v>
      </c>
    </row>
    <row r="250" spans="1:2">
      <c r="A250" s="13">
        <v>233272465877</v>
      </c>
      <c r="B250" s="3" t="s">
        <v>148</v>
      </c>
    </row>
    <row r="251" spans="1:2">
      <c r="A251" s="14">
        <v>233200556260</v>
      </c>
      <c r="B251" s="15" t="s">
        <v>148</v>
      </c>
    </row>
    <row r="252" spans="1:2">
      <c r="A252" s="14">
        <v>233201350455</v>
      </c>
      <c r="B252" s="15" t="s">
        <v>148</v>
      </c>
    </row>
    <row r="253" spans="1:2">
      <c r="A253" s="14">
        <v>233203620398</v>
      </c>
      <c r="B253" s="15" t="s">
        <v>148</v>
      </c>
    </row>
    <row r="254" spans="1:2">
      <c r="A254" s="14">
        <v>233205527661</v>
      </c>
      <c r="B254" s="15" t="s">
        <v>148</v>
      </c>
    </row>
    <row r="255" spans="1:2">
      <c r="A255" s="14">
        <v>233206212547</v>
      </c>
      <c r="B255" s="15" t="s">
        <v>148</v>
      </c>
    </row>
    <row r="256" spans="1:2">
      <c r="A256" s="14">
        <v>233207133573</v>
      </c>
      <c r="B256" s="15" t="s">
        <v>148</v>
      </c>
    </row>
    <row r="257" spans="1:2">
      <c r="A257" s="14">
        <v>233208956292</v>
      </c>
      <c r="B257" s="15" t="s">
        <v>148</v>
      </c>
    </row>
    <row r="258" spans="1:2">
      <c r="A258" s="14">
        <v>233244062840</v>
      </c>
      <c r="B258" s="15" t="s">
        <v>148</v>
      </c>
    </row>
    <row r="259" spans="1:2">
      <c r="A259" s="14">
        <v>233245937208</v>
      </c>
      <c r="B259" s="15" t="s">
        <v>148</v>
      </c>
    </row>
    <row r="260" spans="1:2">
      <c r="A260" s="14">
        <v>233248112064</v>
      </c>
      <c r="B260" s="15" t="s">
        <v>148</v>
      </c>
    </row>
    <row r="261" spans="1:2">
      <c r="A261" s="14">
        <v>233530789866</v>
      </c>
      <c r="B261" s="15" t="s">
        <v>148</v>
      </c>
    </row>
    <row r="262" spans="1:2">
      <c r="A262" s="14">
        <v>233532072837</v>
      </c>
      <c r="B262" s="15" t="s">
        <v>148</v>
      </c>
    </row>
    <row r="263" spans="1:2">
      <c r="A263" s="14">
        <v>233532698754</v>
      </c>
      <c r="B263" s="15" t="s">
        <v>148</v>
      </c>
    </row>
    <row r="264" spans="1:2">
      <c r="A264" s="14">
        <v>233533450790</v>
      </c>
      <c r="B264" s="15" t="s">
        <v>148</v>
      </c>
    </row>
    <row r="265" spans="1:2">
      <c r="A265" s="14">
        <v>233535830324</v>
      </c>
      <c r="B265" s="15" t="s">
        <v>148</v>
      </c>
    </row>
    <row r="266" spans="1:2">
      <c r="A266" s="14">
        <v>233537542538</v>
      </c>
      <c r="B266" s="15" t="s">
        <v>148</v>
      </c>
    </row>
    <row r="267" spans="1:2">
      <c r="A267" s="14">
        <v>233537816991</v>
      </c>
      <c r="B267" s="15" t="s">
        <v>148</v>
      </c>
    </row>
    <row r="268" spans="1:2">
      <c r="A268" s="14">
        <v>233537855354</v>
      </c>
      <c r="B268" s="15" t="s">
        <v>148</v>
      </c>
    </row>
    <row r="269" spans="1:2">
      <c r="A269" s="14">
        <v>233538672775</v>
      </c>
      <c r="B269" s="15" t="s">
        <v>148</v>
      </c>
    </row>
    <row r="270" spans="1:2">
      <c r="A270" s="14">
        <v>233543327603</v>
      </c>
      <c r="B270" s="15" t="s">
        <v>148</v>
      </c>
    </row>
    <row r="271" spans="1:2">
      <c r="A271" s="14">
        <v>233543354277</v>
      </c>
      <c r="B271" s="15" t="s">
        <v>148</v>
      </c>
    </row>
    <row r="272" spans="1:2">
      <c r="A272" s="14">
        <v>233543789679</v>
      </c>
      <c r="B272" s="15" t="s">
        <v>148</v>
      </c>
    </row>
    <row r="273" spans="1:2">
      <c r="A273" s="14">
        <v>233544926043</v>
      </c>
      <c r="B273" s="15" t="s">
        <v>148</v>
      </c>
    </row>
    <row r="274" spans="1:2">
      <c r="A274" s="14">
        <v>233548120195</v>
      </c>
      <c r="B274" s="15" t="s">
        <v>148</v>
      </c>
    </row>
    <row r="275" spans="1:2">
      <c r="A275" s="14">
        <v>233548396231</v>
      </c>
      <c r="B275" s="15" t="s">
        <v>148</v>
      </c>
    </row>
    <row r="276" spans="1:2">
      <c r="A276" s="14">
        <v>233549236284</v>
      </c>
      <c r="B276" s="15" t="s">
        <v>148</v>
      </c>
    </row>
    <row r="277" spans="1:2">
      <c r="A277" s="14">
        <v>233549838026</v>
      </c>
      <c r="B277" s="15" t="s">
        <v>148</v>
      </c>
    </row>
    <row r="278" spans="1:2">
      <c r="A278" s="14">
        <v>233552201343</v>
      </c>
      <c r="B278" s="15" t="s">
        <v>148</v>
      </c>
    </row>
    <row r="279" spans="1:2">
      <c r="A279" s="14">
        <v>233554061539</v>
      </c>
      <c r="B279" s="15" t="s">
        <v>148</v>
      </c>
    </row>
    <row r="280" spans="1:2">
      <c r="A280" s="14">
        <v>233554139986</v>
      </c>
      <c r="B280" s="15" t="s">
        <v>148</v>
      </c>
    </row>
    <row r="281" spans="1:2">
      <c r="A281" s="14">
        <v>233557446009</v>
      </c>
      <c r="B281" s="15" t="s">
        <v>148</v>
      </c>
    </row>
    <row r="282" spans="1:2">
      <c r="A282" s="14">
        <v>233591433531</v>
      </c>
      <c r="B282" s="15" t="s">
        <v>148</v>
      </c>
    </row>
    <row r="283" spans="1:2">
      <c r="A283" s="14">
        <v>233592698408</v>
      </c>
      <c r="B283" s="15" t="s">
        <v>148</v>
      </c>
    </row>
    <row r="284" spans="1:2">
      <c r="A284" s="14">
        <v>233592872040</v>
      </c>
      <c r="B284" s="15" t="s">
        <v>148</v>
      </c>
    </row>
    <row r="285" spans="1:2">
      <c r="A285" s="14">
        <v>233594399517</v>
      </c>
      <c r="B285" s="15" t="s">
        <v>148</v>
      </c>
    </row>
    <row r="286" spans="1:2">
      <c r="A286" s="14">
        <v>233594416288</v>
      </c>
      <c r="B286" s="15" t="s">
        <v>148</v>
      </c>
    </row>
    <row r="287" spans="1:2">
      <c r="A287" s="14">
        <v>233596436153</v>
      </c>
      <c r="B287" s="15" t="s">
        <v>148</v>
      </c>
    </row>
    <row r="288" spans="1:2">
      <c r="A288" s="14">
        <v>233598817455</v>
      </c>
      <c r="B288" s="15" t="s">
        <v>148</v>
      </c>
    </row>
    <row r="289" spans="1:2">
      <c r="A289" s="13">
        <v>233203919255</v>
      </c>
      <c r="B289" s="3" t="s">
        <v>148</v>
      </c>
    </row>
    <row r="290" spans="1:2">
      <c r="A290" s="13">
        <v>233209744395</v>
      </c>
      <c r="B290" s="3" t="s">
        <v>148</v>
      </c>
    </row>
    <row r="291" spans="1:2">
      <c r="A291" s="13">
        <v>233240862819</v>
      </c>
      <c r="B291" s="3" t="s">
        <v>148</v>
      </c>
    </row>
    <row r="292" spans="1:2">
      <c r="A292" s="13">
        <v>233241660533</v>
      </c>
      <c r="B292" s="3" t="s">
        <v>148</v>
      </c>
    </row>
    <row r="293" spans="1:2">
      <c r="A293" s="13">
        <v>233243686986</v>
      </c>
      <c r="B293" s="3" t="s">
        <v>148</v>
      </c>
    </row>
    <row r="294" spans="1:2">
      <c r="A294" s="13">
        <v>233243919366</v>
      </c>
      <c r="B294" s="3" t="s">
        <v>148</v>
      </c>
    </row>
    <row r="295" spans="1:2">
      <c r="A295" s="13">
        <v>233244290896</v>
      </c>
      <c r="B295" s="3" t="s">
        <v>148</v>
      </c>
    </row>
    <row r="296" spans="1:2">
      <c r="A296" s="13">
        <v>233244778254</v>
      </c>
      <c r="B296" s="3" t="s">
        <v>148</v>
      </c>
    </row>
    <row r="297" spans="1:2">
      <c r="A297" s="13">
        <v>233245586585</v>
      </c>
      <c r="B297" s="3" t="s">
        <v>148</v>
      </c>
    </row>
    <row r="298" spans="1:2">
      <c r="A298" s="13">
        <v>233247020883</v>
      </c>
      <c r="B298" s="3" t="s">
        <v>148</v>
      </c>
    </row>
    <row r="299" spans="1:2">
      <c r="A299" s="13">
        <v>233249835515</v>
      </c>
      <c r="B299" s="3" t="s">
        <v>148</v>
      </c>
    </row>
    <row r="300" spans="1:2">
      <c r="A300" s="13">
        <v>233257087428</v>
      </c>
      <c r="B300" s="3" t="s">
        <v>148</v>
      </c>
    </row>
    <row r="301" spans="1:2">
      <c r="A301" s="13">
        <v>233500340384</v>
      </c>
      <c r="B301" s="3" t="s">
        <v>148</v>
      </c>
    </row>
    <row r="302" spans="1:2">
      <c r="A302" s="13">
        <v>233501302726</v>
      </c>
      <c r="B302" s="3" t="s">
        <v>148</v>
      </c>
    </row>
    <row r="303" spans="1:2">
      <c r="A303" s="13">
        <v>233504718376</v>
      </c>
      <c r="B303" s="3" t="s">
        <v>148</v>
      </c>
    </row>
    <row r="304" spans="1:2">
      <c r="A304" s="13">
        <v>233530151142</v>
      </c>
      <c r="B304" s="3" t="s">
        <v>148</v>
      </c>
    </row>
    <row r="305" spans="1:2">
      <c r="A305" s="13">
        <v>233533310060</v>
      </c>
      <c r="B305" s="3" t="s">
        <v>148</v>
      </c>
    </row>
    <row r="306" spans="1:2">
      <c r="A306" s="13">
        <v>233533561433</v>
      </c>
      <c r="B306" s="3" t="s">
        <v>148</v>
      </c>
    </row>
    <row r="307" spans="1:2">
      <c r="A307" s="13">
        <v>233533772959</v>
      </c>
      <c r="B307" s="3" t="s">
        <v>148</v>
      </c>
    </row>
    <row r="308" spans="1:2">
      <c r="A308" s="13">
        <v>233536462350</v>
      </c>
      <c r="B308" s="3" t="s">
        <v>148</v>
      </c>
    </row>
    <row r="309" spans="1:2">
      <c r="A309" s="13">
        <v>233536936336</v>
      </c>
      <c r="B309" s="3" t="s">
        <v>148</v>
      </c>
    </row>
    <row r="310" spans="1:2">
      <c r="A310" s="13">
        <v>233537962097</v>
      </c>
      <c r="B310" s="3" t="s">
        <v>148</v>
      </c>
    </row>
    <row r="311" spans="1:2">
      <c r="A311" s="13">
        <v>233540723416</v>
      </c>
      <c r="B311" s="3" t="s">
        <v>148</v>
      </c>
    </row>
    <row r="312" spans="1:2">
      <c r="A312" s="13">
        <v>233543968847</v>
      </c>
      <c r="B312" s="3" t="s">
        <v>148</v>
      </c>
    </row>
    <row r="313" spans="1:2">
      <c r="A313" s="13">
        <v>233545274515</v>
      </c>
      <c r="B313" s="3" t="s">
        <v>148</v>
      </c>
    </row>
    <row r="314" spans="1:2">
      <c r="A314" s="13">
        <v>233546802208</v>
      </c>
      <c r="B314" s="3" t="s">
        <v>148</v>
      </c>
    </row>
    <row r="315" spans="1:2">
      <c r="A315" s="13">
        <v>233550388583</v>
      </c>
      <c r="B315" s="3" t="s">
        <v>148</v>
      </c>
    </row>
    <row r="316" spans="1:2">
      <c r="A316" s="13">
        <v>233550645918</v>
      </c>
      <c r="B316" s="3" t="s">
        <v>148</v>
      </c>
    </row>
    <row r="317" spans="1:2">
      <c r="A317" s="13">
        <v>233557075083</v>
      </c>
      <c r="B317" s="3" t="s">
        <v>148</v>
      </c>
    </row>
    <row r="318" spans="1:2">
      <c r="A318" s="13">
        <v>233557338656</v>
      </c>
      <c r="B318" s="3" t="s">
        <v>148</v>
      </c>
    </row>
    <row r="319" spans="1:2">
      <c r="A319" s="13">
        <v>233558219758</v>
      </c>
      <c r="B319" s="3" t="s">
        <v>148</v>
      </c>
    </row>
    <row r="320" spans="1:2">
      <c r="A320" s="13">
        <v>233559077557</v>
      </c>
      <c r="B320" s="3" t="s">
        <v>148</v>
      </c>
    </row>
    <row r="321" spans="1:2">
      <c r="A321" s="13">
        <v>233559644517</v>
      </c>
      <c r="B321" s="3" t="s">
        <v>148</v>
      </c>
    </row>
    <row r="322" spans="1:2">
      <c r="A322" s="13">
        <v>233594510478</v>
      </c>
      <c r="B322" s="3" t="s">
        <v>148</v>
      </c>
    </row>
    <row r="323" spans="1:2">
      <c r="A323" s="13">
        <v>233595452539</v>
      </c>
      <c r="B323" s="3" t="s">
        <v>148</v>
      </c>
    </row>
    <row r="324" spans="1:2">
      <c r="A324" s="13">
        <v>233597642209</v>
      </c>
      <c r="B324" s="3" t="s">
        <v>148</v>
      </c>
    </row>
    <row r="325" spans="1:2">
      <c r="A325" s="13">
        <v>233200954039</v>
      </c>
      <c r="B325" s="3" t="s">
        <v>148</v>
      </c>
    </row>
    <row r="326" spans="1:2">
      <c r="A326" s="13">
        <v>233209630228</v>
      </c>
      <c r="B326" s="3" t="s">
        <v>148</v>
      </c>
    </row>
    <row r="327" spans="1:2">
      <c r="A327" s="13">
        <v>233240030903</v>
      </c>
      <c r="B327" s="3" t="s">
        <v>148</v>
      </c>
    </row>
    <row r="328" spans="1:2">
      <c r="A328" s="13">
        <v>233244390015</v>
      </c>
      <c r="B328" s="3" t="s">
        <v>148</v>
      </c>
    </row>
    <row r="329" spans="1:2">
      <c r="A329" s="13">
        <v>233247053975</v>
      </c>
      <c r="B329" s="3" t="s">
        <v>148</v>
      </c>
    </row>
    <row r="330" spans="1:2">
      <c r="A330" s="13">
        <v>233247635684</v>
      </c>
      <c r="B330" s="3" t="s">
        <v>148</v>
      </c>
    </row>
    <row r="331" spans="1:2">
      <c r="A331" s="13">
        <v>233247684827</v>
      </c>
      <c r="B331" s="3" t="s">
        <v>148</v>
      </c>
    </row>
    <row r="332" spans="1:2">
      <c r="A332" s="13">
        <v>233502831808</v>
      </c>
      <c r="B332" s="3" t="s">
        <v>148</v>
      </c>
    </row>
    <row r="333" spans="1:2">
      <c r="A333" s="13">
        <v>233505921496</v>
      </c>
      <c r="B333" s="3" t="s">
        <v>148</v>
      </c>
    </row>
    <row r="334" spans="1:2">
      <c r="A334" s="13">
        <v>233505979507</v>
      </c>
      <c r="B334" s="3" t="s">
        <v>148</v>
      </c>
    </row>
    <row r="335" spans="1:2">
      <c r="A335" s="13">
        <v>233531478264</v>
      </c>
      <c r="B335" s="3" t="s">
        <v>148</v>
      </c>
    </row>
    <row r="336" spans="1:2">
      <c r="A336" s="13">
        <v>233532377608</v>
      </c>
      <c r="B336" s="3" t="s">
        <v>148</v>
      </c>
    </row>
    <row r="337" spans="1:2">
      <c r="A337" s="13">
        <v>233534632526</v>
      </c>
      <c r="B337" s="3" t="s">
        <v>148</v>
      </c>
    </row>
    <row r="338" spans="1:2">
      <c r="A338" s="13">
        <v>233535142261</v>
      </c>
      <c r="B338" s="3" t="s">
        <v>148</v>
      </c>
    </row>
    <row r="339" spans="1:2">
      <c r="A339" s="13">
        <v>233535311866</v>
      </c>
      <c r="B339" s="3" t="s">
        <v>148</v>
      </c>
    </row>
    <row r="340" spans="1:2">
      <c r="A340" s="13">
        <v>233536561433</v>
      </c>
      <c r="B340" s="3" t="s">
        <v>148</v>
      </c>
    </row>
    <row r="341" spans="1:2">
      <c r="A341" s="13">
        <v>233537413674</v>
      </c>
      <c r="B341" s="3" t="s">
        <v>148</v>
      </c>
    </row>
    <row r="342" spans="1:2">
      <c r="A342" s="13">
        <v>233537489835</v>
      </c>
      <c r="B342" s="3" t="s">
        <v>148</v>
      </c>
    </row>
    <row r="343" spans="1:2">
      <c r="A343" s="13">
        <v>233538787059</v>
      </c>
      <c r="B343" s="3" t="s">
        <v>148</v>
      </c>
    </row>
    <row r="344" spans="1:2">
      <c r="A344" s="13">
        <v>233539096720</v>
      </c>
      <c r="B344" s="3" t="s">
        <v>148</v>
      </c>
    </row>
    <row r="345" spans="1:2">
      <c r="A345" s="13">
        <v>233539415619</v>
      </c>
      <c r="B345" s="3" t="s">
        <v>148</v>
      </c>
    </row>
    <row r="346" spans="1:2">
      <c r="A346" s="13">
        <v>233539962898</v>
      </c>
      <c r="B346" s="3" t="s">
        <v>148</v>
      </c>
    </row>
    <row r="347" spans="1:2">
      <c r="A347" s="13">
        <v>233543593321</v>
      </c>
      <c r="B347" s="3" t="s">
        <v>148</v>
      </c>
    </row>
    <row r="348" spans="1:2">
      <c r="A348" s="13">
        <v>233546431205</v>
      </c>
      <c r="B348" s="3" t="s">
        <v>148</v>
      </c>
    </row>
    <row r="349" spans="1:2">
      <c r="A349" s="13">
        <v>233546961527</v>
      </c>
      <c r="B349" s="3" t="s">
        <v>148</v>
      </c>
    </row>
    <row r="350" spans="1:2">
      <c r="A350" s="13">
        <v>233548307931</v>
      </c>
      <c r="B350" s="3" t="s">
        <v>148</v>
      </c>
    </row>
    <row r="351" spans="1:2">
      <c r="A351" s="13">
        <v>233550321617</v>
      </c>
      <c r="B351" s="3" t="s">
        <v>148</v>
      </c>
    </row>
    <row r="352" spans="1:2">
      <c r="A352" s="13">
        <v>233552532803</v>
      </c>
      <c r="B352" s="3" t="s">
        <v>148</v>
      </c>
    </row>
    <row r="353" spans="1:2">
      <c r="A353" s="13">
        <v>233554012450</v>
      </c>
      <c r="B353" s="3" t="s">
        <v>148</v>
      </c>
    </row>
    <row r="354" spans="1:2">
      <c r="A354" s="13">
        <v>233555041183</v>
      </c>
      <c r="B354" s="3" t="s">
        <v>148</v>
      </c>
    </row>
    <row r="355" spans="1:2">
      <c r="A355" s="13">
        <v>233555142411</v>
      </c>
      <c r="B355" s="3" t="s">
        <v>148</v>
      </c>
    </row>
    <row r="356" spans="1:2">
      <c r="A356" s="13">
        <v>233558170596</v>
      </c>
      <c r="B356" s="3" t="s">
        <v>148</v>
      </c>
    </row>
    <row r="357" spans="1:2">
      <c r="A357" s="13">
        <v>233559072236</v>
      </c>
      <c r="B357" s="3" t="s">
        <v>148</v>
      </c>
    </row>
    <row r="358" spans="1:2">
      <c r="A358" s="13">
        <v>233593223711</v>
      </c>
      <c r="B358" s="3" t="s">
        <v>148</v>
      </c>
    </row>
    <row r="359" spans="1:2">
      <c r="A359" s="13">
        <v>233593748193</v>
      </c>
      <c r="B359" s="3" t="s">
        <v>148</v>
      </c>
    </row>
    <row r="360" spans="1:2">
      <c r="A360" s="13">
        <v>233594177677</v>
      </c>
      <c r="B360" s="3" t="s">
        <v>148</v>
      </c>
    </row>
    <row r="361" spans="1:2">
      <c r="A361" s="13">
        <v>233596464412</v>
      </c>
      <c r="B361" s="3" t="s">
        <v>148</v>
      </c>
    </row>
    <row r="362" spans="1:2">
      <c r="A362" s="13">
        <v>233200444912</v>
      </c>
      <c r="B362" s="3" t="s">
        <v>271</v>
      </c>
    </row>
    <row r="363" spans="1:2">
      <c r="A363" s="13">
        <v>233502081093</v>
      </c>
      <c r="B363" s="3" t="s">
        <v>271</v>
      </c>
    </row>
    <row r="364" spans="1:2">
      <c r="A364" s="13">
        <v>233503517522</v>
      </c>
      <c r="B364" s="3" t="s">
        <v>271</v>
      </c>
    </row>
    <row r="365" spans="1:2">
      <c r="A365" s="13">
        <v>233507375778</v>
      </c>
      <c r="B365" s="3" t="s">
        <v>271</v>
      </c>
    </row>
    <row r="366" spans="1:2">
      <c r="A366" s="13">
        <v>233270922498</v>
      </c>
      <c r="B366" s="3" t="s">
        <v>271</v>
      </c>
    </row>
    <row r="367" spans="1:2">
      <c r="A367" s="13">
        <v>233279862324</v>
      </c>
      <c r="B367" s="3" t="s">
        <v>271</v>
      </c>
    </row>
    <row r="368" spans="1:2">
      <c r="A368" s="13">
        <v>233240252836</v>
      </c>
      <c r="B368" s="3" t="s">
        <v>271</v>
      </c>
    </row>
    <row r="369" spans="1:2">
      <c r="A369" s="13">
        <v>233244070496</v>
      </c>
      <c r="B369" s="3" t="s">
        <v>271</v>
      </c>
    </row>
    <row r="370" spans="1:2">
      <c r="A370" s="13">
        <v>233246896108</v>
      </c>
      <c r="B370" s="3" t="s">
        <v>271</v>
      </c>
    </row>
    <row r="371" spans="1:2">
      <c r="A371" s="13">
        <v>233247456529</v>
      </c>
      <c r="B371" s="3" t="s">
        <v>271</v>
      </c>
    </row>
    <row r="372" spans="1:2">
      <c r="A372" s="13">
        <v>233248896339</v>
      </c>
      <c r="B372" s="3" t="s">
        <v>271</v>
      </c>
    </row>
    <row r="373" spans="1:2">
      <c r="A373" s="13">
        <v>233530602308</v>
      </c>
      <c r="B373" s="3" t="s">
        <v>271</v>
      </c>
    </row>
    <row r="374" spans="1:2">
      <c r="A374" s="13">
        <v>233533161192</v>
      </c>
      <c r="B374" s="3" t="s">
        <v>271</v>
      </c>
    </row>
    <row r="375" spans="1:2">
      <c r="A375" s="13">
        <v>233534942236</v>
      </c>
      <c r="B375" s="3" t="s">
        <v>271</v>
      </c>
    </row>
    <row r="376" spans="1:2">
      <c r="A376" s="13">
        <v>233535716645</v>
      </c>
      <c r="B376" s="3" t="s">
        <v>271</v>
      </c>
    </row>
    <row r="377" spans="1:2">
      <c r="A377" s="13">
        <v>233535980488</v>
      </c>
      <c r="B377" s="3" t="s">
        <v>271</v>
      </c>
    </row>
    <row r="378" spans="1:2">
      <c r="A378" s="13">
        <v>233536344448</v>
      </c>
      <c r="B378" s="3" t="s">
        <v>271</v>
      </c>
    </row>
    <row r="379" spans="1:2">
      <c r="A379" s="13">
        <v>233537555377</v>
      </c>
      <c r="B379" s="3" t="s">
        <v>271</v>
      </c>
    </row>
    <row r="380" spans="1:2">
      <c r="A380" s="13">
        <v>233537948699</v>
      </c>
      <c r="B380" s="3" t="s">
        <v>271</v>
      </c>
    </row>
    <row r="381" spans="1:2">
      <c r="A381" s="13">
        <v>233539246450</v>
      </c>
      <c r="B381" s="3" t="s">
        <v>271</v>
      </c>
    </row>
    <row r="382" spans="1:2">
      <c r="A382" s="13">
        <v>233539402204</v>
      </c>
      <c r="B382" s="3" t="s">
        <v>271</v>
      </c>
    </row>
    <row r="383" spans="1:2">
      <c r="A383" s="13">
        <v>233539719727</v>
      </c>
      <c r="B383" s="3" t="s">
        <v>271</v>
      </c>
    </row>
    <row r="384" spans="1:2">
      <c r="A384" s="13">
        <v>233540982751</v>
      </c>
      <c r="B384" s="3" t="s">
        <v>271</v>
      </c>
    </row>
    <row r="385" spans="1:2">
      <c r="A385" s="13">
        <v>233542043521</v>
      </c>
      <c r="B385" s="3" t="s">
        <v>271</v>
      </c>
    </row>
    <row r="386" spans="1:2">
      <c r="A386" s="13">
        <v>233542072259</v>
      </c>
      <c r="B386" s="3" t="s">
        <v>271</v>
      </c>
    </row>
    <row r="387" spans="1:2">
      <c r="A387" s="13">
        <v>233543816460</v>
      </c>
      <c r="B387" s="3" t="s">
        <v>271</v>
      </c>
    </row>
    <row r="388" spans="1:2">
      <c r="A388" s="13">
        <v>233543899313</v>
      </c>
      <c r="B388" s="3" t="s">
        <v>271</v>
      </c>
    </row>
    <row r="389" spans="1:2">
      <c r="A389" s="13">
        <v>233544369827</v>
      </c>
      <c r="B389" s="3" t="s">
        <v>271</v>
      </c>
    </row>
    <row r="390" spans="1:2">
      <c r="A390" s="13">
        <v>233545262420</v>
      </c>
      <c r="B390" s="3" t="s">
        <v>271</v>
      </c>
    </row>
    <row r="391" spans="1:2">
      <c r="A391" s="13">
        <v>233546488347</v>
      </c>
      <c r="B391" s="3" t="s">
        <v>271</v>
      </c>
    </row>
    <row r="392" spans="1:2">
      <c r="A392" s="13">
        <v>233549416655</v>
      </c>
      <c r="B392" s="3" t="s">
        <v>271</v>
      </c>
    </row>
    <row r="393" spans="1:2">
      <c r="A393" s="13">
        <v>233552481827</v>
      </c>
      <c r="B393" s="3" t="s">
        <v>271</v>
      </c>
    </row>
    <row r="394" spans="1:2">
      <c r="A394" s="13">
        <v>233552788336</v>
      </c>
      <c r="B394" s="3" t="s">
        <v>271</v>
      </c>
    </row>
    <row r="395" spans="1:2">
      <c r="A395" s="13">
        <v>233555745429</v>
      </c>
      <c r="B395" s="3" t="s">
        <v>271</v>
      </c>
    </row>
    <row r="396" spans="1:2">
      <c r="A396" s="13">
        <v>233555951896</v>
      </c>
      <c r="B396" s="3" t="s">
        <v>271</v>
      </c>
    </row>
    <row r="397" spans="1:2">
      <c r="A397" s="13">
        <v>233556568604</v>
      </c>
      <c r="B397" s="3" t="s">
        <v>271</v>
      </c>
    </row>
    <row r="398" spans="1:2">
      <c r="A398" s="13">
        <v>233556691745</v>
      </c>
      <c r="B398" s="3" t="s">
        <v>271</v>
      </c>
    </row>
    <row r="399" spans="1:2">
      <c r="A399" s="13">
        <v>233558069824</v>
      </c>
      <c r="B399" s="3" t="s">
        <v>271</v>
      </c>
    </row>
    <row r="400" spans="1:2">
      <c r="A400" s="13">
        <v>233591831636</v>
      </c>
      <c r="B400" s="3" t="s">
        <v>271</v>
      </c>
    </row>
    <row r="401" spans="1:2">
      <c r="A401" s="13">
        <v>233592211220</v>
      </c>
      <c r="B401" s="3" t="s">
        <v>271</v>
      </c>
    </row>
    <row r="402" spans="1:2">
      <c r="A402" s="13">
        <v>233593741782</v>
      </c>
      <c r="B402" s="3" t="s">
        <v>271</v>
      </c>
    </row>
    <row r="403" spans="1:2">
      <c r="A403" s="13">
        <v>233594503247</v>
      </c>
      <c r="B403" s="3" t="s">
        <v>271</v>
      </c>
    </row>
    <row r="404" spans="1:2">
      <c r="A404" s="13">
        <v>233594589391</v>
      </c>
      <c r="B404" s="3" t="s">
        <v>271</v>
      </c>
    </row>
    <row r="405" spans="1:2">
      <c r="A405" s="13">
        <v>233597120659</v>
      </c>
      <c r="B405" s="3" t="s">
        <v>271</v>
      </c>
    </row>
    <row r="406" spans="1:2">
      <c r="A406" s="13">
        <v>233597944137</v>
      </c>
      <c r="B406" s="3" t="s">
        <v>271</v>
      </c>
    </row>
    <row r="407" spans="1:2">
      <c r="A407" s="13">
        <v>233204901500</v>
      </c>
      <c r="B407" s="3" t="s">
        <v>271</v>
      </c>
    </row>
    <row r="408" spans="1:2">
      <c r="A408" s="13">
        <v>233208926409</v>
      </c>
      <c r="B408" s="3" t="s">
        <v>271</v>
      </c>
    </row>
    <row r="409" spans="1:2">
      <c r="A409" s="13">
        <v>233209168535</v>
      </c>
      <c r="B409" s="3" t="s">
        <v>271</v>
      </c>
    </row>
    <row r="410" spans="1:2">
      <c r="A410" s="13">
        <v>233502506084</v>
      </c>
      <c r="B410" s="3" t="s">
        <v>271</v>
      </c>
    </row>
    <row r="411" spans="1:2">
      <c r="A411" s="13">
        <v>233505163657</v>
      </c>
      <c r="B411" s="3" t="s">
        <v>271</v>
      </c>
    </row>
    <row r="412" spans="1:2">
      <c r="A412" s="13">
        <v>233240752841</v>
      </c>
      <c r="B412" s="3" t="s">
        <v>271</v>
      </c>
    </row>
    <row r="413" spans="1:2">
      <c r="A413" s="13">
        <v>233244466292</v>
      </c>
      <c r="B413" s="3" t="s">
        <v>271</v>
      </c>
    </row>
    <row r="414" spans="1:2">
      <c r="A414" s="13">
        <v>233247235984</v>
      </c>
      <c r="B414" s="3" t="s">
        <v>271</v>
      </c>
    </row>
    <row r="415" spans="1:2">
      <c r="A415" s="13">
        <v>233248074977</v>
      </c>
      <c r="B415" s="3" t="s">
        <v>271</v>
      </c>
    </row>
    <row r="416" spans="1:2">
      <c r="A416" s="13">
        <v>233249840788</v>
      </c>
      <c r="B416" s="3" t="s">
        <v>271</v>
      </c>
    </row>
    <row r="417" spans="1:2">
      <c r="A417" s="13">
        <v>233257953793</v>
      </c>
      <c r="B417" s="3" t="s">
        <v>271</v>
      </c>
    </row>
    <row r="418" spans="1:2">
      <c r="A418" s="13">
        <v>233530432591</v>
      </c>
      <c r="B418" s="3" t="s">
        <v>271</v>
      </c>
    </row>
    <row r="419" spans="1:2">
      <c r="A419" s="13">
        <v>233531641061</v>
      </c>
      <c r="B419" s="3" t="s">
        <v>271</v>
      </c>
    </row>
    <row r="420" spans="1:2">
      <c r="A420" s="13">
        <v>233532644248</v>
      </c>
      <c r="B420" s="3" t="s">
        <v>271</v>
      </c>
    </row>
    <row r="421" spans="1:2">
      <c r="A421" s="13">
        <v>233532647063</v>
      </c>
      <c r="B421" s="3" t="s">
        <v>271</v>
      </c>
    </row>
    <row r="422" spans="1:2">
      <c r="A422" s="13">
        <v>233533329135</v>
      </c>
      <c r="B422" s="3" t="s">
        <v>271</v>
      </c>
    </row>
    <row r="423" spans="1:2">
      <c r="A423" s="13">
        <v>233534773719</v>
      </c>
      <c r="B423" s="3" t="s">
        <v>271</v>
      </c>
    </row>
    <row r="424" spans="1:2">
      <c r="A424" s="13">
        <v>233536407070</v>
      </c>
      <c r="B424" s="3" t="s">
        <v>271</v>
      </c>
    </row>
    <row r="425" spans="1:2">
      <c r="A425" s="13">
        <v>233537471145</v>
      </c>
      <c r="B425" s="3" t="s">
        <v>271</v>
      </c>
    </row>
    <row r="426" spans="1:2">
      <c r="A426" s="13">
        <v>233537991383</v>
      </c>
      <c r="B426" s="3" t="s">
        <v>271</v>
      </c>
    </row>
    <row r="427" spans="1:2">
      <c r="A427" s="13">
        <v>233538252927</v>
      </c>
      <c r="B427" s="3" t="s">
        <v>271</v>
      </c>
    </row>
    <row r="428" spans="1:2">
      <c r="A428" s="13">
        <v>233538437956</v>
      </c>
      <c r="B428" s="3" t="s">
        <v>271</v>
      </c>
    </row>
    <row r="429" spans="1:2">
      <c r="A429" s="13">
        <v>233539500951</v>
      </c>
      <c r="B429" s="3" t="s">
        <v>271</v>
      </c>
    </row>
    <row r="430" spans="1:2">
      <c r="A430" s="13">
        <v>233539959089</v>
      </c>
      <c r="B430" s="3" t="s">
        <v>271</v>
      </c>
    </row>
    <row r="431" spans="1:2">
      <c r="A431" s="13">
        <v>233540253638</v>
      </c>
      <c r="B431" s="3" t="s">
        <v>271</v>
      </c>
    </row>
    <row r="432" spans="1:2">
      <c r="A432" s="13">
        <v>233540607632</v>
      </c>
      <c r="B432" s="3" t="s">
        <v>271</v>
      </c>
    </row>
    <row r="433" spans="1:2">
      <c r="A433" s="13">
        <v>233541104581</v>
      </c>
      <c r="B433" s="3" t="s">
        <v>271</v>
      </c>
    </row>
    <row r="434" spans="1:2">
      <c r="A434" s="13">
        <v>233543344284</v>
      </c>
      <c r="B434" s="3" t="s">
        <v>271</v>
      </c>
    </row>
    <row r="435" spans="1:2">
      <c r="A435" s="13">
        <v>233543404765</v>
      </c>
      <c r="B435" s="3" t="s">
        <v>271</v>
      </c>
    </row>
    <row r="436" spans="1:2">
      <c r="A436" s="13">
        <v>233544168071</v>
      </c>
      <c r="B436" s="3" t="s">
        <v>271</v>
      </c>
    </row>
    <row r="437" spans="1:2">
      <c r="A437" s="13">
        <v>233546812807</v>
      </c>
      <c r="B437" s="3" t="s">
        <v>271</v>
      </c>
    </row>
    <row r="438" spans="1:2">
      <c r="A438" s="13">
        <v>233547073438</v>
      </c>
      <c r="B438" s="3" t="s">
        <v>271</v>
      </c>
    </row>
    <row r="439" spans="1:2">
      <c r="A439" s="13">
        <v>233547968425</v>
      </c>
      <c r="B439" s="3" t="s">
        <v>271</v>
      </c>
    </row>
    <row r="440" spans="1:2">
      <c r="A440" s="13">
        <v>233550882322</v>
      </c>
      <c r="B440" s="3" t="s">
        <v>271</v>
      </c>
    </row>
    <row r="441" spans="1:2">
      <c r="A441" s="13">
        <v>233551196817</v>
      </c>
      <c r="B441" s="3" t="s">
        <v>271</v>
      </c>
    </row>
    <row r="442" spans="1:2">
      <c r="A442" s="13">
        <v>233551591706</v>
      </c>
      <c r="B442" s="3" t="s">
        <v>271</v>
      </c>
    </row>
    <row r="443" spans="1:2">
      <c r="A443" s="13">
        <v>233557327139</v>
      </c>
      <c r="B443" s="3" t="s">
        <v>271</v>
      </c>
    </row>
    <row r="444" spans="1:2">
      <c r="A444" s="13">
        <v>233559605292</v>
      </c>
      <c r="B444" s="3" t="s">
        <v>271</v>
      </c>
    </row>
    <row r="445" spans="1:2">
      <c r="A445" s="13">
        <v>233591944922</v>
      </c>
      <c r="B445" s="3" t="s">
        <v>271</v>
      </c>
    </row>
    <row r="446" spans="1:2">
      <c r="A446" s="13">
        <v>233593497417</v>
      </c>
      <c r="B446" s="3" t="s">
        <v>271</v>
      </c>
    </row>
    <row r="447" spans="1:2">
      <c r="A447" s="13">
        <v>233594017894</v>
      </c>
      <c r="B447" s="3" t="s">
        <v>271</v>
      </c>
    </row>
    <row r="448" spans="1:2">
      <c r="A448" s="13">
        <v>233596777416</v>
      </c>
      <c r="B448" s="3" t="s">
        <v>271</v>
      </c>
    </row>
    <row r="449" spans="1:2">
      <c r="A449" s="13">
        <v>233597491241</v>
      </c>
      <c r="B449" s="3" t="s">
        <v>271</v>
      </c>
    </row>
    <row r="450" spans="1:2">
      <c r="A450" s="13">
        <v>233597984883</v>
      </c>
      <c r="B450" s="3" t="s">
        <v>271</v>
      </c>
    </row>
    <row r="451" spans="1:2">
      <c r="A451" s="13">
        <v>233266742990</v>
      </c>
      <c r="B451" s="3" t="s">
        <v>271</v>
      </c>
    </row>
    <row r="452" spans="1:2">
      <c r="A452" s="14">
        <v>233202257155</v>
      </c>
      <c r="B452" s="3" t="s">
        <v>271</v>
      </c>
    </row>
    <row r="453" spans="1:2">
      <c r="A453" s="14">
        <v>233205219476</v>
      </c>
      <c r="B453" s="3" t="s">
        <v>271</v>
      </c>
    </row>
    <row r="454" spans="1:2">
      <c r="A454" s="14">
        <v>233206463544</v>
      </c>
      <c r="B454" s="3" t="s">
        <v>271</v>
      </c>
    </row>
    <row r="455" spans="1:2">
      <c r="A455" s="14">
        <v>233208388769</v>
      </c>
      <c r="B455" s="3" t="s">
        <v>271</v>
      </c>
    </row>
    <row r="456" spans="1:2">
      <c r="A456" s="14">
        <v>233209266637</v>
      </c>
      <c r="B456" s="3" t="s">
        <v>271</v>
      </c>
    </row>
    <row r="457" spans="1:2">
      <c r="A457" s="14">
        <v>233243627795</v>
      </c>
      <c r="B457" s="3" t="s">
        <v>271</v>
      </c>
    </row>
    <row r="458" spans="1:2">
      <c r="A458" s="14">
        <v>233248843859</v>
      </c>
      <c r="B458" s="3" t="s">
        <v>271</v>
      </c>
    </row>
    <row r="459" spans="1:2">
      <c r="A459" s="14">
        <v>233249456703</v>
      </c>
      <c r="B459" s="3" t="s">
        <v>271</v>
      </c>
    </row>
    <row r="460" spans="1:2">
      <c r="A460" s="14">
        <v>233256529449</v>
      </c>
      <c r="B460" s="3" t="s">
        <v>271</v>
      </c>
    </row>
    <row r="461" spans="1:2">
      <c r="A461" s="14">
        <v>233257312628</v>
      </c>
      <c r="B461" s="3" t="s">
        <v>271</v>
      </c>
    </row>
    <row r="462" spans="1:2">
      <c r="A462" s="14">
        <v>233257465992</v>
      </c>
      <c r="B462" s="3" t="s">
        <v>271</v>
      </c>
    </row>
    <row r="463" spans="1:2">
      <c r="A463" s="14">
        <v>233275960162</v>
      </c>
      <c r="B463" s="3" t="s">
        <v>271</v>
      </c>
    </row>
    <row r="464" spans="1:2">
      <c r="A464" s="14">
        <v>233507107583</v>
      </c>
      <c r="B464" s="3" t="s">
        <v>271</v>
      </c>
    </row>
    <row r="465" spans="1:2">
      <c r="A465" s="14">
        <v>233507173284</v>
      </c>
      <c r="B465" s="3" t="s">
        <v>271</v>
      </c>
    </row>
    <row r="466" spans="1:2">
      <c r="A466" s="14">
        <v>233508894990</v>
      </c>
      <c r="B466" s="3" t="s">
        <v>271</v>
      </c>
    </row>
    <row r="467" spans="1:2">
      <c r="A467" s="14">
        <v>233531193764</v>
      </c>
      <c r="B467" s="3" t="s">
        <v>271</v>
      </c>
    </row>
    <row r="468" spans="1:2">
      <c r="A468" s="14">
        <v>233535743035</v>
      </c>
      <c r="B468" s="3" t="s">
        <v>271</v>
      </c>
    </row>
    <row r="469" spans="1:2">
      <c r="A469" s="14">
        <v>233535841416</v>
      </c>
      <c r="B469" s="3" t="s">
        <v>271</v>
      </c>
    </row>
    <row r="470" spans="1:2">
      <c r="A470" s="14">
        <v>233535869485</v>
      </c>
      <c r="B470" s="3" t="s">
        <v>271</v>
      </c>
    </row>
    <row r="471" spans="1:2">
      <c r="A471" s="14">
        <v>233536276569</v>
      </c>
      <c r="B471" s="3" t="s">
        <v>271</v>
      </c>
    </row>
    <row r="472" spans="1:2">
      <c r="A472" s="14">
        <v>233537744338</v>
      </c>
      <c r="B472" s="3" t="s">
        <v>271</v>
      </c>
    </row>
    <row r="473" spans="1:2">
      <c r="A473" s="14">
        <v>233539651381</v>
      </c>
      <c r="B473" s="3" t="s">
        <v>271</v>
      </c>
    </row>
    <row r="474" spans="1:2">
      <c r="A474" s="14">
        <v>233543980242</v>
      </c>
      <c r="B474" s="3" t="s">
        <v>271</v>
      </c>
    </row>
    <row r="475" spans="1:2">
      <c r="A475" s="14">
        <v>233544580539</v>
      </c>
      <c r="B475" s="3" t="s">
        <v>271</v>
      </c>
    </row>
    <row r="476" spans="1:2">
      <c r="A476" s="14">
        <v>233545850627</v>
      </c>
      <c r="B476" s="3" t="s">
        <v>271</v>
      </c>
    </row>
    <row r="477" spans="1:2">
      <c r="A477" s="14">
        <v>233549007527</v>
      </c>
      <c r="B477" s="3" t="s">
        <v>271</v>
      </c>
    </row>
    <row r="478" spans="1:2">
      <c r="A478" s="14">
        <v>233549189045</v>
      </c>
      <c r="B478" s="3" t="s">
        <v>271</v>
      </c>
    </row>
    <row r="479" spans="1:2">
      <c r="A479" s="14">
        <v>233549197381</v>
      </c>
      <c r="B479" s="3" t="s">
        <v>271</v>
      </c>
    </row>
    <row r="480" spans="1:2">
      <c r="A480" s="14">
        <v>233550675613</v>
      </c>
      <c r="B480" s="3" t="s">
        <v>271</v>
      </c>
    </row>
    <row r="481" spans="1:2">
      <c r="A481" s="14">
        <v>233551273169</v>
      </c>
      <c r="B481" s="3" t="s">
        <v>271</v>
      </c>
    </row>
    <row r="482" spans="1:2">
      <c r="A482" s="14">
        <v>233551336950</v>
      </c>
      <c r="B482" s="3" t="s">
        <v>271</v>
      </c>
    </row>
    <row r="483" spans="1:2">
      <c r="A483" s="14">
        <v>233552012755</v>
      </c>
      <c r="B483" s="3" t="s">
        <v>271</v>
      </c>
    </row>
    <row r="484" spans="1:2">
      <c r="A484" s="14">
        <v>233552529816</v>
      </c>
      <c r="B484" s="3" t="s">
        <v>271</v>
      </c>
    </row>
    <row r="485" spans="1:2">
      <c r="A485" s="14">
        <v>233553237753</v>
      </c>
      <c r="B485" s="3" t="s">
        <v>271</v>
      </c>
    </row>
    <row r="486" spans="1:2">
      <c r="A486" s="14">
        <v>233558367018</v>
      </c>
      <c r="B486" s="3" t="s">
        <v>271</v>
      </c>
    </row>
    <row r="487" spans="1:2">
      <c r="A487" s="14">
        <v>233558839899</v>
      </c>
      <c r="B487" s="3" t="s">
        <v>271</v>
      </c>
    </row>
    <row r="488" spans="1:2">
      <c r="A488" s="14">
        <v>233592227720</v>
      </c>
      <c r="B488" s="3" t="s">
        <v>271</v>
      </c>
    </row>
    <row r="489" spans="1:2">
      <c r="A489" s="14">
        <v>233592789729</v>
      </c>
      <c r="B489" s="3" t="s">
        <v>271</v>
      </c>
    </row>
    <row r="490" spans="1:2">
      <c r="A490" s="14">
        <v>233596805286</v>
      </c>
      <c r="B490" s="3" t="s">
        <v>271</v>
      </c>
    </row>
    <row r="491" spans="1:2">
      <c r="A491" s="14">
        <v>233599292401</v>
      </c>
      <c r="B491" s="3" t="s">
        <v>271</v>
      </c>
    </row>
    <row r="492" spans="1:2">
      <c r="A492" s="13">
        <v>233205560620</v>
      </c>
      <c r="B492" s="3" t="s">
        <v>271</v>
      </c>
    </row>
    <row r="493" spans="1:2">
      <c r="A493" s="13">
        <v>233206082502</v>
      </c>
      <c r="B493" s="3" t="s">
        <v>271</v>
      </c>
    </row>
    <row r="494" spans="1:2">
      <c r="A494" s="13">
        <v>233208298785</v>
      </c>
      <c r="B494" s="3" t="s">
        <v>271</v>
      </c>
    </row>
    <row r="495" spans="1:2">
      <c r="A495" s="13">
        <v>233240383459</v>
      </c>
      <c r="B495" s="3" t="s">
        <v>271</v>
      </c>
    </row>
    <row r="496" spans="1:2">
      <c r="A496" s="13">
        <v>233242734542</v>
      </c>
      <c r="B496" s="3" t="s">
        <v>271</v>
      </c>
    </row>
    <row r="497" spans="1:2">
      <c r="A497" s="13">
        <v>233246720532</v>
      </c>
      <c r="B497" s="3" t="s">
        <v>271</v>
      </c>
    </row>
    <row r="498" spans="1:2">
      <c r="A498" s="13">
        <v>233247080842</v>
      </c>
      <c r="B498" s="3" t="s">
        <v>271</v>
      </c>
    </row>
    <row r="499" spans="1:2">
      <c r="A499" s="13">
        <v>233248193755</v>
      </c>
      <c r="B499" s="3" t="s">
        <v>271</v>
      </c>
    </row>
    <row r="500" spans="1:2">
      <c r="A500" s="13">
        <v>233249842853</v>
      </c>
      <c r="B500" s="3" t="s">
        <v>271</v>
      </c>
    </row>
    <row r="501" spans="1:2">
      <c r="A501" s="13">
        <v>233256440051</v>
      </c>
      <c r="B501" s="3" t="s">
        <v>271</v>
      </c>
    </row>
    <row r="502" spans="1:2">
      <c r="A502" s="13">
        <v>233257799338</v>
      </c>
      <c r="B502" s="3" t="s">
        <v>271</v>
      </c>
    </row>
    <row r="503" spans="1:2">
      <c r="A503" s="13">
        <v>233268593131</v>
      </c>
      <c r="B503" s="3" t="s">
        <v>271</v>
      </c>
    </row>
    <row r="504" spans="1:2">
      <c r="A504" s="13">
        <v>233507528286</v>
      </c>
      <c r="B504" s="3" t="s">
        <v>271</v>
      </c>
    </row>
    <row r="505" spans="1:2">
      <c r="A505" s="13">
        <v>233531431629</v>
      </c>
      <c r="B505" s="3" t="s">
        <v>271</v>
      </c>
    </row>
    <row r="506" spans="1:2">
      <c r="A506" s="13">
        <v>233533152286</v>
      </c>
      <c r="B506" s="3" t="s">
        <v>271</v>
      </c>
    </row>
    <row r="507" spans="1:2">
      <c r="A507" s="13">
        <v>233533387210</v>
      </c>
      <c r="B507" s="3" t="s">
        <v>271</v>
      </c>
    </row>
    <row r="508" spans="1:2">
      <c r="A508" s="13">
        <v>233533763118</v>
      </c>
      <c r="B508" s="3" t="s">
        <v>271</v>
      </c>
    </row>
    <row r="509" spans="1:2">
      <c r="A509" s="13">
        <v>233533874821</v>
      </c>
      <c r="B509" s="3" t="s">
        <v>271</v>
      </c>
    </row>
    <row r="510" spans="1:2">
      <c r="A510" s="13">
        <v>233533943171</v>
      </c>
      <c r="B510" s="3" t="s">
        <v>271</v>
      </c>
    </row>
    <row r="511" spans="1:2">
      <c r="A511" s="13">
        <v>233535188460</v>
      </c>
      <c r="B511" s="3" t="s">
        <v>271</v>
      </c>
    </row>
    <row r="512" spans="1:2">
      <c r="A512" s="13">
        <v>233535995394</v>
      </c>
      <c r="B512" s="3" t="s">
        <v>271</v>
      </c>
    </row>
    <row r="513" spans="1:2">
      <c r="A513" s="13">
        <v>233536098738</v>
      </c>
      <c r="B513" s="3" t="s">
        <v>271</v>
      </c>
    </row>
    <row r="514" spans="1:2">
      <c r="A514" s="13">
        <v>233536455716</v>
      </c>
      <c r="B514" s="3" t="s">
        <v>271</v>
      </c>
    </row>
    <row r="515" spans="1:2">
      <c r="A515" s="13">
        <v>233537768417</v>
      </c>
      <c r="B515" s="3" t="s">
        <v>271</v>
      </c>
    </row>
    <row r="516" spans="1:2">
      <c r="A516" s="13">
        <v>233538733339</v>
      </c>
      <c r="B516" s="3" t="s">
        <v>271</v>
      </c>
    </row>
    <row r="517" spans="1:2">
      <c r="A517" s="13">
        <v>233540279587</v>
      </c>
      <c r="B517" s="3" t="s">
        <v>271</v>
      </c>
    </row>
    <row r="518" spans="1:2">
      <c r="A518" s="13">
        <v>233540704188</v>
      </c>
      <c r="B518" s="3" t="s">
        <v>271</v>
      </c>
    </row>
    <row r="519" spans="1:2">
      <c r="A519" s="13">
        <v>233540957725</v>
      </c>
      <c r="B519" s="3" t="s">
        <v>271</v>
      </c>
    </row>
    <row r="520" spans="1:2">
      <c r="A520" s="13">
        <v>233543254042</v>
      </c>
      <c r="B520" s="3" t="s">
        <v>271</v>
      </c>
    </row>
    <row r="521" spans="1:2">
      <c r="A521" s="13">
        <v>233543679447</v>
      </c>
      <c r="B521" s="3" t="s">
        <v>271</v>
      </c>
    </row>
    <row r="522" spans="1:2">
      <c r="A522" s="13">
        <v>233544687990</v>
      </c>
      <c r="B522" s="3" t="s">
        <v>271</v>
      </c>
    </row>
    <row r="523" spans="1:2">
      <c r="A523" s="13">
        <v>233544706880</v>
      </c>
      <c r="B523" s="3" t="s">
        <v>271</v>
      </c>
    </row>
    <row r="524" spans="1:2">
      <c r="A524" s="13">
        <v>233546931921</v>
      </c>
      <c r="B524" s="3" t="s">
        <v>271</v>
      </c>
    </row>
    <row r="525" spans="1:2">
      <c r="A525" s="13">
        <v>233547789793</v>
      </c>
      <c r="B525" s="3" t="s">
        <v>271</v>
      </c>
    </row>
    <row r="526" spans="1:2">
      <c r="A526" s="13">
        <v>233548554251</v>
      </c>
      <c r="B526" s="3" t="s">
        <v>271</v>
      </c>
    </row>
    <row r="527" spans="1:2">
      <c r="A527" s="13">
        <v>233549916330</v>
      </c>
      <c r="B527" s="3" t="s">
        <v>271</v>
      </c>
    </row>
    <row r="528" spans="1:2">
      <c r="A528" s="13">
        <v>233549993865</v>
      </c>
      <c r="B528" s="3" t="s">
        <v>271</v>
      </c>
    </row>
    <row r="529" spans="1:2">
      <c r="A529" s="13">
        <v>233550836727</v>
      </c>
      <c r="B529" s="3" t="s">
        <v>271</v>
      </c>
    </row>
    <row r="530" spans="1:2">
      <c r="A530" s="13">
        <v>233551187883</v>
      </c>
      <c r="B530" s="3" t="s">
        <v>271</v>
      </c>
    </row>
    <row r="531" spans="1:2">
      <c r="A531" s="13">
        <v>233551964885</v>
      </c>
      <c r="B531" s="3" t="s">
        <v>271</v>
      </c>
    </row>
    <row r="532" spans="1:2">
      <c r="A532" s="13">
        <v>233551980573</v>
      </c>
      <c r="B532" s="3" t="s">
        <v>271</v>
      </c>
    </row>
    <row r="533" spans="1:2">
      <c r="A533" s="13">
        <v>233552768670</v>
      </c>
      <c r="B533" s="3" t="s">
        <v>271</v>
      </c>
    </row>
    <row r="534" spans="1:2">
      <c r="A534" s="13">
        <v>233555292563</v>
      </c>
      <c r="B534" s="3" t="s">
        <v>271</v>
      </c>
    </row>
    <row r="535" spans="1:2">
      <c r="A535" s="13">
        <v>233559761869</v>
      </c>
      <c r="B535" s="3" t="s">
        <v>271</v>
      </c>
    </row>
    <row r="536" spans="1:2">
      <c r="A536" s="13">
        <v>233559996063</v>
      </c>
      <c r="B536" s="3" t="s">
        <v>271</v>
      </c>
    </row>
    <row r="537" spans="1:2">
      <c r="A537" s="13">
        <v>233593830484</v>
      </c>
      <c r="B537" s="3" t="s">
        <v>271</v>
      </c>
    </row>
    <row r="538" spans="1:2">
      <c r="A538" s="13">
        <v>233594399784</v>
      </c>
      <c r="B538" s="3" t="s">
        <v>271</v>
      </c>
    </row>
    <row r="539" spans="1:2">
      <c r="A539" s="13">
        <v>233594769770</v>
      </c>
      <c r="B539" s="3" t="s">
        <v>271</v>
      </c>
    </row>
    <row r="540" spans="1:2">
      <c r="A540" s="13">
        <v>233597886048</v>
      </c>
      <c r="B540" s="3" t="s">
        <v>271</v>
      </c>
    </row>
    <row r="541" spans="1:2">
      <c r="A541" s="13">
        <v>233598956797</v>
      </c>
      <c r="B541" s="3" t="s">
        <v>271</v>
      </c>
    </row>
    <row r="542" spans="1:2">
      <c r="A542" s="13">
        <v>233599577957</v>
      </c>
      <c r="B542" s="3" t="s">
        <v>271</v>
      </c>
    </row>
    <row r="543" spans="1:2">
      <c r="A543" s="13">
        <v>233202471977</v>
      </c>
      <c r="B543" s="3" t="s">
        <v>271</v>
      </c>
    </row>
    <row r="544" spans="1:2">
      <c r="A544" s="13">
        <v>233203465830</v>
      </c>
      <c r="B544" s="3" t="s">
        <v>271</v>
      </c>
    </row>
    <row r="545" spans="1:2">
      <c r="A545" s="13">
        <v>233242406918</v>
      </c>
      <c r="B545" s="3" t="s">
        <v>271</v>
      </c>
    </row>
    <row r="546" spans="1:2">
      <c r="A546" s="13">
        <v>233245082056</v>
      </c>
      <c r="B546" s="3" t="s">
        <v>271</v>
      </c>
    </row>
    <row r="547" spans="1:2">
      <c r="A547" s="13">
        <v>233245726619</v>
      </c>
      <c r="B547" s="3" t="s">
        <v>271</v>
      </c>
    </row>
    <row r="548" spans="1:2">
      <c r="A548" s="13">
        <v>233248593147</v>
      </c>
      <c r="B548" s="3" t="s">
        <v>271</v>
      </c>
    </row>
    <row r="549" spans="1:2">
      <c r="A549" s="13">
        <v>233257746231</v>
      </c>
      <c r="B549" s="3" t="s">
        <v>271</v>
      </c>
    </row>
    <row r="550" spans="1:2">
      <c r="A550" s="13">
        <v>233500148658</v>
      </c>
      <c r="B550" s="3" t="s">
        <v>271</v>
      </c>
    </row>
    <row r="551" spans="1:2">
      <c r="A551" s="13">
        <v>233503314322</v>
      </c>
      <c r="B551" s="3" t="s">
        <v>271</v>
      </c>
    </row>
    <row r="552" spans="1:2">
      <c r="A552" s="13">
        <v>233503600463</v>
      </c>
      <c r="B552" s="3" t="s">
        <v>271</v>
      </c>
    </row>
    <row r="553" spans="1:2">
      <c r="A553" s="13">
        <v>233505271584</v>
      </c>
      <c r="B553" s="3" t="s">
        <v>271</v>
      </c>
    </row>
    <row r="554" spans="1:2">
      <c r="A554" s="13">
        <v>233531369812</v>
      </c>
      <c r="B554" s="3" t="s">
        <v>271</v>
      </c>
    </row>
    <row r="555" spans="1:2">
      <c r="A555" s="13">
        <v>233531936605</v>
      </c>
      <c r="B555" s="3" t="s">
        <v>271</v>
      </c>
    </row>
    <row r="556" spans="1:2">
      <c r="A556" s="13">
        <v>233534221912</v>
      </c>
      <c r="B556" s="3" t="s">
        <v>271</v>
      </c>
    </row>
    <row r="557" spans="1:2">
      <c r="A557" s="13">
        <v>233535475914</v>
      </c>
      <c r="B557" s="3" t="s">
        <v>271</v>
      </c>
    </row>
    <row r="558" spans="1:2">
      <c r="A558" s="13">
        <v>233536447577</v>
      </c>
      <c r="B558" s="3" t="s">
        <v>271</v>
      </c>
    </row>
    <row r="559" spans="1:2">
      <c r="A559" s="13">
        <v>233536522217</v>
      </c>
      <c r="B559" s="3" t="s">
        <v>271</v>
      </c>
    </row>
    <row r="560" spans="1:2">
      <c r="A560" s="13">
        <v>233536829880</v>
      </c>
      <c r="B560" s="3" t="s">
        <v>271</v>
      </c>
    </row>
    <row r="561" spans="1:2">
      <c r="A561" s="13">
        <v>233538190171</v>
      </c>
      <c r="B561" s="3" t="s">
        <v>271</v>
      </c>
    </row>
    <row r="562" spans="1:2">
      <c r="A562" s="13">
        <v>233539046132</v>
      </c>
      <c r="B562" s="3" t="s">
        <v>271</v>
      </c>
    </row>
    <row r="563" spans="1:2">
      <c r="A563" s="13">
        <v>233539282807</v>
      </c>
      <c r="B563" s="3" t="s">
        <v>271</v>
      </c>
    </row>
    <row r="564" spans="1:2">
      <c r="A564" s="13">
        <v>233540624253</v>
      </c>
      <c r="B564" s="3" t="s">
        <v>271</v>
      </c>
    </row>
    <row r="565" spans="1:2">
      <c r="A565" s="13">
        <v>233541503624</v>
      </c>
      <c r="B565" s="3" t="s">
        <v>271</v>
      </c>
    </row>
    <row r="566" spans="1:2">
      <c r="A566" s="13">
        <v>233541683908</v>
      </c>
      <c r="B566" s="3" t="s">
        <v>271</v>
      </c>
    </row>
    <row r="567" spans="1:2">
      <c r="A567" s="13">
        <v>233543536942</v>
      </c>
      <c r="B567" s="3" t="s">
        <v>271</v>
      </c>
    </row>
    <row r="568" spans="1:2">
      <c r="A568" s="13">
        <v>233543640304</v>
      </c>
      <c r="B568" s="3" t="s">
        <v>271</v>
      </c>
    </row>
    <row r="569" spans="1:2">
      <c r="A569" s="13">
        <v>233543915356</v>
      </c>
      <c r="B569" s="3" t="s">
        <v>271</v>
      </c>
    </row>
    <row r="570" spans="1:2">
      <c r="A570" s="13">
        <v>233544180624</v>
      </c>
      <c r="B570" s="3" t="s">
        <v>271</v>
      </c>
    </row>
    <row r="571" spans="1:2">
      <c r="A571" s="13">
        <v>233544269565</v>
      </c>
      <c r="B571" s="3" t="s">
        <v>271</v>
      </c>
    </row>
    <row r="572" spans="1:2">
      <c r="A572" s="13">
        <v>233544817618</v>
      </c>
      <c r="B572" s="3" t="s">
        <v>271</v>
      </c>
    </row>
    <row r="573" spans="1:2">
      <c r="A573" s="13">
        <v>233544833210</v>
      </c>
      <c r="B573" s="3" t="s">
        <v>271</v>
      </c>
    </row>
    <row r="574" spans="1:2">
      <c r="A574" s="13">
        <v>233546128244</v>
      </c>
      <c r="B574" s="3" t="s">
        <v>271</v>
      </c>
    </row>
    <row r="575" spans="1:2">
      <c r="A575" s="13">
        <v>233546457029</v>
      </c>
      <c r="B575" s="3" t="s">
        <v>271</v>
      </c>
    </row>
    <row r="576" spans="1:2">
      <c r="A576" s="13">
        <v>233547335141</v>
      </c>
      <c r="B576" s="3" t="s">
        <v>271</v>
      </c>
    </row>
    <row r="577" spans="1:2">
      <c r="A577" s="13">
        <v>233548472171</v>
      </c>
      <c r="B577" s="3" t="s">
        <v>271</v>
      </c>
    </row>
    <row r="578" spans="1:2">
      <c r="A578" s="13">
        <v>233550641760</v>
      </c>
      <c r="B578" s="3" t="s">
        <v>271</v>
      </c>
    </row>
    <row r="579" spans="1:2">
      <c r="A579" s="13">
        <v>233552598263</v>
      </c>
      <c r="B579" s="3" t="s">
        <v>271</v>
      </c>
    </row>
    <row r="580" spans="1:2">
      <c r="A580" s="13">
        <v>233554154847</v>
      </c>
      <c r="B580" s="3" t="s">
        <v>271</v>
      </c>
    </row>
    <row r="581" spans="1:2">
      <c r="A581" s="13">
        <v>233555949923</v>
      </c>
      <c r="B581" s="3" t="s">
        <v>271</v>
      </c>
    </row>
    <row r="582" spans="1:2">
      <c r="A582" s="13">
        <v>233556273127</v>
      </c>
      <c r="B582" s="3" t="s">
        <v>271</v>
      </c>
    </row>
    <row r="583" spans="1:2">
      <c r="A583" s="13">
        <v>233558696996</v>
      </c>
      <c r="B583" s="3" t="s">
        <v>271</v>
      </c>
    </row>
    <row r="584" spans="1:2">
      <c r="A584" s="13">
        <v>233559223319</v>
      </c>
      <c r="B584" s="3" t="s">
        <v>271</v>
      </c>
    </row>
    <row r="585" spans="1:2">
      <c r="A585" s="13">
        <v>233591130260</v>
      </c>
      <c r="B585" s="3" t="s">
        <v>271</v>
      </c>
    </row>
    <row r="586" spans="1:2">
      <c r="A586" s="13">
        <v>233591507141</v>
      </c>
      <c r="B586" s="3" t="s">
        <v>271</v>
      </c>
    </row>
    <row r="587" spans="1:2">
      <c r="A587" s="13">
        <v>233592057174</v>
      </c>
      <c r="B587" s="3" t="s">
        <v>271</v>
      </c>
    </row>
    <row r="588" spans="1:2">
      <c r="A588" s="13">
        <v>233593950410</v>
      </c>
      <c r="B588" s="3" t="s">
        <v>271</v>
      </c>
    </row>
    <row r="589" spans="1:2">
      <c r="A589" s="13">
        <v>233597408477</v>
      </c>
      <c r="B589" s="3" t="s">
        <v>271</v>
      </c>
    </row>
    <row r="590" spans="1:2">
      <c r="A590" s="13">
        <v>233598339437</v>
      </c>
      <c r="B590" s="3" t="s">
        <v>271</v>
      </c>
    </row>
    <row r="591" spans="1:2">
      <c r="A591" s="13">
        <v>233599762914</v>
      </c>
      <c r="B591" s="3" t="s">
        <v>271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workbookViewId="0">
      <selection activeCell="E10" sqref="E10:E14"/>
    </sheetView>
  </sheetViews>
  <sheetFormatPr defaultColWidth="9.02654867256637" defaultRowHeight="13.5" outlineLevelCol="5"/>
  <cols>
    <col min="1" max="1" width="19.5132743362832"/>
    <col min="2" max="182" width="17.3274336283186"/>
    <col min="183" max="183" width="5.38938053097345"/>
    <col min="184" max="591" width="17.3274336283186"/>
    <col min="592" max="592" width="5.38938053097345"/>
  </cols>
  <sheetData>
    <row r="1" spans="1:6">
      <c r="A1" t="s">
        <v>413</v>
      </c>
      <c r="B1" t="s">
        <v>414</v>
      </c>
    </row>
    <row r="2" spans="1:6">
      <c r="A2" t="s">
        <v>17</v>
      </c>
      <c r="B2"/>
      <c r="C2" t="s">
        <v>415</v>
      </c>
      <c r="D2" t="s">
        <v>416</v>
      </c>
      <c r="E2" s="10" t="s">
        <v>417</v>
      </c>
    </row>
    <row r="3" spans="1:6">
      <c r="A3" t="s">
        <v>34</v>
      </c>
      <c r="B3"/>
      <c r="C3">
        <v>46</v>
      </c>
      <c r="D3">
        <v>169</v>
      </c>
      <c r="E3" s="10">
        <f>C3/D3</f>
        <v>0.272189349112426</v>
      </c>
    </row>
    <row r="4" spans="1:6">
      <c r="A4" t="s">
        <v>148</v>
      </c>
      <c r="B4"/>
      <c r="C4">
        <v>60</v>
      </c>
      <c r="D4">
        <v>191</v>
      </c>
      <c r="E4" s="10">
        <f>C4/D4</f>
        <v>0.31413612565445</v>
      </c>
    </row>
    <row r="5" spans="1:6">
      <c r="A5" t="s">
        <v>271</v>
      </c>
      <c r="B5"/>
      <c r="C5">
        <v>75</v>
      </c>
      <c r="D5">
        <v>230</v>
      </c>
      <c r="E5" s="10">
        <f>C5/D5</f>
        <v>0.326086956521739</v>
      </c>
    </row>
    <row r="6" spans="1:6">
      <c r="A6" t="s">
        <v>416</v>
      </c>
      <c r="C6">
        <v>181</v>
      </c>
      <c r="D6">
        <v>590</v>
      </c>
      <c r="E6" s="10"/>
    </row>
    <row r="9" spans="1:6">
      <c r="A9" t="s">
        <v>413</v>
      </c>
      <c r="B9" t="s">
        <v>418</v>
      </c>
      <c r="C9"/>
      <c r="E9" s="10"/>
    </row>
    <row r="10" spans="1:6">
      <c r="A10" t="s">
        <v>17</v>
      </c>
      <c r="B10" t="s">
        <v>419</v>
      </c>
      <c r="C10" t="s">
        <v>415</v>
      </c>
      <c r="D10" t="s">
        <v>416</v>
      </c>
      <c r="E10" t="s">
        <v>420</v>
      </c>
      <c r="F10" s="10" t="s">
        <v>421</v>
      </c>
    </row>
    <row r="11" spans="1:6">
      <c r="A11" t="s">
        <v>34</v>
      </c>
      <c r="B11">
        <v>136</v>
      </c>
      <c r="C11">
        <v>33</v>
      </c>
      <c r="D11">
        <v>169</v>
      </c>
      <c r="E11" s="10">
        <f>GETPIVOTDATA("用户手机号",$A$9,"label","Group A","是否有效回归","是")/C3</f>
        <v>0.717391304347826</v>
      </c>
      <c r="F11" s="10">
        <f>GETPIVOTDATA("用户手机号",$A$9,"label","Group A","是否有效回归","是")/GETPIVOTDATA("用户手机号",$A$9,"label","Group A")</f>
        <v>0.195266272189349</v>
      </c>
    </row>
    <row r="12" spans="1:6">
      <c r="A12" t="s">
        <v>148</v>
      </c>
      <c r="B12">
        <v>151</v>
      </c>
      <c r="C12">
        <v>40</v>
      </c>
      <c r="D12">
        <v>191</v>
      </c>
      <c r="E12" s="10">
        <f>GETPIVOTDATA("用户手机号",$A$9,"label","Group B","是否有效回归","是")/C4</f>
        <v>0.666666666666667</v>
      </c>
      <c r="F12" s="10">
        <f>GETPIVOTDATA("用户手机号",$A$9,"label","Group B","是否有效回归","是")/GETPIVOTDATA("用户手机号",$A$9,"label","Group B")</f>
        <v>0.209424083769634</v>
      </c>
    </row>
    <row r="13" spans="1:6">
      <c r="A13" t="s">
        <v>271</v>
      </c>
      <c r="B13">
        <v>182</v>
      </c>
      <c r="C13">
        <v>48</v>
      </c>
      <c r="D13">
        <v>230</v>
      </c>
      <c r="E13" s="10">
        <f>GETPIVOTDATA("用户手机号",$A$9,"label","Group C","是否有效回归","是")/C5</f>
        <v>0.64</v>
      </c>
      <c r="F13" s="10">
        <f>GETPIVOTDATA("用户手机号",$A$9,"label","Group C","是否有效回归","是")/GETPIVOTDATA("用户手机号",$A$9,"label","Group C")</f>
        <v>0.208695652173913</v>
      </c>
    </row>
    <row r="14" spans="1:6">
      <c r="A14" t="s">
        <v>416</v>
      </c>
      <c r="B14">
        <v>469</v>
      </c>
      <c r="C14">
        <v>121</v>
      </c>
      <c r="D14">
        <v>590</v>
      </c>
      <c r="E14" s="10">
        <f>GETPIVOTDATA("用户手机号",$A$9,"是否有效回归","是")/C6</f>
        <v>0.668508287292818</v>
      </c>
      <c r="F14" s="10">
        <f>GETPIVOTDATA("用户手机号",$A$9,"是否有效回归","是")/GETPIVOTDATA("用户手机号",$A$9)</f>
        <v>0.205084745762712</v>
      </c>
    </row>
    <row r="15" spans="1:6">
      <c r="E15" s="10"/>
    </row>
    <row r="18" spans="1:5">
      <c r="A18" t="s">
        <v>418</v>
      </c>
      <c r="B18" t="s">
        <v>415</v>
      </c>
    </row>
    <row r="20" spans="1:5">
      <c r="A20" t="s">
        <v>17</v>
      </c>
      <c r="B20" t="s">
        <v>422</v>
      </c>
      <c r="C20" t="s">
        <v>423</v>
      </c>
      <c r="D20" t="s">
        <v>424</v>
      </c>
      <c r="E20" t="s">
        <v>425</v>
      </c>
    </row>
    <row r="21" spans="1:5">
      <c r="A21" t="s">
        <v>34</v>
      </c>
      <c r="B21">
        <v>33</v>
      </c>
      <c r="C21">
        <v>292054.56</v>
      </c>
      <c r="D21">
        <v>17777.98</v>
      </c>
      <c r="E21">
        <v>33036</v>
      </c>
    </row>
    <row r="22" spans="1:5">
      <c r="A22" t="s">
        <v>148</v>
      </c>
      <c r="B22">
        <v>40</v>
      </c>
      <c r="C22">
        <v>189823.56</v>
      </c>
      <c r="D22">
        <v>10872.53</v>
      </c>
      <c r="E22">
        <v>21339</v>
      </c>
    </row>
    <row r="23" spans="1:5">
      <c r="A23" t="s">
        <v>271</v>
      </c>
      <c r="B23">
        <v>48</v>
      </c>
      <c r="C23">
        <v>206406.48</v>
      </c>
      <c r="D23">
        <v>18201.37</v>
      </c>
      <c r="E23">
        <v>39183</v>
      </c>
    </row>
    <row r="24" spans="1:5">
      <c r="A24" t="s">
        <v>416</v>
      </c>
      <c r="B24">
        <v>121</v>
      </c>
      <c r="C24">
        <v>688284.6</v>
      </c>
      <c r="D24">
        <v>46851.88</v>
      </c>
      <c r="E24">
        <v>93558</v>
      </c>
    </row>
    <row r="26" spans="1:5">
      <c r="C26" s="11">
        <f>GETPIVOTDATA("求和项:总投注流水（本地货币）",$A$20,"label","Group A")/GETPIVOTDATA("计数项:是否有效回归",$A$20,"label","Group A")</f>
        <v>8850.13818181818</v>
      </c>
      <c r="D26" s="11">
        <f>GETPIVOTDATA("求和项:全部ggr（本地货币）",$A$20,"label","Group A")/GETPIVOTDATA("计数项:是否有效回归",$A$20,"label","Group A")</f>
        <v>538.726666666667</v>
      </c>
      <c r="E26" s="11">
        <f>GETPIVOTDATA("求和项:充值金额（本地货币）",$A$20,"label","Group A")/GETPIVOTDATA("计数项:是否有效回归",$A$20,"label","Group A")</f>
        <v>1001.09090909091</v>
      </c>
    </row>
    <row r="27" spans="1:5">
      <c r="C27" s="11">
        <f>GETPIVOTDATA("求和项:总投注流水（本地货币）",$A$20,"label","Group B")/GETPIVOTDATA("计数项:是否有效回归",$A$20,"label","Group B")</f>
        <v>4745.589</v>
      </c>
      <c r="D27" s="11">
        <f>GETPIVOTDATA("求和项:全部ggr（本地货币）",$A$20,"label","Group B")/GETPIVOTDATA("计数项:是否有效回归",$A$20,"label","Group B")</f>
        <v>271.81325</v>
      </c>
      <c r="E27" s="11">
        <f>GETPIVOTDATA("求和项:充值金额（本地货币）",$A$20,"label","Group B")/GETPIVOTDATA("计数项:是否有效回归",$A$20,"label","Group B")</f>
        <v>533.475</v>
      </c>
    </row>
    <row r="28" spans="1:5">
      <c r="C28" s="11">
        <f>GETPIVOTDATA("求和项:总投注流水（本地货币）",$A$20,"label","Group C")/GETPIVOTDATA("计数项:是否有效回归",$A$20,"label","Group C")</f>
        <v>4300.135</v>
      </c>
      <c r="D28" s="11">
        <f>GETPIVOTDATA("求和项:全部ggr（本地货币）",$A$20,"label","Group C")/GETPIVOTDATA("计数项:是否有效回归",$A$20,"label","Group C")</f>
        <v>379.195208333333</v>
      </c>
      <c r="E28" s="11">
        <f>GETPIVOTDATA("求和项:充值金额（本地货币）",$A$20,"label","Group C")/GETPIVOTDATA("计数项:是否有效回归",$A$20,"label","Group C")</f>
        <v>816.3125</v>
      </c>
    </row>
    <row r="29" spans="1:5">
      <c r="C29" s="11">
        <f>GETPIVOTDATA("求和项:总投注流水（本地货币）",$A$20)/GETPIVOTDATA("计数项:是否有效回归",$A$20)</f>
        <v>5688.30247933884</v>
      </c>
      <c r="D29" s="11">
        <f>GETPIVOTDATA("求和项:全部ggr（本地货币）",$A$20)/GETPIVOTDATA("计数项:是否有效回归",$A$20)</f>
        <v>387.205619834711</v>
      </c>
      <c r="E29" s="11">
        <f>GETPIVOTDATA("求和项:充值金额（本地货币）",$A$20)/GETPIVOTDATA("计数项:是否有效回归",$A$20)</f>
        <v>773.206611570248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Q591"/>
  <sheetViews>
    <sheetView tabSelected="1" workbookViewId="0">
      <selection activeCell="A1" sqref="$A1:$XFD506"/>
    </sheetView>
  </sheetViews>
  <sheetFormatPr defaultColWidth="9" defaultRowHeight="13.5"/>
  <cols>
    <col min="2" max="2" width="16" style="2" customWidth="1"/>
    <col min="3" max="3" width="12" style="1" customWidth="1"/>
    <col min="4" max="4" width="20.5132743362832" style="1" customWidth="1"/>
    <col min="5" max="5" width="12.0176991150442" style="2" customWidth="1"/>
    <col min="6" max="11" width="25" style="1" customWidth="1"/>
    <col min="12" max="13" width="18" style="1" customWidth="1"/>
    <col min="14" max="17" width="25" style="1" customWidth="1"/>
    <col min="18" max="16384" width="9" style="1"/>
  </cols>
  <sheetData>
    <row r="1" s="1" customFormat="1" ht="35.25" spans="1:17">
      <c r="A1" s="3" t="s">
        <v>17</v>
      </c>
      <c r="B1" s="4" t="s">
        <v>426</v>
      </c>
      <c r="C1" s="5" t="s">
        <v>427</v>
      </c>
      <c r="D1" s="5" t="s">
        <v>428</v>
      </c>
      <c r="E1" s="4" t="s">
        <v>418</v>
      </c>
      <c r="F1" s="5" t="s">
        <v>429</v>
      </c>
      <c r="G1" s="5" t="s">
        <v>430</v>
      </c>
      <c r="H1" s="5" t="s">
        <v>431</v>
      </c>
      <c r="I1" s="5" t="s">
        <v>432</v>
      </c>
      <c r="J1" s="5" t="s">
        <v>433</v>
      </c>
      <c r="K1" s="5" t="s">
        <v>434</v>
      </c>
      <c r="L1" s="5" t="s">
        <v>435</v>
      </c>
      <c r="M1" s="5" t="s">
        <v>436</v>
      </c>
      <c r="N1" s="5" t="s">
        <v>437</v>
      </c>
      <c r="O1" s="5" t="s">
        <v>438</v>
      </c>
      <c r="P1" s="5" t="s">
        <v>439</v>
      </c>
      <c r="Q1" s="5" t="s">
        <v>440</v>
      </c>
    </row>
    <row r="2" s="1" customFormat="1" ht="14.25" hidden="1" spans="1:17">
      <c r="A2" s="1" t="str">
        <f>VLOOKUP(B2,combinate!A:B,2,FALSE)</f>
        <v>Group A</v>
      </c>
      <c r="B2" s="6">
        <v>233558171044</v>
      </c>
      <c r="C2" s="7">
        <v>3650431</v>
      </c>
      <c r="D2" s="8">
        <v>46161.647962963</v>
      </c>
      <c r="E2" s="6" t="s">
        <v>419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</row>
    <row r="3" s="1" customFormat="1" ht="14.25" hidden="1" spans="1:17">
      <c r="A3" s="1" t="str">
        <f>VLOOKUP(B3,combinate!A:B,2,FALSE)</f>
        <v>Group A</v>
      </c>
      <c r="B3" s="6">
        <v>233545295774</v>
      </c>
      <c r="C3" s="7">
        <v>5832722</v>
      </c>
      <c r="D3" s="8">
        <v>46166.0169560185</v>
      </c>
      <c r="E3" s="6" t="s">
        <v>419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</row>
    <row r="4" s="1" customFormat="1" ht="14.25" hidden="1" spans="1:17">
      <c r="A4" s="1" t="str">
        <f>VLOOKUP(B4,combinate!A:B,2,FALSE)</f>
        <v>Group B</v>
      </c>
      <c r="B4" s="6">
        <v>233248112064</v>
      </c>
      <c r="C4" s="7">
        <v>7103744</v>
      </c>
      <c r="D4" s="8">
        <v>46162.686099537</v>
      </c>
      <c r="E4" s="6" t="s">
        <v>419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</row>
    <row r="5" s="1" customFormat="1" ht="14.25" hidden="1" spans="1:17">
      <c r="A5" s="1" t="str">
        <f>VLOOKUP(B5,combinate!A:B,2,FALSE)</f>
        <v>Group C</v>
      </c>
      <c r="B5" s="6">
        <v>233505163657</v>
      </c>
      <c r="C5" s="7">
        <v>9598168</v>
      </c>
      <c r="D5" s="8">
        <v>46184.3935648148</v>
      </c>
      <c r="E5" s="9" t="s">
        <v>415</v>
      </c>
      <c r="F5" s="7">
        <v>54.85</v>
      </c>
      <c r="G5" s="7">
        <v>713</v>
      </c>
      <c r="H5" s="7">
        <v>0</v>
      </c>
      <c r="I5" s="7">
        <v>713</v>
      </c>
      <c r="J5" s="7">
        <v>0</v>
      </c>
      <c r="K5" s="7">
        <v>126.7</v>
      </c>
      <c r="L5" s="7">
        <v>9.75</v>
      </c>
      <c r="M5" s="7">
        <v>126.7</v>
      </c>
      <c r="N5" s="7">
        <v>4.62</v>
      </c>
      <c r="O5" s="7">
        <v>60</v>
      </c>
      <c r="P5" s="7">
        <v>0</v>
      </c>
      <c r="Q5" s="7">
        <v>0</v>
      </c>
    </row>
    <row r="6" s="1" customFormat="1" ht="14.25" hidden="1" spans="1:17">
      <c r="A6" s="1" t="str">
        <f>VLOOKUP(B6,combinate!A:B,2,FALSE)</f>
        <v>Group C</v>
      </c>
      <c r="B6" s="6">
        <v>233558696996</v>
      </c>
      <c r="C6" s="7">
        <v>10001207</v>
      </c>
      <c r="D6" s="8">
        <v>46160.7156365741</v>
      </c>
      <c r="E6" s="6" t="s">
        <v>419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</row>
    <row r="7" s="1" customFormat="1" ht="14.25" hidden="1" spans="1:17">
      <c r="A7" s="1" t="str">
        <f>VLOOKUP(B7,combinate!A:B,2,FALSE)</f>
        <v>Group C</v>
      </c>
      <c r="B7" s="6">
        <v>233539246450</v>
      </c>
      <c r="C7" s="7">
        <v>13226456</v>
      </c>
      <c r="D7" s="8">
        <v>46182.6684953704</v>
      </c>
      <c r="E7" s="9" t="s">
        <v>415</v>
      </c>
      <c r="F7" s="7">
        <v>7.15</v>
      </c>
      <c r="G7" s="7">
        <v>92.97</v>
      </c>
      <c r="H7" s="7">
        <v>0</v>
      </c>
      <c r="I7" s="7">
        <v>92.97</v>
      </c>
      <c r="J7" s="7">
        <v>0</v>
      </c>
      <c r="K7" s="7">
        <v>55.87</v>
      </c>
      <c r="L7" s="7">
        <v>4.3</v>
      </c>
      <c r="M7" s="7">
        <v>55.87</v>
      </c>
      <c r="N7" s="7">
        <v>4.31</v>
      </c>
      <c r="O7" s="7">
        <v>56</v>
      </c>
      <c r="P7" s="7">
        <v>0</v>
      </c>
      <c r="Q7" s="7">
        <v>0</v>
      </c>
    </row>
    <row r="8" s="1" customFormat="1" ht="14.25" hidden="1" spans="1:17">
      <c r="A8" s="1" t="str">
        <f>VLOOKUP(B8,combinate!A:B,2,FALSE)</f>
        <v>Group C</v>
      </c>
      <c r="B8" s="6">
        <v>233536455716</v>
      </c>
      <c r="C8" s="7">
        <v>16391417</v>
      </c>
      <c r="D8" s="8">
        <v>46161.9246875</v>
      </c>
      <c r="E8" s="6" t="s">
        <v>419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</row>
    <row r="9" s="1" customFormat="1" ht="14.25" hidden="1" spans="1:17">
      <c r="A9" s="1" t="str">
        <f>VLOOKUP(B9,combinate!A:B,2,FALSE)</f>
        <v>Group C</v>
      </c>
      <c r="B9" s="6">
        <v>233596777416</v>
      </c>
      <c r="C9" s="7">
        <v>17182599</v>
      </c>
      <c r="D9" s="8">
        <v>46182.2703356482</v>
      </c>
      <c r="E9" s="9" t="s">
        <v>415</v>
      </c>
      <c r="F9" s="7">
        <v>139.95</v>
      </c>
      <c r="G9" s="7">
        <v>1819.3</v>
      </c>
      <c r="H9" s="7">
        <v>0</v>
      </c>
      <c r="I9" s="7">
        <v>1819.3</v>
      </c>
      <c r="J9" s="7">
        <v>0</v>
      </c>
      <c r="K9" s="7">
        <v>284.85</v>
      </c>
      <c r="L9" s="7">
        <v>21.91</v>
      </c>
      <c r="M9" s="7">
        <v>284.85</v>
      </c>
      <c r="N9" s="7">
        <v>51.92</v>
      </c>
      <c r="O9" s="7">
        <v>675</v>
      </c>
      <c r="P9" s="7">
        <v>30</v>
      </c>
      <c r="Q9" s="7">
        <v>390</v>
      </c>
    </row>
    <row r="10" s="1" customFormat="1" ht="14.25" hidden="1" spans="1:17">
      <c r="A10" s="1" t="str">
        <f>VLOOKUP(B10,combinate!A:B,2,FALSE)</f>
        <v>Group A</v>
      </c>
      <c r="B10" s="6">
        <v>233504756403</v>
      </c>
      <c r="C10" s="7">
        <v>17523041</v>
      </c>
      <c r="D10" s="8">
        <v>46184.0167361111</v>
      </c>
      <c r="E10" s="6" t="s">
        <v>419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</row>
    <row r="11" s="1" customFormat="1" ht="14.25" hidden="1" spans="1:17">
      <c r="A11" s="1" t="str">
        <f>VLOOKUP(B11,combinate!A:B,2,FALSE)</f>
        <v>Group C</v>
      </c>
      <c r="B11" s="6">
        <v>233206082502</v>
      </c>
      <c r="C11" s="7">
        <v>18173108</v>
      </c>
      <c r="D11" s="8">
        <v>46183.7809953704</v>
      </c>
      <c r="E11" s="6" t="s">
        <v>419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</row>
    <row r="12" s="1" customFormat="1" ht="14.25" hidden="1" spans="1:17">
      <c r="A12" s="1" t="str">
        <f>VLOOKUP(B12,combinate!A:B,2,FALSE)</f>
        <v>Group C</v>
      </c>
      <c r="B12" s="6">
        <v>233540982751</v>
      </c>
      <c r="C12" s="7">
        <v>18685406</v>
      </c>
      <c r="D12" s="8">
        <v>46166.5022916667</v>
      </c>
      <c r="E12" s="6" t="s">
        <v>419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</row>
    <row r="13" s="1" customFormat="1" ht="14.25" hidden="1" spans="1:17">
      <c r="A13" s="1" t="str">
        <f>VLOOKUP(B13,combinate!A:B,2,FALSE)</f>
        <v>Group A</v>
      </c>
      <c r="B13" s="6">
        <v>233545807815</v>
      </c>
      <c r="C13" s="7">
        <v>19569981</v>
      </c>
      <c r="D13" s="8">
        <v>46183.6356134259</v>
      </c>
      <c r="E13" s="9" t="s">
        <v>415</v>
      </c>
      <c r="F13" s="7">
        <v>103.15</v>
      </c>
      <c r="G13" s="7">
        <v>1340.9</v>
      </c>
      <c r="H13" s="7">
        <v>0</v>
      </c>
      <c r="I13" s="7">
        <v>1340.9</v>
      </c>
      <c r="J13" s="7">
        <v>0</v>
      </c>
      <c r="K13" s="7">
        <v>349.66</v>
      </c>
      <c r="L13" s="7">
        <v>26.9</v>
      </c>
      <c r="M13" s="7">
        <v>349.66</v>
      </c>
      <c r="N13" s="7">
        <v>26.92</v>
      </c>
      <c r="O13" s="7">
        <v>350</v>
      </c>
      <c r="P13" s="7">
        <v>0</v>
      </c>
      <c r="Q13" s="7">
        <v>0</v>
      </c>
    </row>
    <row r="14" s="1" customFormat="1" ht="14.25" hidden="1" spans="1:17">
      <c r="A14" s="1" t="str">
        <f>VLOOKUP(B14,combinate!A:B,2,FALSE)</f>
        <v>Group C</v>
      </c>
      <c r="B14" s="6">
        <v>233549197381</v>
      </c>
      <c r="C14" s="7">
        <v>19580816</v>
      </c>
      <c r="D14" s="8">
        <v>46180.9446990741</v>
      </c>
      <c r="E14" s="9" t="s">
        <v>415</v>
      </c>
      <c r="F14" s="7">
        <v>0.54</v>
      </c>
      <c r="G14" s="7">
        <v>7</v>
      </c>
      <c r="H14" s="7">
        <v>0</v>
      </c>
      <c r="I14" s="7">
        <v>7</v>
      </c>
      <c r="J14" s="7">
        <v>0</v>
      </c>
      <c r="K14" s="7">
        <v>5.04</v>
      </c>
      <c r="L14" s="7">
        <v>0.39</v>
      </c>
      <c r="M14" s="7">
        <v>5.04</v>
      </c>
      <c r="N14" s="7">
        <v>0.38</v>
      </c>
      <c r="O14" s="7">
        <v>5</v>
      </c>
      <c r="P14" s="7">
        <v>0</v>
      </c>
      <c r="Q14" s="7">
        <v>0</v>
      </c>
    </row>
    <row r="15" s="1" customFormat="1" ht="14.25" hidden="1" spans="1:17">
      <c r="A15" s="1" t="str">
        <f>VLOOKUP(B15,combinate!A:B,2,FALSE)</f>
        <v>Group B</v>
      </c>
      <c r="B15" s="6">
        <v>233502831808</v>
      </c>
      <c r="C15" s="7">
        <v>20299783</v>
      </c>
      <c r="D15" s="8">
        <v>46160.7739467593</v>
      </c>
      <c r="E15" s="6" t="s">
        <v>419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</row>
    <row r="16" s="1" customFormat="1" ht="14.25" hidden="1" spans="1:17">
      <c r="A16" s="1" t="str">
        <f>VLOOKUP(B16,combinate!A:B,2,FALSE)</f>
        <v>Group B</v>
      </c>
      <c r="B16" s="6">
        <v>233543789679</v>
      </c>
      <c r="C16" s="7">
        <v>20337084</v>
      </c>
      <c r="D16" s="8">
        <v>46162.5263657407</v>
      </c>
      <c r="E16" s="6" t="s">
        <v>419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</row>
    <row r="17" s="1" customFormat="1" ht="14.25" hidden="1" spans="1:17">
      <c r="A17" s="1" t="str">
        <f>VLOOKUP(B17,combinate!A:B,2,FALSE)</f>
        <v>Group C</v>
      </c>
      <c r="B17" s="6">
        <v>233541683908</v>
      </c>
      <c r="C17" s="7">
        <v>20413789</v>
      </c>
      <c r="D17" s="8">
        <v>46160.4159722222</v>
      </c>
      <c r="E17" s="6" t="s">
        <v>419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</row>
    <row r="18" s="1" customFormat="1" ht="14.25" hidden="1" spans="1:17">
      <c r="A18" s="1" t="str">
        <f>VLOOKUP(B18,combinate!A:B,2,FALSE)</f>
        <v>Group A</v>
      </c>
      <c r="B18" s="6">
        <v>233531410156</v>
      </c>
      <c r="C18" s="7">
        <v>20674651</v>
      </c>
      <c r="D18" s="8">
        <v>46162.6793865741</v>
      </c>
      <c r="E18" s="6" t="s">
        <v>419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</row>
    <row r="19" s="1" customFormat="1" ht="14.25" hidden="1" spans="1:17">
      <c r="A19" s="1" t="str">
        <f>VLOOKUP(B19,combinate!A:B,2,FALSE)</f>
        <v>Group C</v>
      </c>
      <c r="B19" s="6">
        <v>233597984883</v>
      </c>
      <c r="C19" s="7">
        <v>7832538</v>
      </c>
      <c r="D19" s="8">
        <v>46163.0982523148</v>
      </c>
      <c r="E19" s="6" t="s">
        <v>419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</row>
    <row r="20" s="1" customFormat="1" ht="14.25" hidden="1" spans="1:17">
      <c r="A20" s="1" t="str">
        <f>VLOOKUP(B20,combinate!A:B,2,FALSE)</f>
        <v>Group A</v>
      </c>
      <c r="B20" s="6">
        <v>233591225910</v>
      </c>
      <c r="C20" s="7">
        <v>9321750</v>
      </c>
      <c r="D20" s="8">
        <v>46182.4959953704</v>
      </c>
      <c r="E20" s="9" t="s">
        <v>415</v>
      </c>
      <c r="F20" s="7">
        <v>53.41</v>
      </c>
      <c r="G20" s="7">
        <v>694.35</v>
      </c>
      <c r="H20" s="7">
        <v>1.4</v>
      </c>
      <c r="I20" s="7">
        <v>692.95</v>
      </c>
      <c r="J20" s="7">
        <v>1.4</v>
      </c>
      <c r="K20" s="7">
        <v>-54</v>
      </c>
      <c r="L20" s="7">
        <v>-4.05</v>
      </c>
      <c r="M20" s="7">
        <v>-52.6</v>
      </c>
      <c r="N20" s="7">
        <v>10.77</v>
      </c>
      <c r="O20" s="7">
        <v>140</v>
      </c>
      <c r="P20" s="7">
        <v>14.85</v>
      </c>
      <c r="Q20" s="7">
        <v>193</v>
      </c>
    </row>
    <row r="21" s="1" customFormat="1" ht="14.25" hidden="1" spans="1:17">
      <c r="A21" s="1" t="str">
        <f>VLOOKUP(B21,combinate!A:B,2,FALSE)</f>
        <v>Group A</v>
      </c>
      <c r="B21" s="6">
        <v>233556387444</v>
      </c>
      <c r="C21" s="7">
        <v>9623671</v>
      </c>
      <c r="D21" s="8">
        <v>46183.9050925926</v>
      </c>
      <c r="E21" s="9" t="s">
        <v>415</v>
      </c>
      <c r="F21" s="7">
        <v>103.26</v>
      </c>
      <c r="G21" s="7">
        <v>1342.34</v>
      </c>
      <c r="H21" s="7">
        <v>0</v>
      </c>
      <c r="I21" s="7">
        <v>1342.34</v>
      </c>
      <c r="J21" s="7">
        <v>0</v>
      </c>
      <c r="K21" s="7">
        <v>-451.48</v>
      </c>
      <c r="L21" s="7">
        <v>-34.73</v>
      </c>
      <c r="M21" s="7">
        <v>-451.48</v>
      </c>
      <c r="N21" s="7">
        <v>31.23</v>
      </c>
      <c r="O21" s="7">
        <v>406</v>
      </c>
      <c r="P21" s="7">
        <v>66</v>
      </c>
      <c r="Q21" s="7">
        <v>858</v>
      </c>
    </row>
    <row r="22" s="1" customFormat="1" ht="14.25" hidden="1" spans="1:17">
      <c r="A22" s="1" t="str">
        <f>VLOOKUP(B22,combinate!A:B,2,FALSE)</f>
        <v>Group A</v>
      </c>
      <c r="B22" s="6">
        <v>233555706110</v>
      </c>
      <c r="C22" s="7">
        <v>10027490</v>
      </c>
      <c r="D22" s="8">
        <v>46160.6029166667</v>
      </c>
      <c r="E22" s="6" t="s">
        <v>419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</row>
    <row r="23" s="1" customFormat="1" ht="14.25" hidden="1" spans="1:17">
      <c r="A23" s="1" t="str">
        <f>VLOOKUP(B23,combinate!A:B,2,FALSE)</f>
        <v>Group B</v>
      </c>
      <c r="B23" s="6">
        <v>233538787059</v>
      </c>
      <c r="C23" s="7">
        <v>14952293</v>
      </c>
      <c r="D23" s="8">
        <v>46183.3924305556</v>
      </c>
      <c r="E23" s="6" t="s">
        <v>419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</row>
    <row r="24" s="1" customFormat="1" ht="14.25" hidden="1" spans="1:17">
      <c r="A24" s="1" t="str">
        <f>VLOOKUP(B24,combinate!A:B,2,FALSE)</f>
        <v>Group C</v>
      </c>
      <c r="B24" s="6">
        <v>233532644248</v>
      </c>
      <c r="C24" s="7">
        <v>15882129</v>
      </c>
      <c r="D24" s="8">
        <v>46163.3769907407</v>
      </c>
      <c r="E24" s="6" t="s">
        <v>419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</row>
    <row r="25" s="1" customFormat="1" ht="14.25" hidden="1" spans="1:17">
      <c r="A25" s="1" t="str">
        <f>VLOOKUP(B25,combinate!A:B,2,FALSE)</f>
        <v>Group A</v>
      </c>
      <c r="B25" s="6">
        <v>233247247678</v>
      </c>
      <c r="C25" s="7">
        <v>16876812</v>
      </c>
      <c r="D25" s="8">
        <v>46162.0774421296</v>
      </c>
      <c r="E25" s="6" t="s">
        <v>419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</row>
    <row r="26" s="1" customFormat="1" ht="14.25" hidden="1" spans="1:17">
      <c r="A26" s="1" t="str">
        <f>VLOOKUP(B26,combinate!A:B,2,FALSE)</f>
        <v>Group A</v>
      </c>
      <c r="B26" s="6">
        <v>233531263528</v>
      </c>
      <c r="C26" s="7">
        <v>17359491</v>
      </c>
      <c r="D26" s="8">
        <v>46160.5977430556</v>
      </c>
      <c r="E26" s="6" t="s">
        <v>419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</row>
    <row r="27" s="1" customFormat="1" ht="14.25" hidden="1" spans="1:17">
      <c r="A27" s="1" t="str">
        <f>VLOOKUP(B27,combinate!A:B,2,FALSE)</f>
        <v>Group C</v>
      </c>
      <c r="B27" s="6">
        <v>233539282807</v>
      </c>
      <c r="C27" s="7">
        <v>17864468</v>
      </c>
      <c r="D27" s="8">
        <v>46160.4536689815</v>
      </c>
      <c r="E27" s="6" t="s">
        <v>419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</row>
    <row r="28" s="1" customFormat="1" ht="14.25" hidden="1" spans="1:17">
      <c r="A28" s="1" t="str">
        <f>VLOOKUP(B28,combinate!A:B,2,FALSE)</f>
        <v>Group C</v>
      </c>
      <c r="B28" s="6">
        <v>233543536942</v>
      </c>
      <c r="C28" s="7">
        <v>18018506</v>
      </c>
      <c r="D28" s="8">
        <v>46160.8668518519</v>
      </c>
      <c r="E28" s="6" t="s">
        <v>419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</row>
    <row r="29" s="1" customFormat="1" ht="14.25" hidden="1" spans="1:17">
      <c r="A29" s="1" t="str">
        <f>VLOOKUP(B29,combinate!A:B,2,FALSE)</f>
        <v>Group A</v>
      </c>
      <c r="B29" s="6">
        <v>233530876873</v>
      </c>
      <c r="C29" s="7">
        <v>18715910</v>
      </c>
      <c r="D29" s="8">
        <v>46166.2825810185</v>
      </c>
      <c r="E29" s="6" t="s">
        <v>419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</row>
    <row r="30" s="1" customFormat="1" ht="14.25" hidden="1" spans="1:17">
      <c r="A30" s="1" t="str">
        <f>VLOOKUP(B30,combinate!A:B,2,FALSE)</f>
        <v>Group A</v>
      </c>
      <c r="B30" s="6">
        <v>233256605971</v>
      </c>
      <c r="C30" s="7">
        <v>18959650</v>
      </c>
      <c r="D30" s="8">
        <v>46163.4846759259</v>
      </c>
      <c r="E30" s="6" t="s">
        <v>419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</row>
    <row r="31" s="1" customFormat="1" ht="14.25" hidden="1" spans="1:17">
      <c r="A31" s="1" t="str">
        <f>VLOOKUP(B31,combinate!A:B,2,FALSE)</f>
        <v>Group C</v>
      </c>
      <c r="B31" s="6">
        <v>233546812807</v>
      </c>
      <c r="C31" s="7">
        <v>19102897</v>
      </c>
      <c r="D31" s="8">
        <v>46163.9808912037</v>
      </c>
      <c r="E31" s="6" t="s">
        <v>419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</row>
    <row r="32" s="1" customFormat="1" ht="14.25" spans="1:17">
      <c r="A32" s="1" t="str">
        <f>VLOOKUP(B32,combinate!A:B,2,FALSE)</f>
        <v>Group A</v>
      </c>
      <c r="B32" s="6">
        <v>233598826679</v>
      </c>
      <c r="C32" s="7">
        <v>19660251</v>
      </c>
      <c r="D32" s="8">
        <v>46183.6831944444</v>
      </c>
      <c r="E32" s="9" t="s">
        <v>415</v>
      </c>
      <c r="F32" s="7">
        <v>5579.22</v>
      </c>
      <c r="G32" s="7">
        <v>72529.8</v>
      </c>
      <c r="H32" s="7">
        <v>0</v>
      </c>
      <c r="I32" s="7">
        <v>72529.8</v>
      </c>
      <c r="J32" s="7">
        <v>0</v>
      </c>
      <c r="K32" s="7">
        <v>12320.3</v>
      </c>
      <c r="L32" s="7">
        <v>947.72</v>
      </c>
      <c r="M32" s="7">
        <v>12320.3</v>
      </c>
      <c r="N32" s="7">
        <v>947.69</v>
      </c>
      <c r="O32" s="7">
        <v>12320</v>
      </c>
      <c r="P32" s="7">
        <v>0</v>
      </c>
      <c r="Q32" s="7">
        <v>0</v>
      </c>
    </row>
    <row r="33" s="1" customFormat="1" ht="14.25" hidden="1" spans="1:17">
      <c r="A33" s="1" t="str">
        <f>VLOOKUP(B33,combinate!A:B,2,FALSE)</f>
        <v>Group B</v>
      </c>
      <c r="B33" s="6">
        <v>233530789866</v>
      </c>
      <c r="C33" s="7">
        <v>20405435</v>
      </c>
      <c r="D33" s="8">
        <v>46162.3910300926</v>
      </c>
      <c r="E33" s="6" t="s">
        <v>419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</row>
    <row r="34" s="1" customFormat="1" ht="14.25" hidden="1" spans="1:17">
      <c r="A34" s="1" t="str">
        <f>VLOOKUP(B34,combinate!A:B,2,FALSE)</f>
        <v>Group C</v>
      </c>
      <c r="B34" s="6">
        <v>233591507141</v>
      </c>
      <c r="C34" s="7">
        <v>20600436</v>
      </c>
      <c r="D34" s="8">
        <v>46160.829224537</v>
      </c>
      <c r="E34" s="6" t="s">
        <v>419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</row>
    <row r="35" s="1" customFormat="1" ht="14.25" hidden="1" spans="1:17">
      <c r="A35" s="1" t="str">
        <f>VLOOKUP(B35,combinate!A:B,2,FALSE)</f>
        <v>Group A</v>
      </c>
      <c r="B35" s="6">
        <v>233535058461</v>
      </c>
      <c r="C35" s="7">
        <v>20817972</v>
      </c>
      <c r="D35" s="8">
        <v>46181.3958217593</v>
      </c>
      <c r="E35" s="6" t="s">
        <v>419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</row>
    <row r="36" s="1" customFormat="1" ht="14.25" hidden="1" spans="1:17">
      <c r="A36" s="1" t="str">
        <f>VLOOKUP(B36,combinate!A:B,2,FALSE)</f>
        <v>Group A</v>
      </c>
      <c r="B36" s="6">
        <v>233542704167</v>
      </c>
      <c r="C36" s="7">
        <v>20919950</v>
      </c>
      <c r="D36" s="8">
        <v>46160.782025463</v>
      </c>
      <c r="E36" s="6" t="s">
        <v>419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</row>
    <row r="37" s="1" customFormat="1" ht="14.25" hidden="1" spans="1:17">
      <c r="A37" s="1" t="str">
        <f>VLOOKUP(B37,combinate!A:B,2,FALSE)</f>
        <v>Group C</v>
      </c>
      <c r="B37" s="6">
        <v>233268593131</v>
      </c>
      <c r="C37" s="7">
        <v>21285139</v>
      </c>
      <c r="D37" s="8">
        <v>46178.332962963</v>
      </c>
      <c r="E37" s="9" t="s">
        <v>415</v>
      </c>
      <c r="F37" s="7">
        <v>0.02</v>
      </c>
      <c r="G37" s="7">
        <v>0.24</v>
      </c>
      <c r="H37" s="7">
        <v>0</v>
      </c>
      <c r="I37" s="7">
        <v>0.24</v>
      </c>
      <c r="J37" s="7">
        <v>0</v>
      </c>
      <c r="K37" s="7">
        <v>0.24</v>
      </c>
      <c r="L37" s="7">
        <v>0.02</v>
      </c>
      <c r="M37" s="7">
        <v>0.24</v>
      </c>
      <c r="N37" s="7">
        <v>0</v>
      </c>
      <c r="O37" s="7">
        <v>0</v>
      </c>
      <c r="P37" s="7">
        <v>0</v>
      </c>
      <c r="Q37" s="7">
        <v>0</v>
      </c>
    </row>
    <row r="38" s="1" customFormat="1" ht="14.25" hidden="1" spans="1:17">
      <c r="A38" s="1" t="str">
        <f>VLOOKUP(B38,combinate!A:B,2,FALSE)</f>
        <v>Group C</v>
      </c>
      <c r="B38" s="6">
        <v>233543254042</v>
      </c>
      <c r="C38" s="7">
        <v>21428526</v>
      </c>
      <c r="D38" s="8">
        <v>46161.3278819444</v>
      </c>
      <c r="E38" s="6" t="s">
        <v>419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</row>
    <row r="39" s="1" customFormat="1" ht="14.25" hidden="1" spans="1:17">
      <c r="A39" s="1" t="str">
        <f>VLOOKUP(B39,combinate!A:B,2,FALSE)</f>
        <v>Group C</v>
      </c>
      <c r="B39" s="6">
        <v>233549416655</v>
      </c>
      <c r="C39" s="7">
        <v>21451739</v>
      </c>
      <c r="D39" s="8">
        <v>46166.5491666667</v>
      </c>
      <c r="E39" s="6" t="s">
        <v>419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</row>
    <row r="40" s="1" customFormat="1" ht="14.25" hidden="1" spans="1:17">
      <c r="A40" s="1" t="str">
        <f>VLOOKUP(B40,combinate!A:B,2,FALSE)</f>
        <v>Group B</v>
      </c>
      <c r="B40" s="6">
        <v>233505415114</v>
      </c>
      <c r="C40" s="7">
        <v>21825435</v>
      </c>
      <c r="D40" s="8">
        <v>46183.8581365741</v>
      </c>
      <c r="E40" s="9" t="s">
        <v>415</v>
      </c>
      <c r="F40" s="7">
        <v>0.1</v>
      </c>
      <c r="G40" s="7">
        <v>1.35</v>
      </c>
      <c r="H40" s="7">
        <v>0</v>
      </c>
      <c r="I40" s="7">
        <v>1.35</v>
      </c>
      <c r="J40" s="7">
        <v>0</v>
      </c>
      <c r="K40" s="7">
        <v>1.35</v>
      </c>
      <c r="L40" s="7">
        <v>0.1</v>
      </c>
      <c r="M40" s="7">
        <v>1.35</v>
      </c>
      <c r="N40" s="7">
        <v>0.08</v>
      </c>
      <c r="O40" s="7">
        <v>1</v>
      </c>
      <c r="P40" s="7">
        <v>0</v>
      </c>
      <c r="Q40" s="7">
        <v>0</v>
      </c>
    </row>
    <row r="41" s="1" customFormat="1" ht="14.25" hidden="1" spans="1:17">
      <c r="A41" s="1" t="str">
        <f>VLOOKUP(B41,combinate!A:B,2,FALSE)</f>
        <v>Group C</v>
      </c>
      <c r="B41" s="6">
        <v>233557327139</v>
      </c>
      <c r="C41" s="7">
        <v>21840737</v>
      </c>
      <c r="D41" s="8">
        <v>46184.2470138889</v>
      </c>
      <c r="E41" s="9" t="s">
        <v>415</v>
      </c>
      <c r="F41" s="7">
        <v>11.18</v>
      </c>
      <c r="G41" s="7">
        <v>145.39</v>
      </c>
      <c r="H41" s="7">
        <v>0</v>
      </c>
      <c r="I41" s="7">
        <v>145.39</v>
      </c>
      <c r="J41" s="7">
        <v>0</v>
      </c>
      <c r="K41" s="7">
        <v>10.03</v>
      </c>
      <c r="L41" s="7">
        <v>0.77</v>
      </c>
      <c r="M41" s="7">
        <v>10.03</v>
      </c>
      <c r="N41" s="7">
        <v>1.54</v>
      </c>
      <c r="O41" s="7">
        <v>20</v>
      </c>
      <c r="P41" s="7">
        <v>6.92</v>
      </c>
      <c r="Q41" s="7">
        <v>90</v>
      </c>
    </row>
    <row r="42" s="1" customFormat="1" ht="14.25" spans="1:17">
      <c r="A42" s="1" t="str">
        <f>VLOOKUP(B42,combinate!A:B,2,FALSE)</f>
        <v>Group C</v>
      </c>
      <c r="B42" s="6">
        <v>233550882322</v>
      </c>
      <c r="C42" s="7">
        <v>21996776</v>
      </c>
      <c r="D42" s="8">
        <v>46184.0871643519</v>
      </c>
      <c r="E42" s="9" t="s">
        <v>415</v>
      </c>
      <c r="F42" s="7">
        <v>7443.55</v>
      </c>
      <c r="G42" s="7">
        <v>96766.15</v>
      </c>
      <c r="H42" s="7">
        <v>0</v>
      </c>
      <c r="I42" s="7">
        <v>96766.15</v>
      </c>
      <c r="J42" s="7">
        <v>0</v>
      </c>
      <c r="K42" s="7">
        <v>3386.76</v>
      </c>
      <c r="L42" s="7">
        <v>260.52</v>
      </c>
      <c r="M42" s="7">
        <v>3386.76</v>
      </c>
      <c r="N42" s="7">
        <v>1169.23</v>
      </c>
      <c r="O42" s="7">
        <v>15200</v>
      </c>
      <c r="P42" s="7">
        <v>1123.08</v>
      </c>
      <c r="Q42" s="7">
        <v>14600</v>
      </c>
    </row>
    <row r="43" s="1" customFormat="1" ht="14.25" hidden="1" spans="1:17">
      <c r="A43" s="1" t="str">
        <f>VLOOKUP(B43,combinate!A:B,2,FALSE)</f>
        <v>Group A</v>
      </c>
      <c r="B43" s="6">
        <v>233530794204</v>
      </c>
      <c r="C43" s="7">
        <v>22033622</v>
      </c>
      <c r="D43" s="8">
        <v>46161.4969097222</v>
      </c>
      <c r="E43" s="6" t="s">
        <v>419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</row>
    <row r="44" s="1" customFormat="1" ht="14.25" hidden="1" spans="1:17">
      <c r="A44" s="1" t="str">
        <f>VLOOKUP(B44,combinate!A:B,2,FALSE)</f>
        <v>Group A</v>
      </c>
      <c r="B44" s="6">
        <v>233538468651</v>
      </c>
      <c r="C44" s="7">
        <v>22068621</v>
      </c>
      <c r="D44" s="8">
        <v>46163.4905439815</v>
      </c>
      <c r="E44" s="6" t="s">
        <v>419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</row>
    <row r="45" s="1" customFormat="1" ht="14.25" hidden="1" spans="1:17">
      <c r="A45" s="1" t="str">
        <f>VLOOKUP(B45,combinate!A:B,2,FALSE)</f>
        <v>Group C</v>
      </c>
      <c r="B45" s="6">
        <v>233552788336</v>
      </c>
      <c r="C45" s="7">
        <v>22169459</v>
      </c>
      <c r="D45" s="8">
        <v>46166.6440972222</v>
      </c>
      <c r="E45" s="6" t="s">
        <v>419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</row>
    <row r="46" s="1" customFormat="1" ht="14.25" hidden="1" spans="1:17">
      <c r="A46" s="1" t="str">
        <f>VLOOKUP(B46,combinate!A:B,2,FALSE)</f>
        <v>Group C</v>
      </c>
      <c r="B46" s="6">
        <v>233205560620</v>
      </c>
      <c r="C46" s="7">
        <v>22246937</v>
      </c>
      <c r="D46" s="8">
        <v>46161.6854166667</v>
      </c>
      <c r="E46" s="6" t="s">
        <v>419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</row>
    <row r="47" s="1" customFormat="1" ht="14.25" hidden="1" spans="1:17">
      <c r="A47" s="1" t="str">
        <f>VLOOKUP(B47,combinate!A:B,2,FALSE)</f>
        <v>Group B</v>
      </c>
      <c r="B47" s="6">
        <v>233534478904</v>
      </c>
      <c r="C47" s="7">
        <v>22372504</v>
      </c>
      <c r="D47" s="8">
        <v>46166.4521990741</v>
      </c>
      <c r="E47" s="6" t="s">
        <v>419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</row>
    <row r="48" s="1" customFormat="1" ht="14.25" hidden="1" spans="1:17">
      <c r="A48" s="1" t="str">
        <f>VLOOKUP(B48,combinate!A:B,2,FALSE)</f>
        <v>Group B</v>
      </c>
      <c r="B48" s="6">
        <v>233201359579</v>
      </c>
      <c r="C48" s="7">
        <v>22400003</v>
      </c>
      <c r="D48" s="8">
        <v>46166.3496527778</v>
      </c>
      <c r="E48" s="6" t="s">
        <v>419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</row>
    <row r="49" s="1" customFormat="1" ht="14.25" hidden="1" spans="1:17">
      <c r="A49" s="1" t="str">
        <f>VLOOKUP(B49,combinate!A:B,2,FALSE)</f>
        <v>Group B</v>
      </c>
      <c r="B49" s="6">
        <v>233535142261</v>
      </c>
      <c r="C49" s="7">
        <v>22475074</v>
      </c>
      <c r="D49" s="8">
        <v>46177.6386342593</v>
      </c>
      <c r="E49" s="6" t="s">
        <v>419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</row>
    <row r="50" s="1" customFormat="1" ht="14.25" hidden="1" spans="1:17">
      <c r="A50" s="1" t="str">
        <f>VLOOKUP(B50,combinate!A:B,2,FALSE)</f>
        <v>Group A</v>
      </c>
      <c r="B50" s="6">
        <v>233247850749</v>
      </c>
      <c r="C50" s="7">
        <v>22478120</v>
      </c>
      <c r="D50" s="8">
        <v>46163.5287037037</v>
      </c>
      <c r="E50" s="6" t="s">
        <v>419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</row>
    <row r="51" s="1" customFormat="1" ht="14.25" hidden="1" spans="1:17">
      <c r="A51" s="1" t="str">
        <f>VLOOKUP(B51,combinate!A:B,2,FALSE)</f>
        <v>Group B</v>
      </c>
      <c r="B51" s="6">
        <v>233500340384</v>
      </c>
      <c r="C51" s="7">
        <v>22503005</v>
      </c>
      <c r="D51" s="8">
        <v>46183.972349537</v>
      </c>
      <c r="E51" s="9" t="s">
        <v>415</v>
      </c>
      <c r="F51" s="7">
        <v>478.92</v>
      </c>
      <c r="G51" s="7">
        <v>6225.94</v>
      </c>
      <c r="H51" s="7">
        <v>141</v>
      </c>
      <c r="I51" s="7">
        <v>6084.94</v>
      </c>
      <c r="J51" s="7">
        <v>-452.37</v>
      </c>
      <c r="K51" s="7">
        <v>-73.96</v>
      </c>
      <c r="L51" s="7">
        <v>-40.49</v>
      </c>
      <c r="M51" s="7">
        <v>-526.33</v>
      </c>
      <c r="N51" s="7">
        <v>66.15</v>
      </c>
      <c r="O51" s="7">
        <v>860</v>
      </c>
      <c r="P51" s="7">
        <v>117.08</v>
      </c>
      <c r="Q51" s="7">
        <v>1522</v>
      </c>
    </row>
    <row r="52" s="1" customFormat="1" ht="14.25" hidden="1" spans="1:17">
      <c r="A52" s="1" t="str">
        <f>VLOOKUP(B52,combinate!A:B,2,FALSE)</f>
        <v>Group C</v>
      </c>
      <c r="B52" s="6">
        <v>233592227720</v>
      </c>
      <c r="C52" s="7">
        <v>22540757</v>
      </c>
      <c r="D52" s="8">
        <v>46162.3787037037</v>
      </c>
      <c r="E52" s="6" t="s">
        <v>419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</row>
    <row r="53" s="1" customFormat="1" ht="14.25" hidden="1" spans="1:17">
      <c r="A53" s="1" t="str">
        <f>VLOOKUP(B53,combinate!A:B,2,FALSE)</f>
        <v>Group B</v>
      </c>
      <c r="B53" s="6">
        <v>233200954039</v>
      </c>
      <c r="C53" s="7">
        <v>22616565</v>
      </c>
      <c r="D53" s="8">
        <v>46179.8190509259</v>
      </c>
      <c r="E53" s="9" t="s">
        <v>415</v>
      </c>
      <c r="F53" s="7">
        <v>7.61</v>
      </c>
      <c r="G53" s="7">
        <v>98.91</v>
      </c>
      <c r="H53" s="7">
        <v>0</v>
      </c>
      <c r="I53" s="7">
        <v>98.91</v>
      </c>
      <c r="J53" s="7">
        <v>0</v>
      </c>
      <c r="K53" s="7">
        <v>78.08</v>
      </c>
      <c r="L53" s="7">
        <v>6.01</v>
      </c>
      <c r="M53" s="7">
        <v>78.08</v>
      </c>
      <c r="N53" s="7">
        <v>3.85</v>
      </c>
      <c r="O53" s="7">
        <v>50</v>
      </c>
      <c r="P53" s="7">
        <v>0</v>
      </c>
      <c r="Q53" s="7">
        <v>0</v>
      </c>
    </row>
    <row r="54" s="1" customFormat="1" ht="14.25" hidden="1" spans="1:17">
      <c r="A54" s="1" t="str">
        <f>VLOOKUP(B54,combinate!A:B,2,FALSE)</f>
        <v>Group B</v>
      </c>
      <c r="B54" s="6">
        <v>233552532803</v>
      </c>
      <c r="C54" s="7">
        <v>22617023</v>
      </c>
      <c r="D54" s="8">
        <v>46179.8183333333</v>
      </c>
      <c r="E54" s="9" t="s">
        <v>415</v>
      </c>
      <c r="F54" s="7">
        <v>0.02</v>
      </c>
      <c r="G54" s="7">
        <v>0.2</v>
      </c>
      <c r="H54" s="7">
        <v>0</v>
      </c>
      <c r="I54" s="7">
        <v>0.2</v>
      </c>
      <c r="J54" s="7">
        <v>0</v>
      </c>
      <c r="K54" s="7">
        <v>0.2</v>
      </c>
      <c r="L54" s="7">
        <v>0.02</v>
      </c>
      <c r="M54" s="7">
        <v>0.2</v>
      </c>
      <c r="N54" s="7">
        <v>0</v>
      </c>
      <c r="O54" s="7">
        <v>0</v>
      </c>
      <c r="P54" s="7">
        <v>0</v>
      </c>
      <c r="Q54" s="7">
        <v>0</v>
      </c>
    </row>
    <row r="55" s="1" customFormat="1" ht="14.25" hidden="1" spans="1:17">
      <c r="A55" s="1" t="str">
        <f>VLOOKUP(B55,combinate!A:B,2,FALSE)</f>
        <v>Group C</v>
      </c>
      <c r="B55" s="6">
        <v>233533329135</v>
      </c>
      <c r="C55" s="7">
        <v>22622806</v>
      </c>
      <c r="D55" s="8">
        <v>46183.8000462963</v>
      </c>
      <c r="E55" s="9" t="s">
        <v>415</v>
      </c>
      <c r="F55" s="7">
        <v>736.42</v>
      </c>
      <c r="G55" s="7">
        <v>9573.5</v>
      </c>
      <c r="H55" s="7">
        <v>0</v>
      </c>
      <c r="I55" s="7">
        <v>9573.5</v>
      </c>
      <c r="J55" s="7">
        <v>0</v>
      </c>
      <c r="K55" s="7">
        <v>-123.92</v>
      </c>
      <c r="L55" s="7">
        <v>-9.53</v>
      </c>
      <c r="M55" s="7">
        <v>-123.92</v>
      </c>
      <c r="N55" s="7">
        <v>141.54</v>
      </c>
      <c r="O55" s="7">
        <v>1840</v>
      </c>
      <c r="P55" s="7">
        <v>151.38</v>
      </c>
      <c r="Q55" s="7">
        <v>1968</v>
      </c>
    </row>
    <row r="56" s="1" customFormat="1" ht="14.25" hidden="1" spans="1:17">
      <c r="A56" s="1" t="str">
        <f>VLOOKUP(B56,combinate!A:B,2,FALSE)</f>
        <v>Group B</v>
      </c>
      <c r="B56" s="6">
        <v>233530151142</v>
      </c>
      <c r="C56" s="7">
        <v>22636405</v>
      </c>
      <c r="D56" s="8">
        <v>46161.5825578704</v>
      </c>
      <c r="E56" s="6" t="s">
        <v>419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</row>
    <row r="57" s="1" customFormat="1" ht="14.25" hidden="1" spans="1:17">
      <c r="A57" s="1" t="str">
        <f>VLOOKUP(B57,combinate!A:B,2,FALSE)</f>
        <v>Group C</v>
      </c>
      <c r="B57" s="6">
        <v>233555949923</v>
      </c>
      <c r="C57" s="7">
        <v>22752429</v>
      </c>
      <c r="D57" s="8">
        <v>46183.4437962963</v>
      </c>
      <c r="E57" s="9" t="s">
        <v>415</v>
      </c>
      <c r="F57" s="7">
        <v>0.03</v>
      </c>
      <c r="G57" s="7">
        <v>0.35</v>
      </c>
      <c r="H57" s="7">
        <v>0</v>
      </c>
      <c r="I57" s="7">
        <v>0.35</v>
      </c>
      <c r="J57" s="7">
        <v>0</v>
      </c>
      <c r="K57" s="7">
        <v>0.35</v>
      </c>
      <c r="L57" s="7">
        <v>0.03</v>
      </c>
      <c r="M57" s="7">
        <v>0.35</v>
      </c>
      <c r="N57" s="7">
        <v>0</v>
      </c>
      <c r="O57" s="7">
        <v>0</v>
      </c>
      <c r="P57" s="7">
        <v>0</v>
      </c>
      <c r="Q57" s="7">
        <v>0</v>
      </c>
    </row>
    <row r="58" s="1" customFormat="1" ht="14.25" hidden="1" spans="1:17">
      <c r="A58" s="1" t="str">
        <f>VLOOKUP(B58,combinate!A:B,2,FALSE)</f>
        <v>Group A</v>
      </c>
      <c r="B58" s="6">
        <v>233506502760</v>
      </c>
      <c r="C58" s="7">
        <v>22843761</v>
      </c>
      <c r="D58" s="8">
        <v>46166.8302083333</v>
      </c>
      <c r="E58" s="6" t="s">
        <v>419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</row>
    <row r="59" s="1" customFormat="1" ht="14.25" hidden="1" spans="1:17">
      <c r="A59" s="1" t="str">
        <f>VLOOKUP(B59,combinate!A:B,2,FALSE)</f>
        <v>Group C</v>
      </c>
      <c r="B59" s="6">
        <v>233536829880</v>
      </c>
      <c r="C59" s="7">
        <v>22873957</v>
      </c>
      <c r="D59" s="8">
        <v>46160.7776851852</v>
      </c>
      <c r="E59" s="6" t="s">
        <v>419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</row>
    <row r="60" s="1" customFormat="1" ht="14.25" hidden="1" spans="1:17">
      <c r="A60" s="1" t="str">
        <f>VLOOKUP(B60,combinate!A:B,2,FALSE)</f>
        <v>Group C</v>
      </c>
      <c r="B60" s="6">
        <v>233551196817</v>
      </c>
      <c r="C60" s="7">
        <v>8079619</v>
      </c>
      <c r="D60" s="8">
        <v>46179.8032175926</v>
      </c>
      <c r="E60" s="9" t="s">
        <v>415</v>
      </c>
      <c r="F60" s="7">
        <v>1.08</v>
      </c>
      <c r="G60" s="7">
        <v>14</v>
      </c>
      <c r="H60" s="7">
        <v>0</v>
      </c>
      <c r="I60" s="7">
        <v>14</v>
      </c>
      <c r="J60" s="7">
        <v>0</v>
      </c>
      <c r="K60" s="7">
        <v>14</v>
      </c>
      <c r="L60" s="7">
        <v>1.08</v>
      </c>
      <c r="M60" s="7">
        <v>14</v>
      </c>
      <c r="N60" s="7">
        <v>1.08</v>
      </c>
      <c r="O60" s="7">
        <v>14</v>
      </c>
      <c r="P60" s="7">
        <v>0</v>
      </c>
      <c r="Q60" s="7">
        <v>0</v>
      </c>
    </row>
    <row r="61" s="1" customFormat="1" ht="14.25" hidden="1" spans="1:17">
      <c r="A61" s="1" t="str">
        <f>VLOOKUP(B61,combinate!A:B,2,FALSE)</f>
        <v>Group A</v>
      </c>
      <c r="B61" s="6">
        <v>233500244589</v>
      </c>
      <c r="C61" s="7">
        <v>10634700</v>
      </c>
      <c r="D61" s="8">
        <v>46161.429849537</v>
      </c>
      <c r="E61" s="6" t="s">
        <v>419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</row>
    <row r="62" s="1" customFormat="1" ht="14.25" hidden="1" spans="1:17">
      <c r="A62" s="1" t="str">
        <f>VLOOKUP(B62,combinate!A:B,2,FALSE)</f>
        <v>Group C</v>
      </c>
      <c r="B62" s="6">
        <v>233534773719</v>
      </c>
      <c r="C62" s="7">
        <v>13635959</v>
      </c>
      <c r="D62" s="8">
        <v>46163.7868171296</v>
      </c>
      <c r="E62" s="6" t="s">
        <v>419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</row>
    <row r="63" s="1" customFormat="1" ht="14.25" hidden="1" spans="1:17">
      <c r="A63" s="1" t="str">
        <f>VLOOKUP(B63,combinate!A:B,2,FALSE)</f>
        <v>Group B</v>
      </c>
      <c r="B63" s="6">
        <v>233592698408</v>
      </c>
      <c r="C63" s="7">
        <v>14108564</v>
      </c>
      <c r="D63" s="8">
        <v>46181.9243055556</v>
      </c>
      <c r="E63" s="9" t="s">
        <v>415</v>
      </c>
      <c r="F63" s="7">
        <v>97.19</v>
      </c>
      <c r="G63" s="7">
        <v>1263.48</v>
      </c>
      <c r="H63" s="7">
        <v>1</v>
      </c>
      <c r="I63" s="7">
        <v>1262.48</v>
      </c>
      <c r="J63" s="7">
        <v>1</v>
      </c>
      <c r="K63" s="7">
        <v>54.49</v>
      </c>
      <c r="L63" s="7">
        <v>4.27</v>
      </c>
      <c r="M63" s="7">
        <v>55.49</v>
      </c>
      <c r="N63" s="7">
        <v>35</v>
      </c>
      <c r="O63" s="7">
        <v>455</v>
      </c>
      <c r="P63" s="7">
        <v>31.15</v>
      </c>
      <c r="Q63" s="7">
        <v>405</v>
      </c>
    </row>
    <row r="64" s="1" customFormat="1" ht="14.25" hidden="1" spans="1:17">
      <c r="A64" s="1" t="str">
        <f>VLOOKUP(B64,combinate!A:B,2,FALSE)</f>
        <v>Group C</v>
      </c>
      <c r="B64" s="6">
        <v>233537768417</v>
      </c>
      <c r="C64" s="7">
        <v>17173126</v>
      </c>
      <c r="D64" s="8">
        <v>46161.7783912037</v>
      </c>
      <c r="E64" s="6" t="s">
        <v>419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</row>
    <row r="65" s="1" customFormat="1" ht="14.25" hidden="1" spans="1:17">
      <c r="A65" s="1" t="str">
        <f>VLOOKUP(B65,combinate!A:B,2,FALSE)</f>
        <v>Group A</v>
      </c>
      <c r="B65" s="6">
        <v>233246278056</v>
      </c>
      <c r="C65" s="7">
        <v>17731132</v>
      </c>
      <c r="D65" s="8">
        <v>46163.4476967593</v>
      </c>
      <c r="E65" s="6" t="s">
        <v>419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</row>
    <row r="66" s="1" customFormat="1" ht="14.25" hidden="1" spans="1:17">
      <c r="A66" s="1" t="str">
        <f>VLOOKUP(B66,combinate!A:B,2,FALSE)</f>
        <v>Group B</v>
      </c>
      <c r="B66" s="6">
        <v>233555763867</v>
      </c>
      <c r="C66" s="7">
        <v>17983514</v>
      </c>
      <c r="D66" s="8">
        <v>46166.8953009259</v>
      </c>
      <c r="E66" s="6" t="s">
        <v>419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</row>
    <row r="67" s="1" customFormat="1" ht="14.25" hidden="1" spans="1:17">
      <c r="A67" s="1" t="str">
        <f>VLOOKUP(B67,combinate!A:B,2,FALSE)</f>
        <v>Group B</v>
      </c>
      <c r="B67" s="6">
        <v>233542168939</v>
      </c>
      <c r="C67" s="7">
        <v>18333044</v>
      </c>
      <c r="D67" s="8">
        <v>46166.3327430556</v>
      </c>
      <c r="E67" s="6" t="s">
        <v>419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</row>
    <row r="68" s="1" customFormat="1" ht="14.25" spans="1:17">
      <c r="A68" s="1" t="str">
        <f>VLOOKUP(B68,combinate!A:B,2,FALSE)</f>
        <v>Group A</v>
      </c>
      <c r="B68" s="6">
        <v>233531781196</v>
      </c>
      <c r="C68" s="7">
        <v>18736972</v>
      </c>
      <c r="D68" s="8">
        <v>46183.7012037037</v>
      </c>
      <c r="E68" s="9" t="s">
        <v>415</v>
      </c>
      <c r="F68" s="7">
        <v>9196.06</v>
      </c>
      <c r="G68" s="7">
        <v>119548.81</v>
      </c>
      <c r="H68" s="7">
        <v>1</v>
      </c>
      <c r="I68" s="7">
        <v>119547.81</v>
      </c>
      <c r="J68" s="7">
        <v>1</v>
      </c>
      <c r="K68" s="7">
        <v>2751.15</v>
      </c>
      <c r="L68" s="7">
        <v>211.7</v>
      </c>
      <c r="M68" s="7">
        <v>2752.15</v>
      </c>
      <c r="N68" s="7">
        <v>585.46</v>
      </c>
      <c r="O68" s="7">
        <v>7611</v>
      </c>
      <c r="P68" s="7">
        <v>373.77</v>
      </c>
      <c r="Q68" s="7">
        <v>4859</v>
      </c>
    </row>
    <row r="69" s="1" customFormat="1" ht="14.25" hidden="1" spans="1:17">
      <c r="A69" s="1" t="str">
        <f>VLOOKUP(B69,combinate!A:B,2,FALSE)</f>
        <v>Group A</v>
      </c>
      <c r="B69" s="6">
        <v>233244893284</v>
      </c>
      <c r="C69" s="7">
        <v>18935441</v>
      </c>
      <c r="D69" s="8">
        <v>46160.4015509259</v>
      </c>
      <c r="E69" s="6" t="s">
        <v>419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</row>
    <row r="70" s="1" customFormat="1" ht="14.25" hidden="1" spans="1:17">
      <c r="A70" s="1" t="str">
        <f>VLOOKUP(B70,combinate!A:B,2,FALSE)</f>
        <v>Group C</v>
      </c>
      <c r="B70" s="6">
        <v>233533874821</v>
      </c>
      <c r="C70" s="7">
        <v>19027206</v>
      </c>
      <c r="D70" s="8">
        <v>46161.8857060185</v>
      </c>
      <c r="E70" s="6" t="s">
        <v>419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</row>
    <row r="71" s="1" customFormat="1" ht="14.25" hidden="1" spans="1:17">
      <c r="A71" s="1" t="str">
        <f>VLOOKUP(B71,combinate!A:B,2,FALSE)</f>
        <v>Group A</v>
      </c>
      <c r="B71" s="6">
        <v>233256304920</v>
      </c>
      <c r="C71" s="7">
        <v>19175361</v>
      </c>
      <c r="D71" s="8">
        <v>46162.8370833333</v>
      </c>
      <c r="E71" s="6" t="s">
        <v>419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</row>
    <row r="72" s="1" customFormat="1" ht="14.25" hidden="1" spans="1:17">
      <c r="A72" s="1" t="str">
        <f>VLOOKUP(B72,combinate!A:B,2,FALSE)</f>
        <v>Group A</v>
      </c>
      <c r="B72" s="6">
        <v>233599686769</v>
      </c>
      <c r="C72" s="7">
        <v>19778282</v>
      </c>
      <c r="D72" s="8">
        <v>46160.4826273148</v>
      </c>
      <c r="E72" s="6" t="s">
        <v>419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</row>
    <row r="73" s="1" customFormat="1" ht="14.25" hidden="1" spans="1:17">
      <c r="A73" s="1" t="str">
        <f>VLOOKUP(B73,combinate!A:B,2,FALSE)</f>
        <v>Group B</v>
      </c>
      <c r="B73" s="6">
        <v>233594177677</v>
      </c>
      <c r="C73" s="7">
        <v>19917533</v>
      </c>
      <c r="D73" s="8">
        <v>46160.8826273148</v>
      </c>
      <c r="E73" s="6" t="s">
        <v>419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</row>
    <row r="74" s="1" customFormat="1" ht="14.25" hidden="1" spans="1:17">
      <c r="A74" s="1" t="str">
        <f>VLOOKUP(B74,combinate!A:B,2,FALSE)</f>
        <v>Group C</v>
      </c>
      <c r="B74" s="6">
        <v>233559761869</v>
      </c>
      <c r="C74" s="7">
        <v>20180769</v>
      </c>
      <c r="D74" s="8">
        <v>46180.2975115741</v>
      </c>
      <c r="E74" s="9" t="s">
        <v>415</v>
      </c>
      <c r="F74" s="7">
        <v>0.01</v>
      </c>
      <c r="G74" s="7">
        <v>0.17</v>
      </c>
      <c r="H74" s="7">
        <v>0</v>
      </c>
      <c r="I74" s="7">
        <v>0.17</v>
      </c>
      <c r="J74" s="7">
        <v>0</v>
      </c>
      <c r="K74" s="7">
        <v>0.17</v>
      </c>
      <c r="L74" s="7">
        <v>0.01</v>
      </c>
      <c r="M74" s="7">
        <v>0.17</v>
      </c>
      <c r="N74" s="7">
        <v>0</v>
      </c>
      <c r="O74" s="7">
        <v>0</v>
      </c>
      <c r="P74" s="7">
        <v>0</v>
      </c>
      <c r="Q74" s="7">
        <v>0</v>
      </c>
    </row>
    <row r="75" s="1" customFormat="1" ht="14.25" hidden="1" spans="1:17">
      <c r="A75" s="1" t="str">
        <f>VLOOKUP(B75,combinate!A:B,2,FALSE)</f>
        <v>Group C</v>
      </c>
      <c r="B75" s="6">
        <v>233279862324</v>
      </c>
      <c r="C75" s="7">
        <v>20414886</v>
      </c>
      <c r="D75" s="8">
        <v>46166.7303819444</v>
      </c>
      <c r="E75" s="6" t="s">
        <v>419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</row>
    <row r="76" s="1" customFormat="1" ht="14.25" hidden="1" spans="1:17">
      <c r="A76" s="1" t="str">
        <f>VLOOKUP(B76,combinate!A:B,2,FALSE)</f>
        <v>Group B</v>
      </c>
      <c r="B76" s="6">
        <v>233244845722</v>
      </c>
      <c r="C76" s="7">
        <v>5015133</v>
      </c>
      <c r="D76" s="8">
        <v>46166.8422916667</v>
      </c>
      <c r="E76" s="6" t="s">
        <v>419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</row>
    <row r="77" s="1" customFormat="1" ht="14.25" hidden="1" spans="1:17">
      <c r="A77" s="1" t="str">
        <f>VLOOKUP(B77,combinate!A:B,2,FALSE)</f>
        <v>Group B</v>
      </c>
      <c r="B77" s="6">
        <v>233243686986</v>
      </c>
      <c r="C77" s="7">
        <v>10718495</v>
      </c>
      <c r="D77" s="8">
        <v>46178.1777430556</v>
      </c>
      <c r="E77" s="6" t="s">
        <v>419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</row>
    <row r="78" s="1" customFormat="1" ht="14.25" hidden="1" spans="1:17">
      <c r="A78" s="1" t="str">
        <f>VLOOKUP(B78,combinate!A:B,2,FALSE)</f>
        <v>Group B</v>
      </c>
      <c r="B78" s="6">
        <v>233202438559</v>
      </c>
      <c r="C78" s="7">
        <v>11300113</v>
      </c>
      <c r="D78" s="8">
        <v>46166.5537152778</v>
      </c>
      <c r="E78" s="6" t="s">
        <v>419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</row>
    <row r="79" s="1" customFormat="1" ht="14.25" hidden="1" spans="1:17">
      <c r="A79" s="1" t="str">
        <f>VLOOKUP(B79,combinate!A:B,2,FALSE)</f>
        <v>Group C</v>
      </c>
      <c r="B79" s="6">
        <v>233537471145</v>
      </c>
      <c r="C79" s="7">
        <v>13476187</v>
      </c>
      <c r="D79" s="8">
        <v>46163.8573032407</v>
      </c>
      <c r="E79" s="6" t="s">
        <v>419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</row>
    <row r="80" s="1" customFormat="1" ht="14.25" hidden="1" spans="1:17">
      <c r="A80" s="1" t="str">
        <f>VLOOKUP(B80,combinate!A:B,2,FALSE)</f>
        <v>Group C</v>
      </c>
      <c r="B80" s="6">
        <v>233544817618</v>
      </c>
      <c r="C80" s="7">
        <v>14844666</v>
      </c>
      <c r="D80" s="8">
        <v>46160.8640509259</v>
      </c>
      <c r="E80" s="6" t="s">
        <v>419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</row>
    <row r="81" s="1" customFormat="1" ht="14.25" hidden="1" spans="1:17">
      <c r="A81" s="1" t="str">
        <f>VLOOKUP(B81,combinate!A:B,2,FALSE)</f>
        <v>Group C</v>
      </c>
      <c r="B81" s="6">
        <v>233242734542</v>
      </c>
      <c r="C81" s="7">
        <v>15234739</v>
      </c>
      <c r="D81" s="8">
        <v>46161.1965740741</v>
      </c>
      <c r="E81" s="6" t="s">
        <v>419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</row>
    <row r="82" s="1" customFormat="1" ht="14.25" hidden="1" spans="1:17">
      <c r="A82" s="1" t="str">
        <f>VLOOKUP(B82,combinate!A:B,2,FALSE)</f>
        <v>Group B</v>
      </c>
      <c r="B82" s="6">
        <v>233538672775</v>
      </c>
      <c r="C82" s="7">
        <v>16729775</v>
      </c>
      <c r="D82" s="8">
        <v>46177.7357291667</v>
      </c>
      <c r="E82" s="6" t="s">
        <v>419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</row>
    <row r="83" s="1" customFormat="1" ht="14.25" hidden="1" spans="1:17">
      <c r="A83" s="1" t="str">
        <f>VLOOKUP(B83,combinate!A:B,2,FALSE)</f>
        <v>Group C</v>
      </c>
      <c r="B83" s="6">
        <v>233507173284</v>
      </c>
      <c r="C83" s="7">
        <v>16731807</v>
      </c>
      <c r="D83" s="8">
        <v>46162.3935416667</v>
      </c>
      <c r="E83" s="6" t="s">
        <v>419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</row>
    <row r="84" s="1" customFormat="1" ht="14.25" hidden="1" spans="1:17">
      <c r="A84" s="1" t="str">
        <f>VLOOKUP(B84,combinate!A:B,2,FALSE)</f>
        <v>Group C</v>
      </c>
      <c r="B84" s="6">
        <v>233247080842</v>
      </c>
      <c r="C84" s="7">
        <v>17065379</v>
      </c>
      <c r="D84" s="8">
        <v>46161.8732638889</v>
      </c>
      <c r="E84" s="6" t="s">
        <v>419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</row>
    <row r="85" s="1" customFormat="1" ht="14.25" hidden="1" spans="1:17">
      <c r="A85" s="1" t="str">
        <f>VLOOKUP(B85,combinate!A:B,2,FALSE)</f>
        <v>Group C</v>
      </c>
      <c r="B85" s="6">
        <v>233533943171</v>
      </c>
      <c r="C85" s="7">
        <v>17394317</v>
      </c>
      <c r="D85" s="8">
        <v>46161.1529166667</v>
      </c>
      <c r="E85" s="6" t="s">
        <v>419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</row>
    <row r="86" s="1" customFormat="1" ht="14.25" hidden="1" spans="1:17">
      <c r="A86" s="1" t="str">
        <f>VLOOKUP(B86,combinate!A:B,2,FALSE)</f>
        <v>Group B</v>
      </c>
      <c r="B86" s="6">
        <v>233246936676</v>
      </c>
      <c r="C86" s="7">
        <v>18495305</v>
      </c>
      <c r="D86" s="8">
        <v>46184.1930555556</v>
      </c>
      <c r="E86" s="6" t="s">
        <v>419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</row>
    <row r="87" s="1" customFormat="1" ht="14.25" hidden="1" spans="1:17">
      <c r="A87" s="1" t="str">
        <f>VLOOKUP(B87,combinate!A:B,2,FALSE)</f>
        <v>Group A</v>
      </c>
      <c r="B87" s="6">
        <v>233505517369</v>
      </c>
      <c r="C87" s="7">
        <v>18696980</v>
      </c>
      <c r="D87" s="8">
        <v>46162.1116319444</v>
      </c>
      <c r="E87" s="6" t="s">
        <v>419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</row>
    <row r="88" s="1" customFormat="1" ht="14.25" hidden="1" spans="1:17">
      <c r="A88" s="1" t="str">
        <f>VLOOKUP(B88,combinate!A:B,2,FALSE)</f>
        <v>Group A</v>
      </c>
      <c r="B88" s="6">
        <v>233594085826</v>
      </c>
      <c r="C88" s="7">
        <v>18720280</v>
      </c>
      <c r="D88" s="8">
        <v>46166.8272106481</v>
      </c>
      <c r="E88" s="6" t="s">
        <v>419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</row>
    <row r="89" s="1" customFormat="1" ht="14.25" hidden="1" spans="1:17">
      <c r="A89" s="1" t="str">
        <f>VLOOKUP(B89,combinate!A:B,2,FALSE)</f>
        <v>Group C</v>
      </c>
      <c r="B89" s="6">
        <v>233547968425</v>
      </c>
      <c r="C89" s="7">
        <v>19543429</v>
      </c>
      <c r="D89" s="8">
        <v>46163.3083217593</v>
      </c>
      <c r="E89" s="6" t="s">
        <v>419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</row>
    <row r="90" s="1" customFormat="1" ht="14.25" hidden="1" spans="1:17">
      <c r="A90" s="1" t="str">
        <f>VLOOKUP(B90,combinate!A:B,2,FALSE)</f>
        <v>Group C</v>
      </c>
      <c r="B90" s="6">
        <v>233535995394</v>
      </c>
      <c r="C90" s="7">
        <v>19557939</v>
      </c>
      <c r="D90" s="8">
        <v>46178.7826041667</v>
      </c>
      <c r="E90" s="6" t="s">
        <v>419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</row>
    <row r="91" s="1" customFormat="1" ht="14.25" hidden="1" spans="1:17">
      <c r="A91" s="1" t="str">
        <f>VLOOKUP(B91,combinate!A:B,2,FALSE)</f>
        <v>Group A</v>
      </c>
      <c r="B91" s="6">
        <v>233245616781</v>
      </c>
      <c r="C91" s="7">
        <v>19631921</v>
      </c>
      <c r="D91" s="8">
        <v>46160.4504050926</v>
      </c>
      <c r="E91" s="6" t="s">
        <v>419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</row>
    <row r="92" s="1" customFormat="1" ht="14.25" hidden="1" spans="1:17">
      <c r="A92" s="1" t="str">
        <f>VLOOKUP(B92,combinate!A:B,2,FALSE)</f>
        <v>Group C</v>
      </c>
      <c r="B92" s="6">
        <v>233243627795</v>
      </c>
      <c r="C92" s="7">
        <v>20003449</v>
      </c>
      <c r="D92" s="8">
        <v>46162.2459027778</v>
      </c>
      <c r="E92" s="6" t="s">
        <v>419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</row>
    <row r="93" s="1" customFormat="1" ht="14.25" hidden="1" spans="1:17">
      <c r="A93" s="1" t="str">
        <f>VLOOKUP(B93,combinate!A:B,2,FALSE)</f>
        <v>Group B</v>
      </c>
      <c r="B93" s="6">
        <v>233533362272</v>
      </c>
      <c r="C93" s="7">
        <v>20838455</v>
      </c>
      <c r="D93" s="8">
        <v>46166.6427083333</v>
      </c>
      <c r="E93" s="6" t="s">
        <v>419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</row>
    <row r="94" s="1" customFormat="1" ht="14.25" hidden="1" spans="1:17">
      <c r="A94" s="1" t="str">
        <f>VLOOKUP(B94,combinate!A:B,2,FALSE)</f>
        <v>Group A</v>
      </c>
      <c r="B94" s="6">
        <v>233531138233</v>
      </c>
      <c r="C94" s="7">
        <v>20948881</v>
      </c>
      <c r="D94" s="8">
        <v>46166.5833449074</v>
      </c>
      <c r="E94" s="6" t="s">
        <v>419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</row>
    <row r="95" s="1" customFormat="1" ht="14.25" hidden="1" spans="1:17">
      <c r="A95" s="1" t="str">
        <f>VLOOKUP(B95,combinate!A:B,2,FALSE)</f>
        <v>Group C</v>
      </c>
      <c r="B95" s="6">
        <v>233539959089</v>
      </c>
      <c r="C95" s="7">
        <v>20982807</v>
      </c>
      <c r="D95" s="8">
        <v>46163.7975462963</v>
      </c>
      <c r="E95" s="6" t="s">
        <v>419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</row>
    <row r="96" s="1" customFormat="1" ht="14.25" hidden="1" spans="1:17">
      <c r="A96" s="1" t="str">
        <f>VLOOKUP(B96,combinate!A:B,2,FALSE)</f>
        <v>Group C</v>
      </c>
      <c r="B96" s="6">
        <v>233536407070</v>
      </c>
      <c r="C96" s="7">
        <v>21062669</v>
      </c>
      <c r="D96" s="8">
        <v>46163.9645717593</v>
      </c>
      <c r="E96" s="6" t="s">
        <v>419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</row>
    <row r="97" s="1" customFormat="1" ht="14.25" hidden="1" spans="1:17">
      <c r="A97" s="1" t="str">
        <f>VLOOKUP(B97,combinate!A:B,2,FALSE)</f>
        <v>Group C</v>
      </c>
      <c r="B97" s="6">
        <v>233507375778</v>
      </c>
      <c r="C97" s="7">
        <v>21330248</v>
      </c>
      <c r="D97" s="8">
        <v>46166.7130671296</v>
      </c>
      <c r="E97" s="6" t="s">
        <v>419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</row>
    <row r="98" s="1" customFormat="1" ht="14.25" hidden="1" spans="1:17">
      <c r="A98" s="1" t="str">
        <f>VLOOKUP(B98,combinate!A:B,2,FALSE)</f>
        <v>Group B</v>
      </c>
      <c r="B98" s="6">
        <v>233201350455</v>
      </c>
      <c r="C98" s="7">
        <v>21363744</v>
      </c>
      <c r="D98" s="8">
        <v>46162.4238078704</v>
      </c>
      <c r="E98" s="6" t="s">
        <v>419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</row>
    <row r="99" s="1" customFormat="1" ht="14.25" hidden="1" spans="1:17">
      <c r="A99" s="1" t="str">
        <f>VLOOKUP(B99,combinate!A:B,2,FALSE)</f>
        <v>Group A</v>
      </c>
      <c r="B99" s="6">
        <v>233537704967</v>
      </c>
      <c r="C99" s="7">
        <v>21642371</v>
      </c>
      <c r="D99" s="8">
        <v>46166.7670138889</v>
      </c>
      <c r="E99" s="6" t="s">
        <v>419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</row>
    <row r="100" s="1" customFormat="1" ht="14.25" hidden="1" spans="1:17">
      <c r="A100" s="1" t="str">
        <f>VLOOKUP(B100,combinate!A:B,2,FALSE)</f>
        <v>Group C</v>
      </c>
      <c r="B100" s="6">
        <v>233549007527</v>
      </c>
      <c r="C100" s="7">
        <v>21726036</v>
      </c>
      <c r="D100" s="8">
        <v>46179.4082638889</v>
      </c>
      <c r="E100" s="6" t="s">
        <v>419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</row>
    <row r="101" s="1" customFormat="1" ht="14.25" hidden="1" spans="1:17">
      <c r="A101" s="1" t="str">
        <f>VLOOKUP(B101,combinate!A:B,2,FALSE)</f>
        <v>Group C</v>
      </c>
      <c r="B101" s="6">
        <v>233549189045</v>
      </c>
      <c r="C101" s="7">
        <v>21841129</v>
      </c>
      <c r="D101" s="8">
        <v>46162.5045486111</v>
      </c>
      <c r="E101" s="6" t="s">
        <v>419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</row>
    <row r="102" s="1" customFormat="1" ht="14.25" hidden="1" spans="1:17">
      <c r="A102" s="1" t="str">
        <f>VLOOKUP(B102,combinate!A:B,2,FALSE)</f>
        <v>Group C</v>
      </c>
      <c r="B102" s="6">
        <v>233552768670</v>
      </c>
      <c r="C102" s="7">
        <v>21869227</v>
      </c>
      <c r="D102" s="8">
        <v>46161.4839814815</v>
      </c>
      <c r="E102" s="6" t="s">
        <v>419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</row>
    <row r="103" s="1" customFormat="1" ht="14.25" spans="1:17">
      <c r="A103" s="1" t="str">
        <f>VLOOKUP(B103,combinate!A:B,2,FALSE)</f>
        <v>Group B</v>
      </c>
      <c r="B103" s="6">
        <v>233534632526</v>
      </c>
      <c r="C103" s="7">
        <v>21967354</v>
      </c>
      <c r="D103" s="8">
        <v>46182.4113078704</v>
      </c>
      <c r="E103" s="9" t="s">
        <v>415</v>
      </c>
      <c r="F103" s="7">
        <v>1071.44</v>
      </c>
      <c r="G103" s="7">
        <v>13928.75</v>
      </c>
      <c r="H103" s="7">
        <v>0</v>
      </c>
      <c r="I103" s="7">
        <v>13928.75</v>
      </c>
      <c r="J103" s="7">
        <v>0</v>
      </c>
      <c r="K103" s="7">
        <v>-1365.58</v>
      </c>
      <c r="L103" s="7">
        <v>-105.04</v>
      </c>
      <c r="M103" s="7">
        <v>-1365.58</v>
      </c>
      <c r="N103" s="7">
        <v>221.38</v>
      </c>
      <c r="O103" s="7">
        <v>2878</v>
      </c>
      <c r="P103" s="7">
        <v>357.85</v>
      </c>
      <c r="Q103" s="7">
        <v>4652</v>
      </c>
    </row>
    <row r="104" s="1" customFormat="1" ht="14.25" hidden="1" spans="1:17">
      <c r="A104" s="1" t="str">
        <f>VLOOKUP(B104,combinate!A:B,2,FALSE)</f>
        <v>Group C</v>
      </c>
      <c r="B104" s="6">
        <v>233249842853</v>
      </c>
      <c r="C104" s="7">
        <v>21986107</v>
      </c>
      <c r="D104" s="8">
        <v>46182.9074884259</v>
      </c>
      <c r="E104" s="6" t="s">
        <v>419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</row>
    <row r="105" s="1" customFormat="1" ht="14.25" hidden="1" spans="1:17">
      <c r="A105" s="1" t="str">
        <f>VLOOKUP(B105,combinate!A:B,2,FALSE)</f>
        <v>Group B</v>
      </c>
      <c r="B105" s="6">
        <v>233539096720</v>
      </c>
      <c r="C105" s="7">
        <v>21994085</v>
      </c>
      <c r="D105" s="8">
        <v>46160.8121875</v>
      </c>
      <c r="E105" s="6" t="s">
        <v>419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</row>
    <row r="106" s="1" customFormat="1" ht="14.25" hidden="1" spans="1:17">
      <c r="A106" s="1" t="str">
        <f>VLOOKUP(B106,combinate!A:B,2,FALSE)</f>
        <v>Group C</v>
      </c>
      <c r="B106" s="6">
        <v>233597491241</v>
      </c>
      <c r="C106" s="7">
        <v>22209506</v>
      </c>
      <c r="D106" s="8">
        <v>46183.8459143518</v>
      </c>
      <c r="E106" s="9" t="s">
        <v>415</v>
      </c>
      <c r="F106" s="7">
        <v>536.45</v>
      </c>
      <c r="G106" s="7">
        <v>6973.8</v>
      </c>
      <c r="H106" s="7">
        <v>0</v>
      </c>
      <c r="I106" s="7">
        <v>6973.8</v>
      </c>
      <c r="J106" s="7">
        <v>0</v>
      </c>
      <c r="K106" s="7">
        <v>898.59</v>
      </c>
      <c r="L106" s="7">
        <v>69.12</v>
      </c>
      <c r="M106" s="7">
        <v>898.59</v>
      </c>
      <c r="N106" s="7">
        <v>95.38</v>
      </c>
      <c r="O106" s="7">
        <v>1240</v>
      </c>
      <c r="P106" s="7">
        <v>23.08</v>
      </c>
      <c r="Q106" s="7">
        <v>300</v>
      </c>
    </row>
    <row r="107" s="1" customFormat="1" ht="14.25" hidden="1" spans="1:17">
      <c r="A107" s="1" t="str">
        <f>VLOOKUP(B107,combinate!A:B,2,FALSE)</f>
        <v>Group C</v>
      </c>
      <c r="B107" s="6">
        <v>233593830484</v>
      </c>
      <c r="C107" s="7">
        <v>22447938</v>
      </c>
      <c r="D107" s="8">
        <v>46177.7114467593</v>
      </c>
      <c r="E107" s="9" t="s">
        <v>415</v>
      </c>
      <c r="F107" s="7">
        <v>0.69</v>
      </c>
      <c r="G107" s="7">
        <v>9.03</v>
      </c>
      <c r="H107" s="7">
        <v>0</v>
      </c>
      <c r="I107" s="7">
        <v>9.03</v>
      </c>
      <c r="J107" s="7">
        <v>0</v>
      </c>
      <c r="K107" s="7">
        <v>9.03</v>
      </c>
      <c r="L107" s="7">
        <v>0.69</v>
      </c>
      <c r="M107" s="7">
        <v>9.03</v>
      </c>
      <c r="N107" s="7">
        <v>0.69</v>
      </c>
      <c r="O107" s="7">
        <v>9</v>
      </c>
      <c r="P107" s="7">
        <v>0</v>
      </c>
      <c r="Q107" s="7">
        <v>0</v>
      </c>
    </row>
    <row r="108" s="1" customFormat="1" ht="14.25" hidden="1" spans="1:17">
      <c r="A108" s="1" t="str">
        <f>VLOOKUP(B108,combinate!A:B,2,FALSE)</f>
        <v>Group B</v>
      </c>
      <c r="B108" s="6">
        <v>233543327603</v>
      </c>
      <c r="C108" s="7">
        <v>22479594</v>
      </c>
      <c r="D108" s="8">
        <v>46179.4933564815</v>
      </c>
      <c r="E108" s="9" t="s">
        <v>415</v>
      </c>
      <c r="F108" s="7">
        <v>44.69</v>
      </c>
      <c r="G108" s="7">
        <v>581</v>
      </c>
      <c r="H108" s="7">
        <v>0</v>
      </c>
      <c r="I108" s="7">
        <v>581</v>
      </c>
      <c r="J108" s="7">
        <v>0</v>
      </c>
      <c r="K108" s="7">
        <v>209.94</v>
      </c>
      <c r="L108" s="7">
        <v>16.15</v>
      </c>
      <c r="M108" s="7">
        <v>209.94</v>
      </c>
      <c r="N108" s="7">
        <v>16.15</v>
      </c>
      <c r="O108" s="7">
        <v>210</v>
      </c>
      <c r="P108" s="7">
        <v>0</v>
      </c>
      <c r="Q108" s="7">
        <v>0</v>
      </c>
    </row>
    <row r="109" s="1" customFormat="1" ht="14.25" hidden="1" spans="1:17">
      <c r="A109" s="1" t="str">
        <f>VLOOKUP(B109,combinate!A:B,2,FALSE)</f>
        <v>Group B</v>
      </c>
      <c r="B109" s="6">
        <v>233243919366</v>
      </c>
      <c r="C109" s="7">
        <v>22517423</v>
      </c>
      <c r="D109" s="8">
        <v>46161.0097800926</v>
      </c>
      <c r="E109" s="6" t="s">
        <v>419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</row>
    <row r="110" s="1" customFormat="1" ht="14.25" hidden="1" spans="1:17">
      <c r="A110" s="1" t="str">
        <f>VLOOKUP(B110,combinate!A:B,2,FALSE)</f>
        <v>Group B</v>
      </c>
      <c r="B110" s="6">
        <v>233209630228</v>
      </c>
      <c r="C110" s="7">
        <v>22526883</v>
      </c>
      <c r="D110" s="8">
        <v>46160.4711111111</v>
      </c>
      <c r="E110" s="6" t="s">
        <v>419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</row>
    <row r="111" s="1" customFormat="1" ht="14.25" hidden="1" spans="1:17">
      <c r="A111" s="1" t="str">
        <f>VLOOKUP(B111,combinate!A:B,2,FALSE)</f>
        <v>Group B</v>
      </c>
      <c r="B111" s="6">
        <v>233544926043</v>
      </c>
      <c r="C111" s="7">
        <v>22585634</v>
      </c>
      <c r="D111" s="8">
        <v>46162.7375694444</v>
      </c>
      <c r="E111" s="6" t="s">
        <v>419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</row>
    <row r="112" s="1" customFormat="1" ht="14.25" hidden="1" spans="1:17">
      <c r="A112" s="1" t="str">
        <f>VLOOKUP(B112,combinate!A:B,2,FALSE)</f>
        <v>Group B</v>
      </c>
      <c r="B112" s="6">
        <v>233548350363</v>
      </c>
      <c r="C112" s="7">
        <v>22606125</v>
      </c>
      <c r="D112" s="8">
        <v>46163.9380555556</v>
      </c>
      <c r="E112" s="6" t="s">
        <v>419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</row>
    <row r="113" s="1" customFormat="1" ht="14.25" hidden="1" spans="1:17">
      <c r="A113" s="1" t="str">
        <f>VLOOKUP(B113,combinate!A:B,2,FALSE)</f>
        <v>Group B</v>
      </c>
      <c r="B113" s="6">
        <v>233257323851</v>
      </c>
      <c r="C113" s="7">
        <v>22614203</v>
      </c>
      <c r="D113" s="8">
        <v>46166.4154976852</v>
      </c>
      <c r="E113" s="6" t="s">
        <v>419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</row>
    <row r="114" s="1" customFormat="1" ht="14.25" hidden="1" spans="1:17">
      <c r="A114" s="1" t="str">
        <f>VLOOKUP(B114,combinate!A:B,2,FALSE)</f>
        <v>Group A</v>
      </c>
      <c r="B114" s="6">
        <v>233247393151</v>
      </c>
      <c r="C114" s="7">
        <v>22631271</v>
      </c>
      <c r="D114" s="8">
        <v>46162.7425578704</v>
      </c>
      <c r="E114" s="6" t="s">
        <v>419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</row>
    <row r="115" s="1" customFormat="1" ht="14.25" hidden="1" spans="1:17">
      <c r="A115" s="1" t="str">
        <f>VLOOKUP(B115,combinate!A:B,2,FALSE)</f>
        <v>Group C</v>
      </c>
      <c r="B115" s="6">
        <v>233507107583</v>
      </c>
      <c r="C115" s="7">
        <v>22742057</v>
      </c>
      <c r="D115" s="8">
        <v>46162.3671180556</v>
      </c>
      <c r="E115" s="6" t="s">
        <v>419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</row>
    <row r="116" s="1" customFormat="1" ht="14.25" hidden="1" spans="1:17">
      <c r="A116" s="1" t="str">
        <f>VLOOKUP(B116,combinate!A:B,2,FALSE)</f>
        <v>Group A</v>
      </c>
      <c r="B116" s="6">
        <v>233201775602</v>
      </c>
      <c r="C116" s="7">
        <v>22742231</v>
      </c>
      <c r="D116" s="8">
        <v>46182.1204166667</v>
      </c>
      <c r="E116" s="9" t="s">
        <v>415</v>
      </c>
      <c r="F116" s="7">
        <v>27.5</v>
      </c>
      <c r="G116" s="7">
        <v>357.5</v>
      </c>
      <c r="H116" s="7">
        <v>0</v>
      </c>
      <c r="I116" s="7">
        <v>357.5</v>
      </c>
      <c r="J116" s="7">
        <v>0</v>
      </c>
      <c r="K116" s="7">
        <v>49.89</v>
      </c>
      <c r="L116" s="7">
        <v>3.84</v>
      </c>
      <c r="M116" s="7">
        <v>49.89</v>
      </c>
      <c r="N116" s="7">
        <v>5.54</v>
      </c>
      <c r="O116" s="7">
        <v>72</v>
      </c>
      <c r="P116" s="7">
        <v>1.69</v>
      </c>
      <c r="Q116" s="7">
        <v>22</v>
      </c>
    </row>
    <row r="117" s="1" customFormat="1" ht="14.25" hidden="1" spans="1:17">
      <c r="A117" s="1" t="str">
        <f>VLOOKUP(B117,combinate!A:B,2,FALSE)</f>
        <v>Group A</v>
      </c>
      <c r="B117" s="6">
        <v>233256999078</v>
      </c>
      <c r="C117" s="7">
        <v>22742322</v>
      </c>
      <c r="D117" s="8">
        <v>46166.9995023148</v>
      </c>
      <c r="E117" s="6" t="s">
        <v>419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</row>
    <row r="118" s="1" customFormat="1" ht="14.25" hidden="1" spans="1:17">
      <c r="A118" s="1" t="str">
        <f>VLOOKUP(B118,combinate!A:B,2,FALSE)</f>
        <v>Group B</v>
      </c>
      <c r="B118" s="6">
        <v>233552383650</v>
      </c>
      <c r="C118" s="7">
        <v>22748835</v>
      </c>
      <c r="D118" s="8">
        <v>46166.6160185185</v>
      </c>
      <c r="E118" s="6" t="s">
        <v>419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</row>
    <row r="119" s="1" customFormat="1" ht="14.25" hidden="1" spans="1:17">
      <c r="A119" s="1" t="str">
        <f>VLOOKUP(B119,combinate!A:B,2,FALSE)</f>
        <v>Group A</v>
      </c>
      <c r="B119" s="6">
        <v>233248914647</v>
      </c>
      <c r="C119" s="7">
        <v>22818780</v>
      </c>
      <c r="D119" s="8">
        <v>46166.4521875</v>
      </c>
      <c r="E119" s="6" t="s">
        <v>419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</row>
    <row r="120" s="1" customFormat="1" ht="14.25" hidden="1" spans="1:17">
      <c r="A120" s="1" t="str">
        <f>VLOOKUP(B120,combinate!A:B,2,FALSE)</f>
        <v>Group B</v>
      </c>
      <c r="B120" s="6">
        <v>233594510478</v>
      </c>
      <c r="C120" s="7">
        <v>22854244</v>
      </c>
      <c r="D120" s="8">
        <v>46161.5671412037</v>
      </c>
      <c r="E120" s="6" t="s">
        <v>419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</row>
    <row r="121" s="1" customFormat="1" ht="14.25" hidden="1" spans="1:17">
      <c r="A121" s="1" t="str">
        <f>VLOOKUP(B121,combinate!A:B,2,FALSE)</f>
        <v>Group B</v>
      </c>
      <c r="B121" s="6">
        <v>233543639050</v>
      </c>
      <c r="C121" s="7">
        <v>22889213</v>
      </c>
      <c r="D121" s="8">
        <v>46166.657962963</v>
      </c>
      <c r="E121" s="6" t="s">
        <v>419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</row>
    <row r="122" s="1" customFormat="1" ht="14.25" hidden="1" spans="1:17">
      <c r="A122" s="1" t="str">
        <f>VLOOKUP(B122,combinate!A:B,2,FALSE)</f>
        <v>Group A</v>
      </c>
      <c r="B122" s="6">
        <v>233503326514</v>
      </c>
      <c r="C122" s="7">
        <v>22913470</v>
      </c>
      <c r="D122" s="8">
        <v>46166.3330208333</v>
      </c>
      <c r="E122" s="6" t="s">
        <v>419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</row>
    <row r="123" s="1" customFormat="1" ht="14.25" hidden="1" spans="1:17">
      <c r="A123" s="1" t="str">
        <f>VLOOKUP(B123,combinate!A:B,2,FALSE)</f>
        <v>Group B</v>
      </c>
      <c r="B123" s="6">
        <v>233554139986</v>
      </c>
      <c r="C123" s="7">
        <v>22938233</v>
      </c>
      <c r="D123" s="8">
        <v>46162.1455439815</v>
      </c>
      <c r="E123" s="6" t="s">
        <v>419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</row>
    <row r="124" s="1" customFormat="1" ht="14.25" hidden="1" spans="1:17">
      <c r="A124" s="1" t="str">
        <f>VLOOKUP(B124,combinate!A:B,2,FALSE)</f>
        <v>Group A</v>
      </c>
      <c r="B124" s="6">
        <v>233535425471</v>
      </c>
      <c r="C124" s="7">
        <v>23003012</v>
      </c>
      <c r="D124" s="8">
        <v>46166.7549074074</v>
      </c>
      <c r="E124" s="6" t="s">
        <v>419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</row>
    <row r="125" s="1" customFormat="1" ht="14.25" hidden="1" spans="1:17">
      <c r="A125" s="1" t="str">
        <f>VLOOKUP(B125,combinate!A:B,2,FALSE)</f>
        <v>Group C</v>
      </c>
      <c r="B125" s="6">
        <v>233550675613</v>
      </c>
      <c r="C125" s="7">
        <v>5767946</v>
      </c>
      <c r="D125" s="8">
        <v>46162.0801736111</v>
      </c>
      <c r="E125" s="6" t="s">
        <v>419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</row>
    <row r="126" s="1" customFormat="1" ht="14.25" hidden="1" spans="1:17">
      <c r="A126" s="1" t="str">
        <f>VLOOKUP(B126,combinate!A:B,2,FALSE)</f>
        <v>Group B</v>
      </c>
      <c r="B126" s="6">
        <v>233537816991</v>
      </c>
      <c r="C126" s="7">
        <v>12533683</v>
      </c>
      <c r="D126" s="8">
        <v>46162.9715856481</v>
      </c>
      <c r="E126" s="6" t="s">
        <v>419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</row>
    <row r="127" s="1" customFormat="1" ht="14.25" hidden="1" spans="1:17">
      <c r="A127" s="1" t="str">
        <f>VLOOKUP(B127,combinate!A:B,2,FALSE)</f>
        <v>Group A</v>
      </c>
      <c r="B127" s="6">
        <v>233547083268</v>
      </c>
      <c r="C127" s="7">
        <v>15564442</v>
      </c>
      <c r="D127" s="8">
        <v>46163.1140277778</v>
      </c>
      <c r="E127" s="6" t="s">
        <v>419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</row>
    <row r="128" s="1" customFormat="1" ht="14.25" hidden="1" spans="1:17">
      <c r="A128" s="1" t="str">
        <f>VLOOKUP(B128,combinate!A:B,2,FALSE)</f>
        <v>Group A</v>
      </c>
      <c r="B128" s="6">
        <v>233242983501</v>
      </c>
      <c r="C128" s="7">
        <v>17534360</v>
      </c>
      <c r="D128" s="8">
        <v>46161.8517592593</v>
      </c>
      <c r="E128" s="6" t="s">
        <v>419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</row>
    <row r="129" s="1" customFormat="1" ht="14.25" hidden="1" spans="1:17">
      <c r="A129" s="1" t="str">
        <f>VLOOKUP(B129,combinate!A:B,2,FALSE)</f>
        <v>Group A</v>
      </c>
      <c r="B129" s="6">
        <v>233207394944</v>
      </c>
      <c r="C129" s="7">
        <v>17577170</v>
      </c>
      <c r="D129" s="8">
        <v>46177.0664236111</v>
      </c>
      <c r="E129" s="6" t="s">
        <v>419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</row>
    <row r="130" s="1" customFormat="1" ht="14.25" hidden="1" spans="1:17">
      <c r="A130" s="1" t="str">
        <f>VLOOKUP(B130,combinate!A:B,2,FALSE)</f>
        <v>Group B</v>
      </c>
      <c r="B130" s="6">
        <v>233533772959</v>
      </c>
      <c r="C130" s="7">
        <v>17761593</v>
      </c>
      <c r="D130" s="8">
        <v>46161.8509606481</v>
      </c>
      <c r="E130" s="6" t="s">
        <v>419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</row>
    <row r="131" s="1" customFormat="1" ht="14.25" hidden="1" spans="1:17">
      <c r="A131" s="1" t="str">
        <f>VLOOKUP(B131,combinate!A:B,2,FALSE)</f>
        <v>Group C</v>
      </c>
      <c r="B131" s="6">
        <v>233543816460</v>
      </c>
      <c r="C131" s="7">
        <v>18112359</v>
      </c>
      <c r="D131" s="8">
        <v>46166.3510416667</v>
      </c>
      <c r="E131" s="6" t="s">
        <v>419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</row>
    <row r="132" s="1" customFormat="1" ht="14.25" hidden="1" spans="1:17">
      <c r="A132" s="1" t="str">
        <f>VLOOKUP(B132,combinate!A:B,2,FALSE)</f>
        <v>Group C</v>
      </c>
      <c r="B132" s="6">
        <v>233533387210</v>
      </c>
      <c r="C132" s="7">
        <v>18117048</v>
      </c>
      <c r="D132" s="8">
        <v>46161.5199305556</v>
      </c>
      <c r="E132" s="6" t="s">
        <v>419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</row>
    <row r="133" s="1" customFormat="1" ht="14.25" hidden="1" spans="1:17">
      <c r="A133" s="1" t="str">
        <f>VLOOKUP(B133,combinate!A:B,2,FALSE)</f>
        <v>Group A</v>
      </c>
      <c r="B133" s="6">
        <v>233502784330</v>
      </c>
      <c r="C133" s="7">
        <v>18692450</v>
      </c>
      <c r="D133" s="8">
        <v>46162.4396875</v>
      </c>
      <c r="E133" s="6" t="s">
        <v>419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</row>
    <row r="134" s="1" customFormat="1" ht="14.25" hidden="1" spans="1:17">
      <c r="A134" s="1" t="str">
        <f>VLOOKUP(B134,combinate!A:B,2,FALSE)</f>
        <v>Group C</v>
      </c>
      <c r="B134" s="6">
        <v>233558839899</v>
      </c>
      <c r="C134" s="7">
        <v>18831246</v>
      </c>
      <c r="D134" s="8">
        <v>46162.7721759259</v>
      </c>
      <c r="E134" s="6" t="s">
        <v>419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</row>
    <row r="135" s="1" customFormat="1" ht="14.25" hidden="1" spans="1:17">
      <c r="A135" s="1" t="str">
        <f>VLOOKUP(B135,combinate!A:B,2,FALSE)</f>
        <v>Group A</v>
      </c>
      <c r="B135" s="6">
        <v>233546147982</v>
      </c>
      <c r="C135" s="7">
        <v>18953440</v>
      </c>
      <c r="D135" s="8">
        <v>46182.9114930556</v>
      </c>
      <c r="E135" s="9" t="s">
        <v>415</v>
      </c>
      <c r="F135" s="7">
        <v>103.73</v>
      </c>
      <c r="G135" s="7">
        <v>1348.5</v>
      </c>
      <c r="H135" s="7">
        <v>0</v>
      </c>
      <c r="I135" s="7">
        <v>1348.5</v>
      </c>
      <c r="J135" s="7">
        <v>0</v>
      </c>
      <c r="K135" s="7">
        <v>509.3</v>
      </c>
      <c r="L135" s="7">
        <v>39.18</v>
      </c>
      <c r="M135" s="7">
        <v>509.3</v>
      </c>
      <c r="N135" s="7">
        <v>40</v>
      </c>
      <c r="O135" s="7">
        <v>520</v>
      </c>
      <c r="P135" s="7">
        <v>0</v>
      </c>
      <c r="Q135" s="7">
        <v>0</v>
      </c>
    </row>
    <row r="136" s="1" customFormat="1" ht="14.25" hidden="1" spans="1:17">
      <c r="A136" s="1" t="str">
        <f>VLOOKUP(B136,combinate!A:B,2,FALSE)</f>
        <v>Group C</v>
      </c>
      <c r="B136" s="6">
        <v>233535743035</v>
      </c>
      <c r="C136" s="7">
        <v>19007179</v>
      </c>
      <c r="D136" s="8">
        <v>46162.9927083333</v>
      </c>
      <c r="E136" s="6" t="s">
        <v>419</v>
      </c>
      <c r="F136" s="7">
        <v>0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</row>
    <row r="137" s="1" customFormat="1" ht="14.25" hidden="1" spans="1:17">
      <c r="A137" s="1" t="str">
        <f>VLOOKUP(B137,combinate!A:B,2,FALSE)</f>
        <v>Group A</v>
      </c>
      <c r="B137" s="6">
        <v>233532653605</v>
      </c>
      <c r="C137" s="7">
        <v>19036941</v>
      </c>
      <c r="D137" s="8">
        <v>46160.952962963</v>
      </c>
      <c r="E137" s="6" t="s">
        <v>419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</row>
    <row r="138" s="1" customFormat="1" ht="14.25" hidden="1" spans="1:17">
      <c r="A138" s="1" t="str">
        <f>VLOOKUP(B138,combinate!A:B,2,FALSE)</f>
        <v>Group B</v>
      </c>
      <c r="B138" s="6">
        <v>233536975005</v>
      </c>
      <c r="C138" s="7">
        <v>19561073</v>
      </c>
      <c r="D138" s="8">
        <v>46166.9218865741</v>
      </c>
      <c r="E138" s="6" t="s">
        <v>419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</row>
    <row r="139" s="1" customFormat="1" ht="14.25" hidden="1" spans="1:17">
      <c r="A139" s="1" t="str">
        <f>VLOOKUP(B139,combinate!A:B,2,FALSE)</f>
        <v>Group C</v>
      </c>
      <c r="B139" s="6">
        <v>233537744338</v>
      </c>
      <c r="C139" s="7">
        <v>19855747</v>
      </c>
      <c r="D139" s="8">
        <v>46183.9712384259</v>
      </c>
      <c r="E139" s="9" t="s">
        <v>415</v>
      </c>
      <c r="F139" s="7">
        <v>15.52</v>
      </c>
      <c r="G139" s="7">
        <v>201.8</v>
      </c>
      <c r="H139" s="7">
        <v>0</v>
      </c>
      <c r="I139" s="7">
        <v>201.8</v>
      </c>
      <c r="J139" s="7">
        <v>0</v>
      </c>
      <c r="K139" s="7">
        <v>-19.9</v>
      </c>
      <c r="L139" s="7">
        <v>-1.53</v>
      </c>
      <c r="M139" s="7">
        <v>-19.9</v>
      </c>
      <c r="N139" s="7">
        <v>1.54</v>
      </c>
      <c r="O139" s="7">
        <v>20</v>
      </c>
      <c r="P139" s="7">
        <v>3.08</v>
      </c>
      <c r="Q139" s="7">
        <v>40</v>
      </c>
    </row>
    <row r="140" s="1" customFormat="1" ht="14.25" hidden="1" spans="1:17">
      <c r="A140" s="1" t="str">
        <f>VLOOKUP(B140,combinate!A:B,2,FALSE)</f>
        <v>Group C</v>
      </c>
      <c r="B140" s="6">
        <v>233540253638</v>
      </c>
      <c r="C140" s="7">
        <v>19878827</v>
      </c>
      <c r="D140" s="8">
        <v>46163.6485763889</v>
      </c>
      <c r="E140" s="6" t="s">
        <v>419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</row>
    <row r="141" s="1" customFormat="1" ht="14.25" hidden="1" spans="1:17">
      <c r="A141" s="1" t="str">
        <f>VLOOKUP(B141,combinate!A:B,2,FALSE)</f>
        <v>Group B</v>
      </c>
      <c r="B141" s="6">
        <v>233555142411</v>
      </c>
      <c r="C141" s="7">
        <v>20126465</v>
      </c>
      <c r="D141" s="8">
        <v>46160.6206712963</v>
      </c>
      <c r="E141" s="6" t="s">
        <v>419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</row>
    <row r="142" s="1" customFormat="1" ht="14.25" hidden="1" spans="1:17">
      <c r="A142" s="1" t="str">
        <f>VLOOKUP(B142,combinate!A:B,2,FALSE)</f>
        <v>Group A</v>
      </c>
      <c r="B142" s="6">
        <v>233548536598</v>
      </c>
      <c r="C142" s="7">
        <v>20166972</v>
      </c>
      <c r="D142" s="8">
        <v>46163.8876736111</v>
      </c>
      <c r="E142" s="6" t="s">
        <v>419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</row>
    <row r="143" s="1" customFormat="1" ht="14.25" hidden="1" spans="1:17">
      <c r="A143" s="1" t="str">
        <f>VLOOKUP(B143,combinate!A:B,2,FALSE)</f>
        <v>Group C</v>
      </c>
      <c r="B143" s="6">
        <v>233539651381</v>
      </c>
      <c r="C143" s="7">
        <v>20276148</v>
      </c>
      <c r="D143" s="8">
        <v>46162.4770138889</v>
      </c>
      <c r="E143" s="6" t="s">
        <v>419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</row>
    <row r="144" s="1" customFormat="1" ht="14.25" hidden="1" spans="1:17">
      <c r="A144" s="1" t="str">
        <f>VLOOKUP(B144,combinate!A:B,2,FALSE)</f>
        <v>Group C</v>
      </c>
      <c r="B144" s="6">
        <v>233599577957</v>
      </c>
      <c r="C144" s="7">
        <v>20641888</v>
      </c>
      <c r="D144" s="8">
        <v>46161.8730439815</v>
      </c>
      <c r="E144" s="6" t="s">
        <v>419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</row>
    <row r="145" s="1" customFormat="1" ht="14.25" hidden="1" spans="1:17">
      <c r="A145" s="1" t="str">
        <f>VLOOKUP(B145,combinate!A:B,2,FALSE)</f>
        <v>Group B</v>
      </c>
      <c r="B145" s="6">
        <v>233593748193</v>
      </c>
      <c r="C145" s="7">
        <v>8519314</v>
      </c>
      <c r="D145" s="8">
        <v>46181.7687731481</v>
      </c>
      <c r="E145" s="9" t="s">
        <v>415</v>
      </c>
      <c r="F145" s="7">
        <v>181.02</v>
      </c>
      <c r="G145" s="7">
        <v>2353.23</v>
      </c>
      <c r="H145" s="7">
        <v>0</v>
      </c>
      <c r="I145" s="7">
        <v>2353.23</v>
      </c>
      <c r="J145" s="7">
        <v>0</v>
      </c>
      <c r="K145" s="7">
        <v>15.26</v>
      </c>
      <c r="L145" s="7">
        <v>1.17</v>
      </c>
      <c r="M145" s="7">
        <v>15.26</v>
      </c>
      <c r="N145" s="7">
        <v>14.62</v>
      </c>
      <c r="O145" s="7">
        <v>190</v>
      </c>
      <c r="P145" s="7">
        <v>15.38</v>
      </c>
      <c r="Q145" s="7">
        <v>200</v>
      </c>
    </row>
    <row r="146" s="1" customFormat="1" ht="14.25" hidden="1" spans="1:17">
      <c r="A146" s="1" t="str">
        <f>VLOOKUP(B146,combinate!A:B,2,FALSE)</f>
        <v>Group C</v>
      </c>
      <c r="B146" s="6">
        <v>233545262420</v>
      </c>
      <c r="C146" s="7">
        <v>9653917</v>
      </c>
      <c r="D146" s="8">
        <v>46166.7711342593</v>
      </c>
      <c r="E146" s="6" t="s">
        <v>419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</row>
    <row r="147" s="1" customFormat="1" ht="14.25" hidden="1" spans="1:17">
      <c r="A147" s="1" t="str">
        <f>VLOOKUP(B147,combinate!A:B,2,FALSE)</f>
        <v>Group C</v>
      </c>
      <c r="B147" s="6">
        <v>233552481827</v>
      </c>
      <c r="C147" s="7">
        <v>10685749</v>
      </c>
      <c r="D147" s="8">
        <v>46166.5813425926</v>
      </c>
      <c r="E147" s="6" t="s">
        <v>419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</row>
    <row r="148" s="1" customFormat="1" ht="14.25" hidden="1" spans="1:17">
      <c r="A148" s="1" t="str">
        <f>VLOOKUP(B148,combinate!A:B,2,FALSE)</f>
        <v>Group C</v>
      </c>
      <c r="B148" s="6">
        <v>233531193764</v>
      </c>
      <c r="C148" s="7">
        <v>15784426</v>
      </c>
      <c r="D148" s="8">
        <v>46162.9185300926</v>
      </c>
      <c r="E148" s="6" t="s">
        <v>419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</row>
    <row r="149" s="1" customFormat="1" ht="14.25" hidden="1" spans="1:17">
      <c r="A149" s="1" t="str">
        <f>VLOOKUP(B149,combinate!A:B,2,FALSE)</f>
        <v>Group A</v>
      </c>
      <c r="B149" s="6">
        <v>233552853700</v>
      </c>
      <c r="C149" s="7">
        <v>15916650</v>
      </c>
      <c r="D149" s="8">
        <v>46163.5976041667</v>
      </c>
      <c r="E149" s="6" t="s">
        <v>419</v>
      </c>
      <c r="F149" s="7">
        <v>0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</row>
    <row r="150" s="1" customFormat="1" ht="14.25" hidden="1" spans="1:17">
      <c r="A150" s="1" t="str">
        <f>VLOOKUP(B150,combinate!A:B,2,FALSE)</f>
        <v>Group A</v>
      </c>
      <c r="B150" s="6">
        <v>233548989747</v>
      </c>
      <c r="C150" s="7">
        <v>16073481</v>
      </c>
      <c r="D150" s="8">
        <v>46166.6298726852</v>
      </c>
      <c r="E150" s="6" t="s">
        <v>419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</row>
    <row r="151" s="1" customFormat="1" ht="14.25" hidden="1" spans="1:17">
      <c r="A151" s="1" t="str">
        <f>VLOOKUP(B151,combinate!A:B,2,FALSE)</f>
        <v>Group A</v>
      </c>
      <c r="B151" s="6">
        <v>233503441168</v>
      </c>
      <c r="C151" s="7">
        <v>17052492</v>
      </c>
      <c r="D151" s="8">
        <v>46160.6312615741</v>
      </c>
      <c r="E151" s="6" t="s">
        <v>419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</row>
    <row r="152" s="1" customFormat="1" ht="14.25" hidden="1" spans="1:17">
      <c r="A152" s="1" t="str">
        <f>VLOOKUP(B152,combinate!A:B,2,FALSE)</f>
        <v>Group B</v>
      </c>
      <c r="B152" s="6">
        <v>233537855354</v>
      </c>
      <c r="C152" s="7">
        <v>17825445</v>
      </c>
      <c r="D152" s="8">
        <v>46183.6701967593</v>
      </c>
      <c r="E152" s="6" t="s">
        <v>419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</row>
    <row r="153" s="1" customFormat="1" ht="14.25" hidden="1" spans="1:17">
      <c r="A153" s="1" t="str">
        <f>VLOOKUP(B153,combinate!A:B,2,FALSE)</f>
        <v>Group B</v>
      </c>
      <c r="B153" s="6">
        <v>233549236284</v>
      </c>
      <c r="C153" s="7">
        <v>18480503</v>
      </c>
      <c r="D153" s="8">
        <v>46178.01375</v>
      </c>
      <c r="E153" s="6" t="s">
        <v>419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</row>
    <row r="154" s="1" customFormat="1" ht="14.25" hidden="1" spans="1:17">
      <c r="A154" s="1" t="str">
        <f>VLOOKUP(B154,combinate!A:B,2,FALSE)</f>
        <v>Group A</v>
      </c>
      <c r="B154" s="6">
        <v>233507469796</v>
      </c>
      <c r="C154" s="7">
        <v>19118112</v>
      </c>
      <c r="D154" s="8">
        <v>46162.8324768519</v>
      </c>
      <c r="E154" s="6" t="s">
        <v>419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</row>
    <row r="155" s="1" customFormat="1" ht="14.25" hidden="1" spans="1:17">
      <c r="A155" s="1" t="str">
        <f>VLOOKUP(B155,combinate!A:B,2,FALSE)</f>
        <v>Group C</v>
      </c>
      <c r="B155" s="6">
        <v>233558069824</v>
      </c>
      <c r="C155" s="7">
        <v>19217737</v>
      </c>
      <c r="D155" s="8">
        <v>46166.6479050926</v>
      </c>
      <c r="E155" s="6" t="s">
        <v>419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</row>
    <row r="156" s="1" customFormat="1" ht="14.25" hidden="1" spans="1:17">
      <c r="A156" s="1" t="str">
        <f>VLOOKUP(B156,combinate!A:B,2,FALSE)</f>
        <v>Group A</v>
      </c>
      <c r="B156" s="6">
        <v>233549352539</v>
      </c>
      <c r="C156" s="7">
        <v>20026501</v>
      </c>
      <c r="D156" s="8">
        <v>46163.8356134259</v>
      </c>
      <c r="E156" s="6" t="s">
        <v>419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</row>
    <row r="157" s="1" customFormat="1" ht="14.25" hidden="1" spans="1:17">
      <c r="A157" s="1" t="str">
        <f>VLOOKUP(B157,combinate!A:B,2,FALSE)</f>
        <v>Group B</v>
      </c>
      <c r="B157" s="6">
        <v>233551286908</v>
      </c>
      <c r="C157" s="7">
        <v>20235395</v>
      </c>
      <c r="D157" s="8">
        <v>46166.0172106481</v>
      </c>
      <c r="E157" s="6" t="s">
        <v>419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</row>
    <row r="158" s="1" customFormat="1" ht="14.25" hidden="1" spans="1:17">
      <c r="A158" s="1" t="str">
        <f>VLOOKUP(B158,combinate!A:B,2,FALSE)</f>
        <v>Group B</v>
      </c>
      <c r="B158" s="6">
        <v>233539415619</v>
      </c>
      <c r="C158" s="7">
        <v>20442123</v>
      </c>
      <c r="D158" s="8">
        <v>46175.7662268519</v>
      </c>
      <c r="E158" s="9" t="s">
        <v>415</v>
      </c>
      <c r="F158" s="7">
        <v>1.31</v>
      </c>
      <c r="G158" s="7">
        <v>17</v>
      </c>
      <c r="H158" s="7">
        <v>0</v>
      </c>
      <c r="I158" s="7">
        <v>17</v>
      </c>
      <c r="J158" s="7">
        <v>0</v>
      </c>
      <c r="K158" s="7">
        <v>-3.38</v>
      </c>
      <c r="L158" s="7">
        <v>-0.26</v>
      </c>
      <c r="M158" s="7">
        <v>-3.38</v>
      </c>
      <c r="N158" s="7">
        <v>0.54</v>
      </c>
      <c r="O158" s="7">
        <v>7</v>
      </c>
      <c r="P158" s="7">
        <v>1.08</v>
      </c>
      <c r="Q158" s="7">
        <v>14</v>
      </c>
    </row>
    <row r="159" s="1" customFormat="1" ht="14.25" hidden="1" spans="1:17">
      <c r="A159" s="1" t="str">
        <f>VLOOKUP(B159,combinate!A:B,2,FALSE)</f>
        <v>Group A</v>
      </c>
      <c r="B159" s="6">
        <v>233550345957</v>
      </c>
      <c r="C159" s="7">
        <v>20701711</v>
      </c>
      <c r="D159" s="8">
        <v>46162.1085185185</v>
      </c>
      <c r="E159" s="6" t="s">
        <v>419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</row>
    <row r="160" s="1" customFormat="1" ht="14.25" hidden="1" spans="1:17">
      <c r="A160" s="1" t="str">
        <f>VLOOKUP(B160,combinate!A:B,2,FALSE)</f>
        <v>Group B</v>
      </c>
      <c r="B160" s="6">
        <v>233550321617</v>
      </c>
      <c r="C160" s="7">
        <v>3640113</v>
      </c>
      <c r="D160" s="8">
        <v>46177.3603819444</v>
      </c>
      <c r="E160" s="9" t="s">
        <v>415</v>
      </c>
      <c r="F160" s="7">
        <v>139.19</v>
      </c>
      <c r="G160" s="7">
        <v>1809.5</v>
      </c>
      <c r="H160" s="7">
        <v>0</v>
      </c>
      <c r="I160" s="7">
        <v>1809.5</v>
      </c>
      <c r="J160" s="7">
        <v>0</v>
      </c>
      <c r="K160" s="7">
        <v>850.02</v>
      </c>
      <c r="L160" s="7">
        <v>65.39</v>
      </c>
      <c r="M160" s="7">
        <v>850.02</v>
      </c>
      <c r="N160" s="7">
        <v>123.08</v>
      </c>
      <c r="O160" s="7">
        <v>1600</v>
      </c>
      <c r="P160" s="7">
        <v>57.69</v>
      </c>
      <c r="Q160" s="7">
        <v>750</v>
      </c>
    </row>
    <row r="161" s="1" customFormat="1" ht="14.25" hidden="1" spans="1:17">
      <c r="A161" s="1" t="str">
        <f>VLOOKUP(B161,combinate!A:B,2,FALSE)</f>
        <v>Group A</v>
      </c>
      <c r="B161" s="6">
        <v>233553219886</v>
      </c>
      <c r="C161" s="7">
        <v>5407732</v>
      </c>
      <c r="D161" s="8">
        <v>46161.9752199074</v>
      </c>
      <c r="E161" s="6" t="s">
        <v>419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</row>
    <row r="162" s="1" customFormat="1" ht="14.25" hidden="1" spans="1:17">
      <c r="A162" s="1" t="str">
        <f>VLOOKUP(B162,combinate!A:B,2,FALSE)</f>
        <v>Group C</v>
      </c>
      <c r="B162" s="6">
        <v>233594503247</v>
      </c>
      <c r="C162" s="7">
        <v>6931167</v>
      </c>
      <c r="D162" s="8">
        <v>46183.0640393519</v>
      </c>
      <c r="E162" s="6" t="s">
        <v>419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</row>
    <row r="163" s="1" customFormat="1" ht="14.25" hidden="1" spans="1:17">
      <c r="A163" s="1" t="str">
        <f>VLOOKUP(B163,combinate!A:B,2,FALSE)</f>
        <v>Group B</v>
      </c>
      <c r="B163" s="6">
        <v>233559644517</v>
      </c>
      <c r="C163" s="7">
        <v>10229403</v>
      </c>
      <c r="D163" s="8">
        <v>46161.3301388889</v>
      </c>
      <c r="E163" s="6" t="s">
        <v>419</v>
      </c>
      <c r="F163" s="7">
        <v>0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</row>
    <row r="164" s="1" customFormat="1" ht="14.25" hidden="1" spans="1:17">
      <c r="A164" s="1" t="str">
        <f>VLOOKUP(B164,combinate!A:B,2,FALSE)</f>
        <v>Group B</v>
      </c>
      <c r="B164" s="6">
        <v>233549838026</v>
      </c>
      <c r="C164" s="7">
        <v>11180374</v>
      </c>
      <c r="D164" s="8">
        <v>46162.3397222222</v>
      </c>
      <c r="E164" s="6" t="s">
        <v>419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</row>
    <row r="165" s="1" customFormat="1" ht="14.25" hidden="1" spans="1:17">
      <c r="A165" s="1" t="str">
        <f>VLOOKUP(B165,combinate!A:B,2,FALSE)</f>
        <v>Group A</v>
      </c>
      <c r="B165" s="6">
        <v>233202423882</v>
      </c>
      <c r="C165" s="7">
        <v>11241392</v>
      </c>
      <c r="D165" s="8">
        <v>46166.5524652778</v>
      </c>
      <c r="E165" s="6" t="s">
        <v>419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</row>
    <row r="166" s="1" customFormat="1" ht="14.25" hidden="1" spans="1:17">
      <c r="A166" s="1" t="str">
        <f>VLOOKUP(B166,combinate!A:B,2,FALSE)</f>
        <v>Group B</v>
      </c>
      <c r="B166" s="6">
        <v>233541576758</v>
      </c>
      <c r="C166" s="7">
        <v>13794514</v>
      </c>
      <c r="D166" s="8">
        <v>46184.3052662037</v>
      </c>
      <c r="E166" s="9" t="s">
        <v>415</v>
      </c>
      <c r="F166" s="7">
        <v>44.23</v>
      </c>
      <c r="G166" s="7">
        <v>575</v>
      </c>
      <c r="H166" s="7">
        <v>149</v>
      </c>
      <c r="I166" s="7">
        <v>426</v>
      </c>
      <c r="J166" s="7">
        <v>-129.16</v>
      </c>
      <c r="K166" s="7">
        <v>60.82</v>
      </c>
      <c r="L166" s="7">
        <v>-5.26</v>
      </c>
      <c r="M166" s="7">
        <v>-68.34</v>
      </c>
      <c r="N166" s="7">
        <v>11.54</v>
      </c>
      <c r="O166" s="7">
        <v>150</v>
      </c>
      <c r="P166" s="7">
        <v>16.77</v>
      </c>
      <c r="Q166" s="7">
        <v>218</v>
      </c>
    </row>
    <row r="167" s="1" customFormat="1" ht="14.25" hidden="1" spans="1:17">
      <c r="A167" s="1" t="str">
        <f>VLOOKUP(B167,combinate!A:B,2,FALSE)</f>
        <v>Group C</v>
      </c>
      <c r="B167" s="6">
        <v>233533763118</v>
      </c>
      <c r="C167" s="7">
        <v>15780316</v>
      </c>
      <c r="D167" s="8">
        <v>46161.9520717593</v>
      </c>
      <c r="E167" s="6" t="s">
        <v>419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</row>
    <row r="168" s="1" customFormat="1" ht="14.25" hidden="1" spans="1:17">
      <c r="A168" s="1" t="str">
        <f>VLOOKUP(B168,combinate!A:B,2,FALSE)</f>
        <v>Group C</v>
      </c>
      <c r="B168" s="6">
        <v>233203465830</v>
      </c>
      <c r="C168" s="7">
        <v>16779578</v>
      </c>
      <c r="D168" s="8">
        <v>46160.7021990741</v>
      </c>
      <c r="E168" s="6" t="s">
        <v>419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</row>
    <row r="169" s="1" customFormat="1" ht="14.25" hidden="1" spans="1:17">
      <c r="A169" s="1" t="str">
        <f>VLOOKUP(B169,combinate!A:B,2,FALSE)</f>
        <v>Group A</v>
      </c>
      <c r="B169" s="6">
        <v>233599668929</v>
      </c>
      <c r="C169" s="7">
        <v>16868920</v>
      </c>
      <c r="D169" s="8">
        <v>46178.1848726852</v>
      </c>
      <c r="E169" s="6" t="s">
        <v>419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</row>
    <row r="170" s="1" customFormat="1" ht="14.25" hidden="1" spans="1:17">
      <c r="A170" s="1" t="str">
        <f>VLOOKUP(B170,combinate!A:B,2,FALSE)</f>
        <v>Group B</v>
      </c>
      <c r="B170" s="6">
        <v>233208956292</v>
      </c>
      <c r="C170" s="7">
        <v>17404264</v>
      </c>
      <c r="D170" s="8">
        <v>46162.6093865741</v>
      </c>
      <c r="E170" s="6" t="s">
        <v>419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</row>
    <row r="171" s="1" customFormat="1" ht="14.25" hidden="1" spans="1:17">
      <c r="A171" s="1" t="str">
        <f>VLOOKUP(B171,combinate!A:B,2,FALSE)</f>
        <v>Group C</v>
      </c>
      <c r="B171" s="6">
        <v>233245726619</v>
      </c>
      <c r="C171" s="7">
        <v>17855357</v>
      </c>
      <c r="D171" s="8">
        <v>46178.4747106481</v>
      </c>
      <c r="E171" s="9" t="s">
        <v>415</v>
      </c>
      <c r="F171" s="7">
        <v>176.88</v>
      </c>
      <c r="G171" s="7">
        <v>2299.5</v>
      </c>
      <c r="H171" s="7">
        <v>0</v>
      </c>
      <c r="I171" s="7">
        <v>2299.5</v>
      </c>
      <c r="J171" s="7">
        <v>0</v>
      </c>
      <c r="K171" s="7">
        <v>119.85</v>
      </c>
      <c r="L171" s="7">
        <v>9.22</v>
      </c>
      <c r="M171" s="7">
        <v>119.85</v>
      </c>
      <c r="N171" s="7">
        <v>46.15</v>
      </c>
      <c r="O171" s="7">
        <v>600</v>
      </c>
      <c r="P171" s="7">
        <v>36.92</v>
      </c>
      <c r="Q171" s="7">
        <v>480</v>
      </c>
    </row>
    <row r="172" s="1" customFormat="1" ht="14.25" hidden="1" spans="1:17">
      <c r="A172" s="1" t="str">
        <f>VLOOKUP(B172,combinate!A:B,2,FALSE)</f>
        <v>Group A</v>
      </c>
      <c r="B172" s="6">
        <v>233275324742</v>
      </c>
      <c r="C172" s="7">
        <v>18467342</v>
      </c>
      <c r="D172" s="8">
        <v>46160.1572453704</v>
      </c>
      <c r="E172" s="6" t="s">
        <v>419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</row>
    <row r="173" s="1" customFormat="1" ht="14.25" hidden="1" spans="1:17">
      <c r="A173" s="1" t="str">
        <f>VLOOKUP(B173,combinate!A:B,2,FALSE)</f>
        <v>Group B</v>
      </c>
      <c r="B173" s="6">
        <v>233272465877</v>
      </c>
      <c r="C173" s="7">
        <v>18964363</v>
      </c>
      <c r="D173" s="8">
        <v>46163.7018865741</v>
      </c>
      <c r="E173" s="6" t="s">
        <v>419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</row>
    <row r="174" s="1" customFormat="1" ht="14.25" hidden="1" spans="1:17">
      <c r="A174" s="1" t="str">
        <f>VLOOKUP(B174,combinate!A:B,2,FALSE)</f>
        <v>Group A</v>
      </c>
      <c r="B174" s="6">
        <v>233257443175</v>
      </c>
      <c r="C174" s="7">
        <v>19094430</v>
      </c>
      <c r="D174" s="8">
        <v>46162.8875115741</v>
      </c>
      <c r="E174" s="6" t="s">
        <v>419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</row>
    <row r="175" s="1" customFormat="1" ht="14.25" hidden="1" spans="1:17">
      <c r="A175" s="1" t="str">
        <f>VLOOKUP(B175,combinate!A:B,2,FALSE)</f>
        <v>Group C</v>
      </c>
      <c r="B175" s="6">
        <v>233546488347</v>
      </c>
      <c r="C175" s="7">
        <v>19660176</v>
      </c>
      <c r="D175" s="8">
        <v>46166.0129166667</v>
      </c>
      <c r="E175" s="6" t="s">
        <v>419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</row>
    <row r="176" s="1" customFormat="1" ht="14.25" hidden="1" spans="1:17">
      <c r="A176" s="1" t="str">
        <f>VLOOKUP(B176,combinate!A:B,2,FALSE)</f>
        <v>Group A</v>
      </c>
      <c r="B176" s="6">
        <v>233257286401</v>
      </c>
      <c r="C176" s="7">
        <v>20291542</v>
      </c>
      <c r="D176" s="8">
        <v>46166.759212963</v>
      </c>
      <c r="E176" s="6" t="s">
        <v>419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</row>
    <row r="177" s="1" customFormat="1" ht="14.25" hidden="1" spans="1:17">
      <c r="A177" s="1" t="str">
        <f>VLOOKUP(B177,combinate!A:B,2,FALSE)</f>
        <v>Group B</v>
      </c>
      <c r="B177" s="6">
        <v>233535830324</v>
      </c>
      <c r="C177" s="7">
        <v>20395155</v>
      </c>
      <c r="D177" s="8">
        <v>46162.7316203704</v>
      </c>
      <c r="E177" s="6" t="s">
        <v>419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</row>
    <row r="178" s="1" customFormat="1" ht="14.25" hidden="1" spans="1:17">
      <c r="A178" s="1" t="str">
        <f>VLOOKUP(B178,combinate!A:B,2,FALSE)</f>
        <v>Group B</v>
      </c>
      <c r="B178" s="6">
        <v>233555041183</v>
      </c>
      <c r="C178" s="7">
        <v>20412445</v>
      </c>
      <c r="D178" s="8">
        <v>46160.5214699074</v>
      </c>
      <c r="E178" s="6" t="s">
        <v>419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</row>
    <row r="179" s="1" customFormat="1" ht="14.25" hidden="1" spans="1:17">
      <c r="A179" s="1" t="str">
        <f>VLOOKUP(B179,combinate!A:B,2,FALSE)</f>
        <v>Group B</v>
      </c>
      <c r="B179" s="6">
        <v>233548307931</v>
      </c>
      <c r="C179" s="7">
        <v>20555245</v>
      </c>
      <c r="D179" s="8">
        <v>46160.82125</v>
      </c>
      <c r="E179" s="6" t="s">
        <v>419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</row>
    <row r="180" s="1" customFormat="1" ht="14.25" hidden="1" spans="1:17">
      <c r="A180" s="1" t="str">
        <f>VLOOKUP(B180,combinate!A:B,2,FALSE)</f>
        <v>Group B</v>
      </c>
      <c r="B180" s="6">
        <v>233245937208</v>
      </c>
      <c r="C180" s="7">
        <v>4964765</v>
      </c>
      <c r="D180" s="8">
        <v>46162.497650463</v>
      </c>
      <c r="E180" s="6" t="s">
        <v>419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</row>
    <row r="181" s="1" customFormat="1" ht="14.25" hidden="1" spans="1:17">
      <c r="A181" s="1" t="str">
        <f>VLOOKUP(B181,combinate!A:B,2,FALSE)</f>
        <v>Group B</v>
      </c>
      <c r="B181" s="6">
        <v>233531894257</v>
      </c>
      <c r="C181" s="7">
        <v>9795303</v>
      </c>
      <c r="D181" s="8">
        <v>46163.8127314815</v>
      </c>
      <c r="E181" s="6" t="s">
        <v>419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</row>
    <row r="182" s="1" customFormat="1" ht="14.25" hidden="1" spans="1:17">
      <c r="A182" s="1" t="str">
        <f>VLOOKUP(B182,combinate!A:B,2,FALSE)</f>
        <v>Group C</v>
      </c>
      <c r="B182" s="6">
        <v>233543679447</v>
      </c>
      <c r="C182" s="7">
        <v>10988769</v>
      </c>
      <c r="D182" s="8">
        <v>46178.4171875</v>
      </c>
      <c r="E182" s="9" t="s">
        <v>415</v>
      </c>
      <c r="F182" s="7">
        <v>34.57</v>
      </c>
      <c r="G182" s="7">
        <v>449.37</v>
      </c>
      <c r="H182" s="7">
        <v>0</v>
      </c>
      <c r="I182" s="7">
        <v>449.37</v>
      </c>
      <c r="J182" s="7">
        <v>0</v>
      </c>
      <c r="K182" s="7">
        <v>220.99</v>
      </c>
      <c r="L182" s="7">
        <v>17</v>
      </c>
      <c r="M182" s="7">
        <v>220.99</v>
      </c>
      <c r="N182" s="7">
        <v>13.69</v>
      </c>
      <c r="O182" s="7">
        <v>178</v>
      </c>
      <c r="P182" s="7">
        <v>0</v>
      </c>
      <c r="Q182" s="7">
        <v>0</v>
      </c>
    </row>
    <row r="183" s="1" customFormat="1" ht="14.25" hidden="1" spans="1:17">
      <c r="A183" s="1" t="str">
        <f>VLOOKUP(B183,combinate!A:B,2,FALSE)</f>
        <v>Group B</v>
      </c>
      <c r="B183" s="6">
        <v>233536561433</v>
      </c>
      <c r="C183" s="7">
        <v>16128585</v>
      </c>
      <c r="D183" s="8">
        <v>46160.6729282407</v>
      </c>
      <c r="E183" s="6" t="s">
        <v>419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</row>
    <row r="184" s="1" customFormat="1" ht="14.25" hidden="1" spans="1:17">
      <c r="A184" s="1" t="str">
        <f>VLOOKUP(B184,combinate!A:B,2,FALSE)</f>
        <v>Group C</v>
      </c>
      <c r="B184" s="6">
        <v>233537555377</v>
      </c>
      <c r="C184" s="7">
        <v>16955619</v>
      </c>
      <c r="D184" s="8">
        <v>46166.8195833333</v>
      </c>
      <c r="E184" s="6" t="s">
        <v>419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</row>
    <row r="185" s="1" customFormat="1" ht="14.25" hidden="1" spans="1:17">
      <c r="A185" s="1" t="str">
        <f>VLOOKUP(B185,combinate!A:B,2,FALSE)</f>
        <v>Group C</v>
      </c>
      <c r="B185" s="6">
        <v>233502081093</v>
      </c>
      <c r="C185" s="7">
        <v>17022597</v>
      </c>
      <c r="D185" s="8">
        <v>46166.5873611111</v>
      </c>
      <c r="E185" s="6" t="s">
        <v>419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</row>
    <row r="186" s="1" customFormat="1" ht="14.25" hidden="1" spans="1:17">
      <c r="A186" s="1" t="str">
        <f>VLOOKUP(B186,combinate!A:B,2,FALSE)</f>
        <v>Group B</v>
      </c>
      <c r="B186" s="6">
        <v>233209744395</v>
      </c>
      <c r="C186" s="7">
        <v>17561275</v>
      </c>
      <c r="D186" s="8">
        <v>46179.7780324074</v>
      </c>
      <c r="E186" s="6" t="s">
        <v>419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</row>
    <row r="187" s="1" customFormat="1" ht="14.25" hidden="1" spans="1:17">
      <c r="A187" s="1" t="str">
        <f>VLOOKUP(B187,combinate!A:B,2,FALSE)</f>
        <v>Group C</v>
      </c>
      <c r="B187" s="6">
        <v>233597120659</v>
      </c>
      <c r="C187" s="7">
        <v>18440676</v>
      </c>
      <c r="D187" s="8">
        <v>46166.8068055556</v>
      </c>
      <c r="E187" s="6" t="s">
        <v>419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</row>
    <row r="188" s="1" customFormat="1" ht="14.25" hidden="1" spans="1:17">
      <c r="A188" s="1" t="str">
        <f>VLOOKUP(B188,combinate!A:B,2,FALSE)</f>
        <v>Group A</v>
      </c>
      <c r="B188" s="6">
        <v>233548694876</v>
      </c>
      <c r="C188" s="7">
        <v>18738320</v>
      </c>
      <c r="D188" s="8">
        <v>46166.7331712963</v>
      </c>
      <c r="E188" s="6" t="s">
        <v>419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</row>
    <row r="189" s="1" customFormat="1" ht="14.25" hidden="1" spans="1:17">
      <c r="A189" s="1" t="str">
        <f>VLOOKUP(B189,combinate!A:B,2,FALSE)</f>
        <v>Group B</v>
      </c>
      <c r="B189" s="6">
        <v>233240030903</v>
      </c>
      <c r="C189" s="7">
        <v>18773205</v>
      </c>
      <c r="D189" s="8">
        <v>46160.4482175926</v>
      </c>
      <c r="E189" s="6" t="s">
        <v>419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</row>
    <row r="190" s="1" customFormat="1" ht="14.25" hidden="1" spans="1:17">
      <c r="A190" s="1" t="str">
        <f>VLOOKUP(B190,combinate!A:B,2,FALSE)</f>
        <v>Group B</v>
      </c>
      <c r="B190" s="6">
        <v>233532035600</v>
      </c>
      <c r="C190" s="7">
        <v>18844063</v>
      </c>
      <c r="D190" s="8">
        <v>46184.3609953704</v>
      </c>
      <c r="E190" s="9" t="s">
        <v>415</v>
      </c>
      <c r="F190" s="7">
        <v>91.88</v>
      </c>
      <c r="G190" s="7">
        <v>1194.5</v>
      </c>
      <c r="H190" s="7">
        <v>0</v>
      </c>
      <c r="I190" s="7">
        <v>1194.5</v>
      </c>
      <c r="J190" s="7">
        <v>0</v>
      </c>
      <c r="K190" s="7">
        <v>382.39</v>
      </c>
      <c r="L190" s="7">
        <v>29.41</v>
      </c>
      <c r="M190" s="7">
        <v>382.39</v>
      </c>
      <c r="N190" s="7">
        <v>24.69</v>
      </c>
      <c r="O190" s="7">
        <v>321</v>
      </c>
      <c r="P190" s="7">
        <v>0</v>
      </c>
      <c r="Q190" s="7">
        <v>0</v>
      </c>
    </row>
    <row r="191" s="1" customFormat="1" ht="14.25" hidden="1" spans="1:17">
      <c r="A191" s="1" t="str">
        <f>VLOOKUP(B191,combinate!A:B,2,FALSE)</f>
        <v>Group A</v>
      </c>
      <c r="B191" s="6">
        <v>233248356133</v>
      </c>
      <c r="C191" s="7">
        <v>19371962</v>
      </c>
      <c r="D191" s="8">
        <v>46161.3747453704</v>
      </c>
      <c r="E191" s="6" t="s">
        <v>419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</row>
    <row r="192" s="1" customFormat="1" ht="14.25" hidden="1" spans="1:17">
      <c r="A192" s="1" t="str">
        <f>VLOOKUP(B192,combinate!A:B,2,FALSE)</f>
        <v>Group B</v>
      </c>
      <c r="B192" s="6">
        <v>233591381501</v>
      </c>
      <c r="C192" s="7">
        <v>5586014</v>
      </c>
      <c r="D192" s="8">
        <v>46183.9333564815</v>
      </c>
      <c r="E192" s="9" t="s">
        <v>415</v>
      </c>
      <c r="F192" s="7">
        <v>30.95</v>
      </c>
      <c r="G192" s="7">
        <v>402.34</v>
      </c>
      <c r="H192" s="7">
        <v>0</v>
      </c>
      <c r="I192" s="7">
        <v>402.34</v>
      </c>
      <c r="J192" s="7">
        <v>0</v>
      </c>
      <c r="K192" s="7">
        <v>218.51</v>
      </c>
      <c r="L192" s="7">
        <v>16.81</v>
      </c>
      <c r="M192" s="7">
        <v>218.51</v>
      </c>
      <c r="N192" s="7">
        <v>17.85</v>
      </c>
      <c r="O192" s="7">
        <v>232</v>
      </c>
      <c r="P192" s="7">
        <v>23.08</v>
      </c>
      <c r="Q192" s="7">
        <v>300</v>
      </c>
    </row>
    <row r="193" s="1" customFormat="1" ht="14.25" hidden="1" spans="1:17">
      <c r="A193" s="1" t="str">
        <f>VLOOKUP(B193,combinate!A:B,2,FALSE)</f>
        <v>Group C</v>
      </c>
      <c r="B193" s="6">
        <v>233559223319</v>
      </c>
      <c r="C193" s="7">
        <v>8460878</v>
      </c>
      <c r="D193" s="8">
        <v>46160.4215625</v>
      </c>
      <c r="E193" s="6" t="s">
        <v>419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</row>
    <row r="194" s="1" customFormat="1" ht="14.25" hidden="1" spans="1:17">
      <c r="A194" s="1" t="str">
        <f>VLOOKUP(B194,combinate!A:B,2,FALSE)</f>
        <v>Group B</v>
      </c>
      <c r="B194" s="6">
        <v>233246773930</v>
      </c>
      <c r="C194" s="7">
        <v>9895703</v>
      </c>
      <c r="D194" s="8">
        <v>46163.5864236111</v>
      </c>
      <c r="E194" s="6" t="s">
        <v>419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</row>
    <row r="195" s="1" customFormat="1" ht="14.25" hidden="1" spans="1:17">
      <c r="A195" s="1" t="str">
        <f>VLOOKUP(B195,combinate!A:B,2,FALSE)</f>
        <v>Group C</v>
      </c>
      <c r="B195" s="6">
        <v>233530602308</v>
      </c>
      <c r="C195" s="7">
        <v>10343166</v>
      </c>
      <c r="D195" s="8">
        <v>46166.7181134259</v>
      </c>
      <c r="E195" s="6" t="s">
        <v>419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</row>
    <row r="196" s="1" customFormat="1" ht="14.25" hidden="1" spans="1:17">
      <c r="A196" s="1" t="str">
        <f>VLOOKUP(B196,combinate!A:B,2,FALSE)</f>
        <v>Group C</v>
      </c>
      <c r="B196" s="6">
        <v>233206463544</v>
      </c>
      <c r="C196" s="7">
        <v>10831809</v>
      </c>
      <c r="D196" s="8">
        <v>46162.2610416667</v>
      </c>
      <c r="E196" s="6" t="s">
        <v>419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</row>
    <row r="197" s="1" customFormat="1" ht="14.25" hidden="1" spans="1:17">
      <c r="A197" s="1" t="str">
        <f>VLOOKUP(B197,combinate!A:B,2,FALSE)</f>
        <v>Group B</v>
      </c>
      <c r="B197" s="6">
        <v>233533450790</v>
      </c>
      <c r="C197" s="7">
        <v>12794153</v>
      </c>
      <c r="D197" s="8">
        <v>46162.4204050926</v>
      </c>
      <c r="E197" s="6" t="s">
        <v>419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</row>
    <row r="198" s="1" customFormat="1" ht="14.25" hidden="1" spans="1:17">
      <c r="A198" s="1" t="str">
        <f>VLOOKUP(B198,combinate!A:B,2,FALSE)</f>
        <v>Group B</v>
      </c>
      <c r="B198" s="6">
        <v>233539622144</v>
      </c>
      <c r="C198" s="7">
        <v>13052233</v>
      </c>
      <c r="D198" s="8">
        <v>46163.8746990741</v>
      </c>
      <c r="E198" s="6" t="s">
        <v>419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</row>
    <row r="199" s="1" customFormat="1" ht="14.25" hidden="1" spans="1:17">
      <c r="A199" s="1" t="str">
        <f>VLOOKUP(B199,combinate!A:B,2,FALSE)</f>
        <v>Group C</v>
      </c>
      <c r="B199" s="6">
        <v>233535869485</v>
      </c>
      <c r="C199" s="7">
        <v>13406686</v>
      </c>
      <c r="D199" s="8">
        <v>46177.6802893519</v>
      </c>
      <c r="E199" s="6" t="s">
        <v>419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</row>
    <row r="200" s="1" customFormat="1" ht="14.25" hidden="1" spans="1:17">
      <c r="A200" s="1" t="str">
        <f>VLOOKUP(B200,combinate!A:B,2,FALSE)</f>
        <v>Group C</v>
      </c>
      <c r="B200" s="6">
        <v>233535980488</v>
      </c>
      <c r="C200" s="7">
        <v>14873809</v>
      </c>
      <c r="D200" s="8">
        <v>46166.2870138889</v>
      </c>
      <c r="E200" s="6" t="s">
        <v>419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</row>
    <row r="201" s="1" customFormat="1" ht="14.25" hidden="1" spans="1:17">
      <c r="A201" s="1" t="str">
        <f>VLOOKUP(B201,combinate!A:B,2,FALSE)</f>
        <v>Group B</v>
      </c>
      <c r="B201" s="6">
        <v>233532698754</v>
      </c>
      <c r="C201" s="7">
        <v>16123334</v>
      </c>
      <c r="D201" s="8">
        <v>46183.7024189815</v>
      </c>
      <c r="E201" s="6" t="s">
        <v>419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</row>
    <row r="202" s="1" customFormat="1" ht="14.25" hidden="1" spans="1:17">
      <c r="A202" s="1" t="str">
        <f>VLOOKUP(B202,combinate!A:B,2,FALSE)</f>
        <v>Group B</v>
      </c>
      <c r="B202" s="6">
        <v>233591433531</v>
      </c>
      <c r="C202" s="7">
        <v>16126013</v>
      </c>
      <c r="D202" s="8">
        <v>46162.6581944444</v>
      </c>
      <c r="E202" s="6" t="s">
        <v>419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</row>
    <row r="203" s="1" customFormat="1" ht="14.25" hidden="1" spans="1:17">
      <c r="A203" s="1" t="str">
        <f>VLOOKUP(B203,combinate!A:B,2,FALSE)</f>
        <v>Group C</v>
      </c>
      <c r="B203" s="6">
        <v>233256440051</v>
      </c>
      <c r="C203" s="7">
        <v>16883507</v>
      </c>
      <c r="D203" s="8">
        <v>46161.9653240741</v>
      </c>
      <c r="E203" s="6" t="s">
        <v>419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</row>
    <row r="204" s="1" customFormat="1" ht="14.25" hidden="1" spans="1:17">
      <c r="A204" s="1" t="str">
        <f>VLOOKUP(B204,combinate!A:B,2,FALSE)</f>
        <v>Group C</v>
      </c>
      <c r="B204" s="6">
        <v>233544706880</v>
      </c>
      <c r="C204" s="7">
        <v>16958296</v>
      </c>
      <c r="D204" s="8">
        <v>46161.4494328704</v>
      </c>
      <c r="E204" s="6" t="s">
        <v>419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</row>
    <row r="205" s="1" customFormat="1" ht="14.25" hidden="1" spans="1:17">
      <c r="A205" s="1" t="str">
        <f>VLOOKUP(B205,combinate!A:B,2,FALSE)</f>
        <v>Group A</v>
      </c>
      <c r="B205" s="6">
        <v>233246486641</v>
      </c>
      <c r="C205" s="7">
        <v>17657980</v>
      </c>
      <c r="D205" s="8">
        <v>46179.6595833333</v>
      </c>
      <c r="E205" s="9" t="s">
        <v>415</v>
      </c>
      <c r="F205" s="7">
        <v>9.73</v>
      </c>
      <c r="G205" s="7">
        <v>126.5</v>
      </c>
      <c r="H205" s="7">
        <v>0</v>
      </c>
      <c r="I205" s="7">
        <v>126.5</v>
      </c>
      <c r="J205" s="7">
        <v>0</v>
      </c>
      <c r="K205" s="7">
        <v>82.7</v>
      </c>
      <c r="L205" s="7">
        <v>6.36</v>
      </c>
      <c r="M205" s="7">
        <v>82.7</v>
      </c>
      <c r="N205" s="7">
        <v>6.38</v>
      </c>
      <c r="O205" s="7">
        <v>83</v>
      </c>
      <c r="P205" s="7">
        <v>0</v>
      </c>
      <c r="Q205" s="7">
        <v>0</v>
      </c>
    </row>
    <row r="206" s="1" customFormat="1" ht="14.25" hidden="1" spans="1:17">
      <c r="A206" s="1" t="str">
        <f>VLOOKUP(B206,combinate!A:B,2,FALSE)</f>
        <v>Group C</v>
      </c>
      <c r="B206" s="6">
        <v>233247235984</v>
      </c>
      <c r="C206" s="7">
        <v>17731547</v>
      </c>
      <c r="D206" s="8">
        <v>46181.4686805556</v>
      </c>
      <c r="E206" s="9" t="s">
        <v>415</v>
      </c>
      <c r="F206" s="7">
        <v>4.27</v>
      </c>
      <c r="G206" s="7">
        <v>55.5</v>
      </c>
      <c r="H206" s="7">
        <v>0</v>
      </c>
      <c r="I206" s="7">
        <v>55.5</v>
      </c>
      <c r="J206" s="7">
        <v>0</v>
      </c>
      <c r="K206" s="7">
        <v>20.1</v>
      </c>
      <c r="L206" s="7">
        <v>1.55</v>
      </c>
      <c r="M206" s="7">
        <v>20.1</v>
      </c>
      <c r="N206" s="7">
        <v>1.54</v>
      </c>
      <c r="O206" s="7">
        <v>20</v>
      </c>
      <c r="P206" s="7">
        <v>0</v>
      </c>
      <c r="Q206" s="7">
        <v>0</v>
      </c>
    </row>
    <row r="207" s="1" customFormat="1" ht="14.25" hidden="1" spans="1:17">
      <c r="A207" s="1" t="str">
        <f>VLOOKUP(B207,combinate!A:B,2,FALSE)</f>
        <v>Group C</v>
      </c>
      <c r="B207" s="6">
        <v>233540624253</v>
      </c>
      <c r="C207" s="7">
        <v>17838248</v>
      </c>
      <c r="D207" s="8">
        <v>46184.1457291667</v>
      </c>
      <c r="E207" s="9" t="s">
        <v>415</v>
      </c>
      <c r="F207" s="7">
        <v>150.19</v>
      </c>
      <c r="G207" s="7">
        <v>1952.5</v>
      </c>
      <c r="H207" s="7">
        <v>10</v>
      </c>
      <c r="I207" s="7">
        <v>1942.5</v>
      </c>
      <c r="J207" s="7">
        <v>10</v>
      </c>
      <c r="K207" s="7">
        <v>437.89</v>
      </c>
      <c r="L207" s="7">
        <v>34.45</v>
      </c>
      <c r="M207" s="7">
        <v>447.89</v>
      </c>
      <c r="N207" s="7">
        <v>46</v>
      </c>
      <c r="O207" s="7">
        <v>598</v>
      </c>
      <c r="P207" s="7">
        <v>11.54</v>
      </c>
      <c r="Q207" s="7">
        <v>150</v>
      </c>
    </row>
    <row r="208" s="1" customFormat="1" ht="14.25" hidden="1" spans="1:17">
      <c r="A208" s="1" t="str">
        <f>VLOOKUP(B208,combinate!A:B,2,FALSE)</f>
        <v>Group A</v>
      </c>
      <c r="B208" s="6">
        <v>233245294616</v>
      </c>
      <c r="C208" s="7">
        <v>17945461</v>
      </c>
      <c r="D208" s="8">
        <v>46181.8216898148</v>
      </c>
      <c r="E208" s="6" t="s">
        <v>419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</row>
    <row r="209" s="1" customFormat="1" ht="14.25" hidden="1" spans="1:17">
      <c r="A209" s="1" t="str">
        <f>VLOOKUP(B209,combinate!A:B,2,FALSE)</f>
        <v>Group C</v>
      </c>
      <c r="B209" s="6">
        <v>233544180624</v>
      </c>
      <c r="C209" s="7">
        <v>18962287</v>
      </c>
      <c r="D209" s="8">
        <v>46160.642974537</v>
      </c>
      <c r="E209" s="6" t="s">
        <v>419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</row>
    <row r="210" s="1" customFormat="1" ht="14.25" hidden="1" spans="1:17">
      <c r="A210" s="1" t="str">
        <f>VLOOKUP(B210,combinate!A:B,2,FALSE)</f>
        <v>Group B</v>
      </c>
      <c r="B210" s="6">
        <v>233559186932</v>
      </c>
      <c r="C210" s="7">
        <v>19546764</v>
      </c>
      <c r="D210" s="8">
        <v>46166.6204166667</v>
      </c>
      <c r="E210" s="6" t="s">
        <v>419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</row>
    <row r="211" s="1" customFormat="1" ht="14.25" hidden="1" spans="1:17">
      <c r="A211" s="1" t="str">
        <f>VLOOKUP(B211,combinate!A:B,2,FALSE)</f>
        <v>Group C</v>
      </c>
      <c r="B211" s="6">
        <v>233544269565</v>
      </c>
      <c r="C211" s="7">
        <v>20113108</v>
      </c>
      <c r="D211" s="8">
        <v>46160.3835648148</v>
      </c>
      <c r="E211" s="6" t="s">
        <v>419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</row>
    <row r="212" s="1" customFormat="1" ht="14.25" hidden="1" spans="1:17">
      <c r="A212" s="1" t="str">
        <f>VLOOKUP(B212,combinate!A:B,2,FALSE)</f>
        <v>Group B</v>
      </c>
      <c r="B212" s="6">
        <v>233541808237</v>
      </c>
      <c r="C212" s="7">
        <v>20226304</v>
      </c>
      <c r="D212" s="8">
        <v>46184.4012384259</v>
      </c>
      <c r="E212" s="9" t="s">
        <v>415</v>
      </c>
      <c r="F212" s="7">
        <v>208.54</v>
      </c>
      <c r="G212" s="7">
        <v>2711</v>
      </c>
      <c r="H212" s="7">
        <v>0</v>
      </c>
      <c r="I212" s="7">
        <v>2711</v>
      </c>
      <c r="J212" s="7">
        <v>0</v>
      </c>
      <c r="K212" s="7">
        <v>149.78</v>
      </c>
      <c r="L212" s="7">
        <v>11.52</v>
      </c>
      <c r="M212" s="7">
        <v>149.78</v>
      </c>
      <c r="N212" s="7">
        <v>11.54</v>
      </c>
      <c r="O212" s="7">
        <v>150</v>
      </c>
      <c r="P212" s="7">
        <v>0</v>
      </c>
      <c r="Q212" s="7">
        <v>0</v>
      </c>
    </row>
    <row r="213" s="1" customFormat="1" ht="14.25" hidden="1" spans="1:17">
      <c r="A213" s="1" t="str">
        <f>VLOOKUP(B213,combinate!A:B,2,FALSE)</f>
        <v>Group C</v>
      </c>
      <c r="B213" s="6">
        <v>233535475914</v>
      </c>
      <c r="C213" s="7">
        <v>20453866</v>
      </c>
      <c r="D213" s="8">
        <v>46184.0162847222</v>
      </c>
      <c r="E213" s="9" t="s">
        <v>415</v>
      </c>
      <c r="F213" s="7">
        <v>172.54</v>
      </c>
      <c r="G213" s="7">
        <v>2243</v>
      </c>
      <c r="H213" s="7">
        <v>0</v>
      </c>
      <c r="I213" s="7">
        <v>2243</v>
      </c>
      <c r="J213" s="7">
        <v>0</v>
      </c>
      <c r="K213" s="7">
        <v>-199.26</v>
      </c>
      <c r="L213" s="7">
        <v>-15.33</v>
      </c>
      <c r="M213" s="7">
        <v>-199.26</v>
      </c>
      <c r="N213" s="7">
        <v>26.92</v>
      </c>
      <c r="O213" s="7">
        <v>350</v>
      </c>
      <c r="P213" s="7">
        <v>101</v>
      </c>
      <c r="Q213" s="7">
        <v>1313</v>
      </c>
    </row>
    <row r="214" s="1" customFormat="1" ht="14.25" hidden="1" spans="1:17">
      <c r="A214" s="1" t="str">
        <f>VLOOKUP(B214,combinate!A:B,2,FALSE)</f>
        <v>Group B</v>
      </c>
      <c r="B214" s="6">
        <v>233207133573</v>
      </c>
      <c r="C214" s="7">
        <v>20640865</v>
      </c>
      <c r="D214" s="8">
        <v>46162.2968865741</v>
      </c>
      <c r="E214" s="6" t="s">
        <v>419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</row>
    <row r="215" s="1" customFormat="1" ht="14.25" hidden="1" spans="1:17">
      <c r="A215" s="1" t="str">
        <f>VLOOKUP(B215,combinate!A:B,2,FALSE)</f>
        <v>Group B</v>
      </c>
      <c r="B215" s="6">
        <v>233545274515</v>
      </c>
      <c r="C215" s="7">
        <v>20673873</v>
      </c>
      <c r="D215" s="8">
        <v>46161.9547685185</v>
      </c>
      <c r="E215" s="6" t="s">
        <v>419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</row>
    <row r="216" s="1" customFormat="1" ht="14.25" hidden="1" spans="1:17">
      <c r="A216" s="1" t="str">
        <f>VLOOKUP(B216,combinate!A:B,2,FALSE)</f>
        <v>Group A</v>
      </c>
      <c r="B216" s="6">
        <v>233540993379</v>
      </c>
      <c r="C216" s="7">
        <v>13189232</v>
      </c>
      <c r="D216" s="8">
        <v>46177.9714236111</v>
      </c>
      <c r="E216" s="9" t="s">
        <v>415</v>
      </c>
      <c r="F216" s="7">
        <v>0.69</v>
      </c>
      <c r="G216" s="7">
        <v>9</v>
      </c>
      <c r="H216" s="7">
        <v>0</v>
      </c>
      <c r="I216" s="7">
        <v>9</v>
      </c>
      <c r="J216" s="7">
        <v>0</v>
      </c>
      <c r="K216" s="7">
        <v>9</v>
      </c>
      <c r="L216" s="7">
        <v>0.69</v>
      </c>
      <c r="M216" s="7">
        <v>9</v>
      </c>
      <c r="N216" s="7">
        <v>0.69</v>
      </c>
      <c r="O216" s="7">
        <v>9</v>
      </c>
      <c r="P216" s="7">
        <v>0</v>
      </c>
      <c r="Q216" s="7">
        <v>0</v>
      </c>
    </row>
    <row r="217" s="1" customFormat="1" ht="14.25" hidden="1" spans="1:17">
      <c r="A217" s="1" t="str">
        <f>VLOOKUP(B217,combinate!A:B,2,FALSE)</f>
        <v>Group B</v>
      </c>
      <c r="B217" s="6">
        <v>233245586585</v>
      </c>
      <c r="C217" s="7">
        <v>13671925</v>
      </c>
      <c r="D217" s="8">
        <v>46183.2612962963</v>
      </c>
      <c r="E217" s="9" t="s">
        <v>415</v>
      </c>
      <c r="F217" s="7">
        <v>78.46</v>
      </c>
      <c r="G217" s="7">
        <v>1020</v>
      </c>
      <c r="H217" s="7">
        <v>0</v>
      </c>
      <c r="I217" s="7">
        <v>1020</v>
      </c>
      <c r="J217" s="7">
        <v>0</v>
      </c>
      <c r="K217" s="7">
        <v>46.56</v>
      </c>
      <c r="L217" s="7">
        <v>3.58</v>
      </c>
      <c r="M217" s="7">
        <v>46.56</v>
      </c>
      <c r="N217" s="7">
        <v>11.54</v>
      </c>
      <c r="O217" s="7">
        <v>150</v>
      </c>
      <c r="P217" s="7">
        <v>7.92</v>
      </c>
      <c r="Q217" s="7">
        <v>103</v>
      </c>
    </row>
    <row r="218" s="1" customFormat="1" ht="14.25" hidden="1" spans="1:17">
      <c r="A218" s="1" t="str">
        <f>VLOOKUP(B218,combinate!A:B,2,FALSE)</f>
        <v>Group C</v>
      </c>
      <c r="B218" s="6">
        <v>233548554251</v>
      </c>
      <c r="C218" s="7">
        <v>13802808</v>
      </c>
      <c r="D218" s="8">
        <v>46176.7963425926</v>
      </c>
      <c r="E218" s="6" t="s">
        <v>419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</row>
    <row r="219" s="1" customFormat="1" ht="14.25" hidden="1" spans="1:17">
      <c r="A219" s="1" t="str">
        <f>VLOOKUP(B219,combinate!A:B,2,FALSE)</f>
        <v>Group B</v>
      </c>
      <c r="B219" s="6">
        <v>233202065140</v>
      </c>
      <c r="C219" s="7">
        <v>16659455</v>
      </c>
      <c r="D219" s="8">
        <v>46163.397037037</v>
      </c>
      <c r="E219" s="6" t="s">
        <v>419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</row>
    <row r="220" s="1" customFormat="1" ht="14.25" hidden="1" spans="1:17">
      <c r="A220" s="1" t="str">
        <f>VLOOKUP(B220,combinate!A:B,2,FALSE)</f>
        <v>Group A</v>
      </c>
      <c r="B220" s="6">
        <v>233257783811</v>
      </c>
      <c r="C220" s="7">
        <v>16998061</v>
      </c>
      <c r="D220" s="8">
        <v>46183.2031597222</v>
      </c>
      <c r="E220" s="9" t="s">
        <v>415</v>
      </c>
      <c r="F220" s="7">
        <v>0.95</v>
      </c>
      <c r="G220" s="7">
        <v>12.33</v>
      </c>
      <c r="H220" s="7">
        <v>0</v>
      </c>
      <c r="I220" s="7">
        <v>12.33</v>
      </c>
      <c r="J220" s="7">
        <v>0</v>
      </c>
      <c r="K220" s="7">
        <v>12.33</v>
      </c>
      <c r="L220" s="7">
        <v>0.95</v>
      </c>
      <c r="M220" s="7">
        <v>12.33</v>
      </c>
      <c r="N220" s="7">
        <v>0.92</v>
      </c>
      <c r="O220" s="7">
        <v>12</v>
      </c>
      <c r="P220" s="7">
        <v>0</v>
      </c>
      <c r="Q220" s="7">
        <v>0</v>
      </c>
    </row>
    <row r="221" s="1" customFormat="1" ht="14.25" hidden="1" spans="1:17">
      <c r="A221" s="1" t="str">
        <f>VLOOKUP(B221,combinate!A:B,2,FALSE)</f>
        <v>Group C</v>
      </c>
      <c r="B221" s="6">
        <v>233536276569</v>
      </c>
      <c r="C221" s="7">
        <v>17504579</v>
      </c>
      <c r="D221" s="8">
        <v>46181.657650463</v>
      </c>
      <c r="E221" s="9" t="s">
        <v>415</v>
      </c>
      <c r="F221" s="7">
        <v>4.31</v>
      </c>
      <c r="G221" s="7">
        <v>56</v>
      </c>
      <c r="H221" s="7">
        <v>0</v>
      </c>
      <c r="I221" s="7">
        <v>56</v>
      </c>
      <c r="J221" s="7">
        <v>0</v>
      </c>
      <c r="K221" s="7">
        <v>20</v>
      </c>
      <c r="L221" s="7">
        <v>1.54</v>
      </c>
      <c r="M221" s="7">
        <v>20</v>
      </c>
      <c r="N221" s="7">
        <v>1.54</v>
      </c>
      <c r="O221" s="7">
        <v>20</v>
      </c>
      <c r="P221" s="7">
        <v>1.54</v>
      </c>
      <c r="Q221" s="7">
        <v>20</v>
      </c>
    </row>
    <row r="222" s="1" customFormat="1" ht="14.25" hidden="1" spans="1:17">
      <c r="A222" s="1" t="str">
        <f>VLOOKUP(B222,combinate!A:B,2,FALSE)</f>
        <v>Group B</v>
      </c>
      <c r="B222" s="6">
        <v>233592872040</v>
      </c>
      <c r="C222" s="7">
        <v>17785184</v>
      </c>
      <c r="D222" s="8">
        <v>46180.3326851852</v>
      </c>
      <c r="E222" s="9" t="s">
        <v>415</v>
      </c>
      <c r="F222" s="7">
        <v>1.65</v>
      </c>
      <c r="G222" s="7">
        <v>21.5</v>
      </c>
      <c r="H222" s="7">
        <v>0</v>
      </c>
      <c r="I222" s="7">
        <v>21.5</v>
      </c>
      <c r="J222" s="7">
        <v>0</v>
      </c>
      <c r="K222" s="7">
        <v>14.9</v>
      </c>
      <c r="L222" s="7">
        <v>1.15</v>
      </c>
      <c r="M222" s="7">
        <v>14.9</v>
      </c>
      <c r="N222" s="7">
        <v>1.15</v>
      </c>
      <c r="O222" s="7">
        <v>15</v>
      </c>
      <c r="P222" s="7">
        <v>0</v>
      </c>
      <c r="Q222" s="7">
        <v>0</v>
      </c>
    </row>
    <row r="223" s="1" customFormat="1" ht="14.25" hidden="1" spans="1:17">
      <c r="A223" s="1" t="str">
        <f>VLOOKUP(B223,combinate!A:B,2,FALSE)</f>
        <v>Group B</v>
      </c>
      <c r="B223" s="6">
        <v>233537489835</v>
      </c>
      <c r="C223" s="7">
        <v>17838754</v>
      </c>
      <c r="D223" s="8">
        <v>46175.5542592593</v>
      </c>
      <c r="E223" s="6" t="s">
        <v>419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</row>
    <row r="224" s="1" customFormat="1" ht="14.25" hidden="1" spans="1:17">
      <c r="A224" s="1" t="str">
        <f>VLOOKUP(B224,combinate!A:B,2,FALSE)</f>
        <v>Group B</v>
      </c>
      <c r="B224" s="6">
        <v>233202159883</v>
      </c>
      <c r="C224" s="7">
        <v>18111154</v>
      </c>
      <c r="D224" s="8">
        <v>46166.9783101852</v>
      </c>
      <c r="E224" s="6" t="s">
        <v>419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</row>
    <row r="225" s="1" customFormat="1" ht="14.25" hidden="1" spans="1:17">
      <c r="A225" s="1" t="str">
        <f>VLOOKUP(B225,combinate!A:B,2,FALSE)</f>
        <v>Group C</v>
      </c>
      <c r="B225" s="6">
        <v>233545850627</v>
      </c>
      <c r="C225" s="7">
        <v>18232786</v>
      </c>
      <c r="D225" s="8">
        <v>46162.4311689815</v>
      </c>
      <c r="E225" s="6" t="s">
        <v>419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</row>
    <row r="226" s="1" customFormat="1" ht="14.25" hidden="1" spans="1:17">
      <c r="A226" s="1" t="str">
        <f>VLOOKUP(B226,combinate!A:B,2,FALSE)</f>
        <v>Group A</v>
      </c>
      <c r="B226" s="6">
        <v>233599049022</v>
      </c>
      <c r="C226" s="7">
        <v>18294781</v>
      </c>
      <c r="D226" s="8">
        <v>46178.5021296296</v>
      </c>
      <c r="E226" s="6" t="s">
        <v>419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</row>
    <row r="227" s="1" customFormat="1" ht="14.25" hidden="1" spans="1:17">
      <c r="A227" s="1" t="str">
        <f>VLOOKUP(B227,combinate!A:B,2,FALSE)</f>
        <v>Group B</v>
      </c>
      <c r="B227" s="6">
        <v>233500580056</v>
      </c>
      <c r="C227" s="7">
        <v>18348573</v>
      </c>
      <c r="D227" s="8">
        <v>46181.3532060185</v>
      </c>
      <c r="E227" s="9" t="s">
        <v>415</v>
      </c>
      <c r="F227" s="7">
        <v>3.59</v>
      </c>
      <c r="G227" s="7">
        <v>46.65</v>
      </c>
      <c r="H227" s="7">
        <v>0</v>
      </c>
      <c r="I227" s="7">
        <v>46.65</v>
      </c>
      <c r="J227" s="7">
        <v>0</v>
      </c>
      <c r="K227" s="7">
        <v>9.89</v>
      </c>
      <c r="L227" s="7">
        <v>0.76</v>
      </c>
      <c r="M227" s="7">
        <v>9.89</v>
      </c>
      <c r="N227" s="7">
        <v>1.92</v>
      </c>
      <c r="O227" s="7">
        <v>25</v>
      </c>
      <c r="P227" s="7">
        <v>1.15</v>
      </c>
      <c r="Q227" s="7">
        <v>15</v>
      </c>
    </row>
    <row r="228" s="1" customFormat="1" ht="14.25" hidden="1" spans="1:17">
      <c r="A228" s="1" t="str">
        <f>VLOOKUP(B228,combinate!A:B,2,FALSE)</f>
        <v>Group B</v>
      </c>
      <c r="B228" s="6">
        <v>233244290896</v>
      </c>
      <c r="C228" s="7">
        <v>18882804</v>
      </c>
      <c r="D228" s="8">
        <v>46161.5493055556</v>
      </c>
      <c r="E228" s="6" t="s">
        <v>419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</row>
    <row r="229" s="1" customFormat="1" ht="14.25" spans="1:17">
      <c r="A229" s="1" t="str">
        <f>VLOOKUP(B229,combinate!A:B,2,FALSE)</f>
        <v>Group C</v>
      </c>
      <c r="B229" s="6">
        <v>233559996063</v>
      </c>
      <c r="C229" s="7">
        <v>19040939</v>
      </c>
      <c r="D229" s="8">
        <v>46183.6253125</v>
      </c>
      <c r="E229" s="9" t="s">
        <v>415</v>
      </c>
      <c r="F229" s="7">
        <v>3224.42</v>
      </c>
      <c r="G229" s="7">
        <v>41917.47</v>
      </c>
      <c r="H229" s="7">
        <v>0</v>
      </c>
      <c r="I229" s="7">
        <v>41917.47</v>
      </c>
      <c r="J229" s="7">
        <v>0</v>
      </c>
      <c r="K229" s="7">
        <v>7034.64</v>
      </c>
      <c r="L229" s="7">
        <v>541.13</v>
      </c>
      <c r="M229" s="7">
        <v>7034.64</v>
      </c>
      <c r="N229" s="7">
        <v>786.77</v>
      </c>
      <c r="O229" s="7">
        <v>10228</v>
      </c>
      <c r="P229" s="7">
        <v>538.46</v>
      </c>
      <c r="Q229" s="7">
        <v>7000</v>
      </c>
    </row>
    <row r="230" s="1" customFormat="1" ht="14.25" hidden="1" spans="1:17">
      <c r="A230" s="1" t="str">
        <f>VLOOKUP(B230,combinate!A:B,2,FALSE)</f>
        <v>Group C</v>
      </c>
      <c r="B230" s="6">
        <v>233592057174</v>
      </c>
      <c r="C230" s="7">
        <v>19257039</v>
      </c>
      <c r="D230" s="8">
        <v>46176.4328703704</v>
      </c>
      <c r="E230" s="6" t="s">
        <v>419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</row>
    <row r="231" s="1" customFormat="1" ht="14.25" hidden="1" spans="1:17">
      <c r="A231" s="1" t="str">
        <f>VLOOKUP(B231,combinate!A:B,2,FALSE)</f>
        <v>Group B</v>
      </c>
      <c r="B231" s="6">
        <v>233533549777</v>
      </c>
      <c r="C231" s="7">
        <v>19680015</v>
      </c>
      <c r="D231" s="8">
        <v>46180.9565972222</v>
      </c>
      <c r="E231" s="9" t="s">
        <v>415</v>
      </c>
      <c r="F231" s="7">
        <v>164.08</v>
      </c>
      <c r="G231" s="7">
        <v>2133</v>
      </c>
      <c r="H231" s="7">
        <v>0</v>
      </c>
      <c r="I231" s="7">
        <v>2133</v>
      </c>
      <c r="J231" s="7">
        <v>0</v>
      </c>
      <c r="K231" s="7">
        <v>801.63</v>
      </c>
      <c r="L231" s="7">
        <v>61.66</v>
      </c>
      <c r="M231" s="7">
        <v>801.63</v>
      </c>
      <c r="N231" s="7">
        <v>0</v>
      </c>
      <c r="O231" s="7">
        <v>0</v>
      </c>
      <c r="P231" s="7">
        <v>0</v>
      </c>
      <c r="Q231" s="7">
        <v>0</v>
      </c>
    </row>
    <row r="232" s="1" customFormat="1" ht="14.25" hidden="1" spans="1:17">
      <c r="A232" s="1" t="str">
        <f>VLOOKUP(B232,combinate!A:B,2,FALSE)</f>
        <v>Group C</v>
      </c>
      <c r="B232" s="6">
        <v>233257799338</v>
      </c>
      <c r="C232" s="7">
        <v>20385847</v>
      </c>
      <c r="D232" s="8">
        <v>46182.5416550926</v>
      </c>
      <c r="E232" s="6" t="s">
        <v>419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</row>
    <row r="233" s="1" customFormat="1" ht="14.25" hidden="1" spans="1:17">
      <c r="A233" s="1" t="str">
        <f>VLOOKUP(B233,combinate!A:B,2,FALSE)</f>
        <v>Group C</v>
      </c>
      <c r="B233" s="6">
        <v>233547789793</v>
      </c>
      <c r="C233" s="7">
        <v>6091327</v>
      </c>
      <c r="D233" s="8">
        <v>46161.4611226852</v>
      </c>
      <c r="E233" s="6" t="s">
        <v>419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</row>
    <row r="234" s="1" customFormat="1" ht="14.25" hidden="1" spans="1:17">
      <c r="A234" s="1" t="str">
        <f>VLOOKUP(B234,combinate!A:B,2,FALSE)</f>
        <v>Group C</v>
      </c>
      <c r="B234" s="6">
        <v>233556273127</v>
      </c>
      <c r="C234" s="7">
        <v>16697498</v>
      </c>
      <c r="D234" s="8">
        <v>46160.6001273148</v>
      </c>
      <c r="E234" s="6" t="s">
        <v>419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</row>
    <row r="235" s="1" customFormat="1" ht="14.25" hidden="1" spans="1:17">
      <c r="A235" s="1" t="str">
        <f>VLOOKUP(B235,combinate!A:B,2,FALSE)</f>
        <v>Group C</v>
      </c>
      <c r="B235" s="6">
        <v>233508894990</v>
      </c>
      <c r="C235" s="7">
        <v>17511067</v>
      </c>
      <c r="D235" s="8">
        <v>46162.258587963</v>
      </c>
      <c r="E235" s="6" t="s">
        <v>419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</row>
    <row r="236" s="1" customFormat="1" ht="14.25" hidden="1" spans="1:17">
      <c r="A236" s="1" t="str">
        <f>VLOOKUP(B236,combinate!A:B,2,FALSE)</f>
        <v>Group A</v>
      </c>
      <c r="B236" s="6">
        <v>233277807786</v>
      </c>
      <c r="C236" s="7">
        <v>17525512</v>
      </c>
      <c r="D236" s="8">
        <v>46180.9675810185</v>
      </c>
      <c r="E236" s="9" t="s">
        <v>415</v>
      </c>
      <c r="F236" s="7">
        <v>0.77</v>
      </c>
      <c r="G236" s="7">
        <v>10</v>
      </c>
      <c r="H236" s="7">
        <v>0</v>
      </c>
      <c r="I236" s="7">
        <v>10</v>
      </c>
      <c r="J236" s="7">
        <v>0</v>
      </c>
      <c r="K236" s="7">
        <v>10</v>
      </c>
      <c r="L236" s="7">
        <v>0.77</v>
      </c>
      <c r="M236" s="7">
        <v>10</v>
      </c>
      <c r="N236" s="7">
        <v>0.77</v>
      </c>
      <c r="O236" s="7">
        <v>10</v>
      </c>
      <c r="P236" s="7">
        <v>0</v>
      </c>
      <c r="Q236" s="7">
        <v>0</v>
      </c>
    </row>
    <row r="237" s="1" customFormat="1" ht="14.25" hidden="1" spans="1:17">
      <c r="A237" s="1" t="str">
        <f>VLOOKUP(B237,combinate!A:B,2,FALSE)</f>
        <v>Group B</v>
      </c>
      <c r="B237" s="6">
        <v>233209737890</v>
      </c>
      <c r="C237" s="7">
        <v>17745175</v>
      </c>
      <c r="D237" s="8">
        <v>46163.275</v>
      </c>
      <c r="E237" s="6" t="s">
        <v>419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</row>
    <row r="238" s="1" customFormat="1" ht="14.25" hidden="1" spans="1:17">
      <c r="A238" s="1" t="str">
        <f>VLOOKUP(B238,combinate!A:B,2,FALSE)</f>
        <v>Group B</v>
      </c>
      <c r="B238" s="6">
        <v>233267635627</v>
      </c>
      <c r="C238" s="7">
        <v>19415225</v>
      </c>
      <c r="D238" s="8">
        <v>46184.2768518518</v>
      </c>
      <c r="E238" s="6" t="s">
        <v>419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</row>
    <row r="239" s="1" customFormat="1" ht="14.25" hidden="1" spans="1:17">
      <c r="A239" s="1" t="str">
        <f>VLOOKUP(B239,combinate!A:B,2,FALSE)</f>
        <v>Group B</v>
      </c>
      <c r="B239" s="6">
        <v>233594399517</v>
      </c>
      <c r="C239" s="7">
        <v>20366883</v>
      </c>
      <c r="D239" s="8">
        <v>46162.4298611111</v>
      </c>
      <c r="E239" s="6" t="s">
        <v>419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</row>
    <row r="240" s="1" customFormat="1" ht="14.25" hidden="1" spans="1:17">
      <c r="A240" s="1" t="str">
        <f>VLOOKUP(B240,combinate!A:B,2,FALSE)</f>
        <v>Group A</v>
      </c>
      <c r="B240" s="6">
        <v>233542675398</v>
      </c>
      <c r="C240" s="7">
        <v>20540411</v>
      </c>
      <c r="D240" s="8">
        <v>46163.3390277778</v>
      </c>
      <c r="E240" s="6" t="s">
        <v>419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</row>
    <row r="241" s="1" customFormat="1" ht="14.25" hidden="1" spans="1:17">
      <c r="A241" s="1" t="str">
        <f>VLOOKUP(B241,combinate!A:B,2,FALSE)</f>
        <v>Group C</v>
      </c>
      <c r="B241" s="6">
        <v>233505271584</v>
      </c>
      <c r="C241" s="7">
        <v>20721976</v>
      </c>
      <c r="D241" s="8">
        <v>46179.9690162037</v>
      </c>
      <c r="E241" s="6" t="s">
        <v>419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</row>
    <row r="242" s="1" customFormat="1" ht="14.25" hidden="1" spans="1:17">
      <c r="A242" s="1" t="str">
        <f>VLOOKUP(B242,combinate!A:B,2,FALSE)</f>
        <v>Group A</v>
      </c>
      <c r="B242" s="6">
        <v>233549671804</v>
      </c>
      <c r="C242" s="7">
        <v>20890171</v>
      </c>
      <c r="D242" s="8">
        <v>46162.9491898148</v>
      </c>
      <c r="E242" s="6" t="s">
        <v>419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</row>
    <row r="243" s="1" customFormat="1" ht="14.25" hidden="1" spans="1:17">
      <c r="A243" s="1" t="str">
        <f>VLOOKUP(B243,combinate!A:B,2,FALSE)</f>
        <v>Group B</v>
      </c>
      <c r="B243" s="6">
        <v>233505126375</v>
      </c>
      <c r="C243" s="7">
        <v>20899433</v>
      </c>
      <c r="D243" s="8">
        <v>46166.3925347222</v>
      </c>
      <c r="E243" s="6" t="s">
        <v>419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</row>
    <row r="244" s="1" customFormat="1" ht="14.25" hidden="1" spans="1:17">
      <c r="A244" s="1" t="str">
        <f>VLOOKUP(B244,combinate!A:B,2,FALSE)</f>
        <v>Group C</v>
      </c>
      <c r="B244" s="6">
        <v>233531936605</v>
      </c>
      <c r="C244" s="7">
        <v>21012159</v>
      </c>
      <c r="D244" s="8">
        <v>46160.8760185185</v>
      </c>
      <c r="E244" s="6" t="s">
        <v>419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</row>
    <row r="245" s="1" customFormat="1" ht="14.25" hidden="1" spans="1:17">
      <c r="A245" s="1" t="str">
        <f>VLOOKUP(B245,combinate!A:B,2,FALSE)</f>
        <v>Group A</v>
      </c>
      <c r="B245" s="6">
        <v>233593917702</v>
      </c>
      <c r="C245" s="7">
        <v>21065631</v>
      </c>
      <c r="D245" s="8">
        <v>46180.2860763889</v>
      </c>
      <c r="E245" s="6" t="s">
        <v>419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</row>
    <row r="246" s="1" customFormat="1" ht="14.25" hidden="1" spans="1:17">
      <c r="A246" s="1" t="str">
        <f>VLOOKUP(B246,combinate!A:B,2,FALSE)</f>
        <v>Group A</v>
      </c>
      <c r="B246" s="6">
        <v>233530490066</v>
      </c>
      <c r="C246" s="7">
        <v>21170082</v>
      </c>
      <c r="D246" s="8">
        <v>46184.3495023148</v>
      </c>
      <c r="E246" s="9" t="s">
        <v>415</v>
      </c>
      <c r="F246" s="7">
        <v>662.53</v>
      </c>
      <c r="G246" s="7">
        <v>8612.89</v>
      </c>
      <c r="H246" s="7">
        <v>328.8</v>
      </c>
      <c r="I246" s="7">
        <v>8284.09</v>
      </c>
      <c r="J246" s="7">
        <v>107.39</v>
      </c>
      <c r="K246" s="7">
        <v>-182.39</v>
      </c>
      <c r="L246" s="7">
        <v>-5.77</v>
      </c>
      <c r="M246" s="7">
        <v>-75</v>
      </c>
      <c r="N246" s="7">
        <v>107.08</v>
      </c>
      <c r="O246" s="7">
        <v>1392</v>
      </c>
      <c r="P246" s="7">
        <v>112.85</v>
      </c>
      <c r="Q246" s="7">
        <v>1467</v>
      </c>
    </row>
    <row r="247" s="1" customFormat="1" ht="14.25" hidden="1" spans="1:17">
      <c r="A247" s="1" t="str">
        <f>VLOOKUP(B247,combinate!A:B,2,FALSE)</f>
        <v>Group A</v>
      </c>
      <c r="B247" s="6">
        <v>233557086546</v>
      </c>
      <c r="C247" s="7">
        <v>21211651</v>
      </c>
      <c r="D247" s="8">
        <v>46161.2775578704</v>
      </c>
      <c r="E247" s="6" t="s">
        <v>419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</row>
    <row r="248" s="1" customFormat="1" ht="14.25" hidden="1" spans="1:17">
      <c r="A248" s="1" t="str">
        <f>VLOOKUP(B248,combinate!A:B,2,FALSE)</f>
        <v>Group C</v>
      </c>
      <c r="B248" s="6">
        <v>233538252927</v>
      </c>
      <c r="C248" s="7">
        <v>21656767</v>
      </c>
      <c r="D248" s="8">
        <v>46183.8471296296</v>
      </c>
      <c r="E248" s="9" t="s">
        <v>415</v>
      </c>
      <c r="F248" s="7">
        <v>31.54</v>
      </c>
      <c r="G248" s="7">
        <v>410</v>
      </c>
      <c r="H248" s="7">
        <v>0</v>
      </c>
      <c r="I248" s="7">
        <v>410</v>
      </c>
      <c r="J248" s="7">
        <v>0</v>
      </c>
      <c r="K248" s="7">
        <v>-124.8</v>
      </c>
      <c r="L248" s="7">
        <v>-9.6</v>
      </c>
      <c r="M248" s="7">
        <v>-124.8</v>
      </c>
      <c r="N248" s="7">
        <v>1.92</v>
      </c>
      <c r="O248" s="7">
        <v>25</v>
      </c>
      <c r="P248" s="7">
        <v>11.54</v>
      </c>
      <c r="Q248" s="7">
        <v>150</v>
      </c>
    </row>
    <row r="249" s="1" customFormat="1" ht="14.25" hidden="1" spans="1:17">
      <c r="A249" s="1" t="str">
        <f>VLOOKUP(B249,combinate!A:B,2,FALSE)</f>
        <v>Group B</v>
      </c>
      <c r="B249" s="6">
        <v>233257871806</v>
      </c>
      <c r="C249" s="7">
        <v>21679314</v>
      </c>
      <c r="D249" s="8">
        <v>46166.9564236111</v>
      </c>
      <c r="E249" s="6" t="s">
        <v>419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</row>
    <row r="250" s="1" customFormat="1" ht="14.25" hidden="1" spans="1:17">
      <c r="A250" s="1" t="str">
        <f>VLOOKUP(B250,combinate!A:B,2,FALSE)</f>
        <v>Group A</v>
      </c>
      <c r="B250" s="6">
        <v>233592580788</v>
      </c>
      <c r="C250" s="7">
        <v>21762342</v>
      </c>
      <c r="D250" s="8">
        <v>46163.9635300926</v>
      </c>
      <c r="E250" s="6" t="s">
        <v>419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</row>
    <row r="251" s="1" customFormat="1" ht="14.25" hidden="1" spans="1:17">
      <c r="A251" s="1" t="str">
        <f>VLOOKUP(B251,combinate!A:B,2,FALSE)</f>
        <v>Group C</v>
      </c>
      <c r="B251" s="6">
        <v>233503517522</v>
      </c>
      <c r="C251" s="7">
        <v>21942736</v>
      </c>
      <c r="D251" s="8">
        <v>46166.9173263889</v>
      </c>
      <c r="E251" s="6" t="s">
        <v>419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</row>
    <row r="252" s="1" customFormat="1" ht="14.25" hidden="1" spans="1:17">
      <c r="A252" s="1" t="str">
        <f>VLOOKUP(B252,combinate!A:B,2,FALSE)</f>
        <v>Group C</v>
      </c>
      <c r="B252" s="6">
        <v>233558367018</v>
      </c>
      <c r="C252" s="7">
        <v>22071617</v>
      </c>
      <c r="D252" s="8">
        <v>46162.513587963</v>
      </c>
      <c r="E252" s="6" t="s">
        <v>419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</row>
    <row r="253" s="1" customFormat="1" ht="14.25" spans="1:17">
      <c r="A253" s="1" t="str">
        <f>VLOOKUP(B253,combinate!A:B,2,FALSE)</f>
        <v>Group C</v>
      </c>
      <c r="B253" s="6">
        <v>233599762914</v>
      </c>
      <c r="C253" s="7">
        <v>22092099</v>
      </c>
      <c r="D253" s="8">
        <v>46183.7543865741</v>
      </c>
      <c r="E253" s="9" t="s">
        <v>415</v>
      </c>
      <c r="F253" s="7">
        <v>796.56</v>
      </c>
      <c r="G253" s="7">
        <v>10355.32</v>
      </c>
      <c r="H253" s="7">
        <v>1700</v>
      </c>
      <c r="I253" s="7">
        <v>8655.32</v>
      </c>
      <c r="J253" s="7">
        <v>446.64</v>
      </c>
      <c r="K253" s="7">
        <v>3143.82</v>
      </c>
      <c r="L253" s="7">
        <v>276.19</v>
      </c>
      <c r="M253" s="7">
        <v>3590.46</v>
      </c>
      <c r="N253" s="7">
        <v>144.85</v>
      </c>
      <c r="O253" s="7">
        <v>1883</v>
      </c>
      <c r="P253" s="7">
        <v>0</v>
      </c>
      <c r="Q253" s="7">
        <v>0</v>
      </c>
    </row>
    <row r="254" s="1" customFormat="1" ht="14.25" hidden="1" spans="1:17">
      <c r="A254" s="1" t="str">
        <f>VLOOKUP(B254,combinate!A:B,2,FALSE)</f>
        <v>Group A</v>
      </c>
      <c r="B254" s="6">
        <v>233531887435</v>
      </c>
      <c r="C254" s="7">
        <v>22147002</v>
      </c>
      <c r="D254" s="8">
        <v>46181.6196990741</v>
      </c>
      <c r="E254" s="9" t="s">
        <v>415</v>
      </c>
      <c r="F254" s="7">
        <v>6.84</v>
      </c>
      <c r="G254" s="7">
        <v>88.86</v>
      </c>
      <c r="H254" s="7">
        <v>0</v>
      </c>
      <c r="I254" s="7">
        <v>88.86</v>
      </c>
      <c r="J254" s="7">
        <v>0</v>
      </c>
      <c r="K254" s="7">
        <v>40</v>
      </c>
      <c r="L254" s="7">
        <v>3.08</v>
      </c>
      <c r="M254" s="7">
        <v>40</v>
      </c>
      <c r="N254" s="7">
        <v>3.08</v>
      </c>
      <c r="O254" s="7">
        <v>40</v>
      </c>
      <c r="P254" s="7">
        <v>0</v>
      </c>
      <c r="Q254" s="7">
        <v>0</v>
      </c>
    </row>
    <row r="255" s="1" customFormat="1" ht="14.25" hidden="1" spans="1:17">
      <c r="A255" s="1" t="str">
        <f>VLOOKUP(B255,combinate!A:B,2,FALSE)</f>
        <v>Group A</v>
      </c>
      <c r="B255" s="6">
        <v>233243902182</v>
      </c>
      <c r="C255" s="7">
        <v>22153971</v>
      </c>
      <c r="D255" s="8">
        <v>46163.6846064815</v>
      </c>
      <c r="E255" s="6" t="s">
        <v>419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</row>
    <row r="256" s="1" customFormat="1" ht="14.25" hidden="1" spans="1:17">
      <c r="A256" s="1" t="str">
        <f>VLOOKUP(B256,combinate!A:B,2,FALSE)</f>
        <v>Group C</v>
      </c>
      <c r="B256" s="6">
        <v>233245082056</v>
      </c>
      <c r="C256" s="7">
        <v>22187969</v>
      </c>
      <c r="D256" s="8">
        <v>46176.4607638889</v>
      </c>
      <c r="E256" s="9" t="s">
        <v>415</v>
      </c>
      <c r="F256" s="7">
        <v>6.54</v>
      </c>
      <c r="G256" s="7">
        <v>85</v>
      </c>
      <c r="H256" s="7">
        <v>0</v>
      </c>
      <c r="I256" s="7">
        <v>85</v>
      </c>
      <c r="J256" s="7">
        <v>0</v>
      </c>
      <c r="K256" s="7">
        <v>85</v>
      </c>
      <c r="L256" s="7">
        <v>6.54</v>
      </c>
      <c r="M256" s="7">
        <v>85</v>
      </c>
      <c r="N256" s="7">
        <v>12.69</v>
      </c>
      <c r="O256" s="7">
        <v>165</v>
      </c>
      <c r="P256" s="7">
        <v>6.15</v>
      </c>
      <c r="Q256" s="7">
        <v>80</v>
      </c>
    </row>
    <row r="257" s="1" customFormat="1" ht="14.25" hidden="1" spans="1:17">
      <c r="A257" s="1" t="str">
        <f>VLOOKUP(B257,combinate!A:B,2,FALSE)</f>
        <v>Group B</v>
      </c>
      <c r="B257" s="6">
        <v>233543234141</v>
      </c>
      <c r="C257" s="7">
        <v>22399335</v>
      </c>
      <c r="D257" s="8">
        <v>46163.5031018518</v>
      </c>
      <c r="E257" s="6" t="s">
        <v>419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</row>
    <row r="258" s="1" customFormat="1" ht="14.25" hidden="1" spans="1:17">
      <c r="A258" s="1" t="str">
        <f>VLOOKUP(B258,combinate!A:B,2,FALSE)</f>
        <v>Group C</v>
      </c>
      <c r="B258" s="6">
        <v>233208298785</v>
      </c>
      <c r="C258" s="7">
        <v>22431226</v>
      </c>
      <c r="D258" s="8">
        <v>46161.798912037</v>
      </c>
      <c r="E258" s="6" t="s">
        <v>419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</row>
    <row r="259" s="1" customFormat="1" ht="14.25" hidden="1" spans="1:17">
      <c r="A259" s="1" t="str">
        <f>VLOOKUP(B259,combinate!A:B,2,FALSE)</f>
        <v>Group C</v>
      </c>
      <c r="B259" s="6">
        <v>233598339437</v>
      </c>
      <c r="C259" s="7">
        <v>22507627</v>
      </c>
      <c r="D259" s="8">
        <v>46160.3406134259</v>
      </c>
      <c r="E259" s="6" t="s">
        <v>419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</row>
    <row r="260" s="1" customFormat="1" ht="14.25" hidden="1" spans="1:17">
      <c r="A260" s="1" t="str">
        <f>VLOOKUP(B260,combinate!A:B,2,FALSE)</f>
        <v>Group C</v>
      </c>
      <c r="B260" s="6">
        <v>233593950410</v>
      </c>
      <c r="C260" s="7">
        <v>22519006</v>
      </c>
      <c r="D260" s="8">
        <v>46160.4217361111</v>
      </c>
      <c r="E260" s="6" t="s">
        <v>419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</row>
    <row r="261" s="1" customFormat="1" ht="14.25" hidden="1" spans="1:17">
      <c r="A261" s="1" t="str">
        <f>VLOOKUP(B261,combinate!A:B,2,FALSE)</f>
        <v>Group C</v>
      </c>
      <c r="B261" s="6">
        <v>233597408477</v>
      </c>
      <c r="C261" s="7">
        <v>22541819</v>
      </c>
      <c r="D261" s="8">
        <v>46160.7083333333</v>
      </c>
      <c r="E261" s="6" t="s">
        <v>419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</row>
    <row r="262" s="1" customFormat="1" ht="14.25" hidden="1" spans="1:17">
      <c r="A262" s="1" t="str">
        <f>VLOOKUP(B262,combinate!A:B,2,FALSE)</f>
        <v>Group B</v>
      </c>
      <c r="B262" s="6">
        <v>233555333290</v>
      </c>
      <c r="C262" s="7">
        <v>22613094</v>
      </c>
      <c r="D262" s="8">
        <v>46166.7913425926</v>
      </c>
      <c r="E262" s="6" t="s">
        <v>419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</row>
    <row r="263" s="1" customFormat="1" ht="14.25" hidden="1" spans="1:17">
      <c r="A263" s="1" t="str">
        <f>VLOOKUP(B263,combinate!A:B,2,FALSE)</f>
        <v>Group C</v>
      </c>
      <c r="B263" s="6">
        <v>233532647063</v>
      </c>
      <c r="C263" s="7">
        <v>22685996</v>
      </c>
      <c r="D263" s="8">
        <v>46180.718287037</v>
      </c>
      <c r="E263" s="6" t="s">
        <v>419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</row>
    <row r="264" s="1" customFormat="1" ht="14.25" hidden="1" spans="1:17">
      <c r="A264" s="1" t="str">
        <f>VLOOKUP(B264,combinate!A:B,2,FALSE)</f>
        <v>Group B</v>
      </c>
      <c r="B264" s="6">
        <v>233501302726</v>
      </c>
      <c r="C264" s="7">
        <v>22694405</v>
      </c>
      <c r="D264" s="8">
        <v>46161.7556134259</v>
      </c>
      <c r="E264" s="6" t="s">
        <v>419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</row>
    <row r="265" s="1" customFormat="1" ht="14.25" hidden="1" spans="1:17">
      <c r="A265" s="1" t="str">
        <f>VLOOKUP(B265,combinate!A:B,2,FALSE)</f>
        <v>Group C</v>
      </c>
      <c r="B265" s="6">
        <v>233538437956</v>
      </c>
      <c r="C265" s="7">
        <v>22700237</v>
      </c>
      <c r="D265" s="8">
        <v>46163.8390509259</v>
      </c>
      <c r="E265" s="6" t="s">
        <v>419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</row>
    <row r="266" s="1" customFormat="1" ht="14.25" hidden="1" spans="1:17">
      <c r="A266" s="1" t="str">
        <f>VLOOKUP(B266,combinate!A:B,2,FALSE)</f>
        <v>Group C</v>
      </c>
      <c r="B266" s="6">
        <v>233555951896</v>
      </c>
      <c r="C266" s="7">
        <v>22710429</v>
      </c>
      <c r="D266" s="8">
        <v>46184.4125231481</v>
      </c>
      <c r="E266" s="9" t="s">
        <v>415</v>
      </c>
      <c r="F266" s="7">
        <v>226.27</v>
      </c>
      <c r="G266" s="7">
        <v>2941.56</v>
      </c>
      <c r="H266" s="7">
        <v>0</v>
      </c>
      <c r="I266" s="7">
        <v>2941.56</v>
      </c>
      <c r="J266" s="7">
        <v>0</v>
      </c>
      <c r="K266" s="7">
        <v>268.43</v>
      </c>
      <c r="L266" s="7">
        <v>20.65</v>
      </c>
      <c r="M266" s="7">
        <v>268.43</v>
      </c>
      <c r="N266" s="7">
        <v>42.62</v>
      </c>
      <c r="O266" s="7">
        <v>554</v>
      </c>
      <c r="P266" s="7">
        <v>46.15</v>
      </c>
      <c r="Q266" s="7">
        <v>600</v>
      </c>
    </row>
    <row r="267" s="1" customFormat="1" ht="14.25" hidden="1" spans="1:17">
      <c r="A267" s="1" t="str">
        <f>VLOOKUP(B267,combinate!A:B,2,FALSE)</f>
        <v>Group C</v>
      </c>
      <c r="B267" s="6">
        <v>233544687990</v>
      </c>
      <c r="C267" s="7">
        <v>22844097</v>
      </c>
      <c r="D267" s="8">
        <v>46161.7050347222</v>
      </c>
      <c r="E267" s="6" t="s">
        <v>419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</row>
    <row r="268" s="1" customFormat="1" ht="14.25" hidden="1" spans="1:17">
      <c r="A268" s="1" t="str">
        <f>VLOOKUP(B268,combinate!A:B,2,FALSE)</f>
        <v>Group A</v>
      </c>
      <c r="B268" s="6">
        <v>233555686955</v>
      </c>
      <c r="C268" s="7">
        <v>22844740</v>
      </c>
      <c r="D268" s="8">
        <v>46162.0157638889</v>
      </c>
      <c r="E268" s="6" t="s">
        <v>419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</row>
    <row r="269" s="1" customFormat="1" ht="14.25" hidden="1" spans="1:17">
      <c r="A269" s="1" t="str">
        <f>VLOOKUP(B269,combinate!A:B,2,FALSE)</f>
        <v>Group C</v>
      </c>
      <c r="B269" s="6">
        <v>233553237753</v>
      </c>
      <c r="C269" s="7">
        <v>22858598</v>
      </c>
      <c r="D269" s="8">
        <v>46178.6609490741</v>
      </c>
      <c r="E269" s="6" t="s">
        <v>419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</row>
    <row r="270" s="1" customFormat="1" ht="14.25" hidden="1" spans="1:17">
      <c r="A270" s="1" t="str">
        <f>VLOOKUP(B270,combinate!A:B,2,FALSE)</f>
        <v>Group A</v>
      </c>
      <c r="B270" s="6">
        <v>233536105177</v>
      </c>
      <c r="C270" s="7">
        <v>22890421</v>
      </c>
      <c r="D270" s="8">
        <v>46162.9152546296</v>
      </c>
      <c r="E270" s="6" t="s">
        <v>419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</row>
    <row r="271" s="1" customFormat="1" ht="14.25" hidden="1" spans="1:17">
      <c r="A271" s="1" t="str">
        <f>VLOOKUP(B271,combinate!A:B,2,FALSE)</f>
        <v>Group C</v>
      </c>
      <c r="B271" s="6">
        <v>233543980242</v>
      </c>
      <c r="C271" s="7">
        <v>22905479</v>
      </c>
      <c r="D271" s="8">
        <v>46162.8061805556</v>
      </c>
      <c r="E271" s="6" t="s">
        <v>419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</row>
    <row r="272" s="1" customFormat="1" ht="14.25" hidden="1" spans="1:17">
      <c r="A272" s="1" t="str">
        <f>VLOOKUP(B272,combinate!A:B,2,FALSE)</f>
        <v>Group B</v>
      </c>
      <c r="B272" s="6">
        <v>233593835709</v>
      </c>
      <c r="C272" s="7">
        <v>22973144</v>
      </c>
      <c r="D272" s="8">
        <v>46166.9266898148</v>
      </c>
      <c r="E272" s="6" t="s">
        <v>419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</row>
    <row r="273" s="1" customFormat="1" ht="14.25" hidden="1" spans="1:17">
      <c r="A273" s="1" t="str">
        <f>VLOOKUP(B273,combinate!A:B,2,FALSE)</f>
        <v>Group C</v>
      </c>
      <c r="B273" s="6">
        <v>233240383459</v>
      </c>
      <c r="C273" s="7">
        <v>3927517</v>
      </c>
      <c r="D273" s="8">
        <v>46161.0306712963</v>
      </c>
      <c r="E273" s="6" t="s">
        <v>419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</row>
    <row r="274" s="1" customFormat="1" ht="14.25" hidden="1" spans="1:17">
      <c r="A274" s="1" t="str">
        <f>VLOOKUP(B274,combinate!A:B,2,FALSE)</f>
        <v>Group A</v>
      </c>
      <c r="B274" s="6">
        <v>233201683310</v>
      </c>
      <c r="C274" s="7">
        <v>5048000</v>
      </c>
      <c r="D274" s="8">
        <v>46160.6339351852</v>
      </c>
      <c r="E274" s="6" t="s">
        <v>419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</row>
    <row r="275" s="1" customFormat="1" ht="14.25" hidden="1" spans="1:17">
      <c r="A275" s="1" t="str">
        <f>VLOOKUP(B275,combinate!A:B,2,FALSE)</f>
        <v>Group C</v>
      </c>
      <c r="B275" s="6">
        <v>233246720532</v>
      </c>
      <c r="C275" s="7">
        <v>8616766</v>
      </c>
      <c r="D275" s="8">
        <v>46183.6492592593</v>
      </c>
      <c r="E275" s="9" t="s">
        <v>415</v>
      </c>
      <c r="F275" s="7">
        <v>4.03</v>
      </c>
      <c r="G275" s="7">
        <v>52.4</v>
      </c>
      <c r="H275" s="7">
        <v>0</v>
      </c>
      <c r="I275" s="7">
        <v>52.4</v>
      </c>
      <c r="J275" s="7">
        <v>0</v>
      </c>
      <c r="K275" s="7">
        <v>11.91</v>
      </c>
      <c r="L275" s="7">
        <v>0.92</v>
      </c>
      <c r="M275" s="7">
        <v>11.91</v>
      </c>
      <c r="N275" s="7">
        <v>0.77</v>
      </c>
      <c r="O275" s="7">
        <v>10</v>
      </c>
      <c r="P275" s="7">
        <v>0</v>
      </c>
      <c r="Q275" s="7">
        <v>0</v>
      </c>
    </row>
    <row r="276" s="1" customFormat="1" ht="14.25" hidden="1" spans="1:17">
      <c r="A276" s="1" t="str">
        <f>VLOOKUP(B276,combinate!A:B,2,FALSE)</f>
        <v>Group B</v>
      </c>
      <c r="B276" s="6">
        <v>233532670211</v>
      </c>
      <c r="C276" s="7">
        <v>10684725</v>
      </c>
      <c r="D276" s="8">
        <v>46163.7272569444</v>
      </c>
      <c r="E276" s="6" t="s">
        <v>419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</row>
    <row r="277" s="1" customFormat="1" ht="14.25" hidden="1" spans="1:17">
      <c r="A277" s="1" t="str">
        <f>VLOOKUP(B277,combinate!A:B,2,FALSE)</f>
        <v>Group B</v>
      </c>
      <c r="B277" s="6">
        <v>233505921496</v>
      </c>
      <c r="C277" s="7">
        <v>10760743</v>
      </c>
      <c r="D277" s="8">
        <v>46184.0221990741</v>
      </c>
      <c r="E277" s="9" t="s">
        <v>415</v>
      </c>
      <c r="F277" s="7">
        <v>133.12</v>
      </c>
      <c r="G277" s="7">
        <v>1730.51</v>
      </c>
      <c r="H277" s="7">
        <v>0</v>
      </c>
      <c r="I277" s="7">
        <v>1730.51</v>
      </c>
      <c r="J277" s="7">
        <v>0</v>
      </c>
      <c r="K277" s="7">
        <v>41.63</v>
      </c>
      <c r="L277" s="7">
        <v>3.2</v>
      </c>
      <c r="M277" s="7">
        <v>41.63</v>
      </c>
      <c r="N277" s="7">
        <v>11.31</v>
      </c>
      <c r="O277" s="7">
        <v>147</v>
      </c>
      <c r="P277" s="7">
        <v>11.54</v>
      </c>
      <c r="Q277" s="7">
        <v>150</v>
      </c>
    </row>
    <row r="278" s="1" customFormat="1" ht="14.25" hidden="1" spans="1:17">
      <c r="A278" s="1" t="str">
        <f>VLOOKUP(B278,combinate!A:B,2,FALSE)</f>
        <v>Group C</v>
      </c>
      <c r="B278" s="6">
        <v>233552529816</v>
      </c>
      <c r="C278" s="7">
        <v>10922988</v>
      </c>
      <c r="D278" s="8">
        <v>46162.5701851852</v>
      </c>
      <c r="E278" s="6" t="s">
        <v>419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</row>
    <row r="279" s="1" customFormat="1" ht="14.25" hidden="1" spans="1:17">
      <c r="A279" s="1" t="str">
        <f>VLOOKUP(B279,combinate!A:B,2,FALSE)</f>
        <v>Group A</v>
      </c>
      <c r="B279" s="6">
        <v>233533826168</v>
      </c>
      <c r="C279" s="7">
        <v>10985680</v>
      </c>
      <c r="D279" s="8">
        <v>46183.7501273148</v>
      </c>
      <c r="E279" s="9" t="s">
        <v>415</v>
      </c>
      <c r="F279" s="7">
        <v>9.85</v>
      </c>
      <c r="G279" s="7">
        <v>128</v>
      </c>
      <c r="H279" s="7">
        <v>0</v>
      </c>
      <c r="I279" s="7">
        <v>128</v>
      </c>
      <c r="J279" s="7">
        <v>0</v>
      </c>
      <c r="K279" s="7">
        <v>44</v>
      </c>
      <c r="L279" s="7">
        <v>3.38</v>
      </c>
      <c r="M279" s="7">
        <v>44</v>
      </c>
      <c r="N279" s="7">
        <v>3.38</v>
      </c>
      <c r="O279" s="7">
        <v>44</v>
      </c>
      <c r="P279" s="7">
        <v>0</v>
      </c>
      <c r="Q279" s="7">
        <v>0</v>
      </c>
    </row>
    <row r="280" s="1" customFormat="1" ht="14.25" hidden="1" spans="1:17">
      <c r="A280" s="1" t="str">
        <f>VLOOKUP(B280,combinate!A:B,2,FALSE)</f>
        <v>Group C</v>
      </c>
      <c r="B280" s="6">
        <v>233208926409</v>
      </c>
      <c r="C280" s="7">
        <v>11946799</v>
      </c>
      <c r="D280" s="8">
        <v>46163.441412037</v>
      </c>
      <c r="E280" s="6" t="s">
        <v>419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</row>
    <row r="281" s="1" customFormat="1" ht="14.25" hidden="1" spans="1:17">
      <c r="A281" s="1" t="str">
        <f>VLOOKUP(B281,combinate!A:B,2,FALSE)</f>
        <v>Group C</v>
      </c>
      <c r="B281" s="6">
        <v>233502506084</v>
      </c>
      <c r="C281" s="7">
        <v>14110309</v>
      </c>
      <c r="D281" s="8">
        <v>46163.8993402778</v>
      </c>
      <c r="E281" s="6" t="s">
        <v>419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</row>
    <row r="282" s="1" customFormat="1" ht="14.25" hidden="1" spans="1:17">
      <c r="A282" s="1" t="str">
        <f>VLOOKUP(B282,combinate!A:B,2,FALSE)</f>
        <v>Group C</v>
      </c>
      <c r="B282" s="6">
        <v>233257746231</v>
      </c>
      <c r="C282" s="7">
        <v>16229428</v>
      </c>
      <c r="D282" s="8">
        <v>46160.663587963</v>
      </c>
      <c r="E282" s="6" t="s">
        <v>419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</row>
    <row r="283" s="1" customFormat="1" ht="14.25" hidden="1" spans="1:17">
      <c r="A283" s="1" t="str">
        <f>VLOOKUP(B283,combinate!A:B,2,FALSE)</f>
        <v>Group A</v>
      </c>
      <c r="B283" s="6">
        <v>233257564352</v>
      </c>
      <c r="C283" s="7">
        <v>16346011</v>
      </c>
      <c r="D283" s="8">
        <v>46166.7630671296</v>
      </c>
      <c r="E283" s="6" t="s">
        <v>419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</row>
    <row r="284" s="1" customFormat="1" ht="14.25" hidden="1" spans="1:17">
      <c r="A284" s="1" t="str">
        <f>VLOOKUP(B284,combinate!A:B,2,FALSE)</f>
        <v>Group B</v>
      </c>
      <c r="B284" s="6">
        <v>233257480377</v>
      </c>
      <c r="C284" s="7">
        <v>17356955</v>
      </c>
      <c r="D284" s="8">
        <v>46166.1959722222</v>
      </c>
      <c r="E284" s="6" t="s">
        <v>419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</row>
    <row r="285" s="1" customFormat="1" ht="14.25" hidden="1" spans="1:17">
      <c r="A285" s="1" t="str">
        <f>VLOOKUP(B285,combinate!A:B,2,FALSE)</f>
        <v>Group B</v>
      </c>
      <c r="B285" s="6">
        <v>233548305001</v>
      </c>
      <c r="C285" s="7">
        <v>17383143</v>
      </c>
      <c r="D285" s="8">
        <v>46166.460625</v>
      </c>
      <c r="E285" s="6" t="s">
        <v>419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</row>
    <row r="286" s="1" customFormat="1" ht="14.25" hidden="1" spans="1:17">
      <c r="A286" s="1" t="str">
        <f>VLOOKUP(B286,combinate!A:B,2,FALSE)</f>
        <v>Group C</v>
      </c>
      <c r="B286" s="6">
        <v>233544833210</v>
      </c>
      <c r="C286" s="7">
        <v>17950999</v>
      </c>
      <c r="D286" s="8">
        <v>46160.6838657407</v>
      </c>
      <c r="E286" s="6" t="s">
        <v>419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</row>
    <row r="287" s="1" customFormat="1" ht="14.25" hidden="1" spans="1:17">
      <c r="A287" s="1" t="str">
        <f>VLOOKUP(B287,combinate!A:B,2,FALSE)</f>
        <v>Group C</v>
      </c>
      <c r="B287" s="6">
        <v>233249840788</v>
      </c>
      <c r="C287" s="7">
        <v>18471138</v>
      </c>
      <c r="D287" s="8">
        <v>46183.5830439815</v>
      </c>
      <c r="E287" s="9" t="s">
        <v>415</v>
      </c>
      <c r="F287" s="7">
        <v>11.58</v>
      </c>
      <c r="G287" s="7">
        <v>150.5</v>
      </c>
      <c r="H287" s="7">
        <v>0</v>
      </c>
      <c r="I287" s="7">
        <v>150.5</v>
      </c>
      <c r="J287" s="7">
        <v>0</v>
      </c>
      <c r="K287" s="7">
        <v>85.32</v>
      </c>
      <c r="L287" s="7">
        <v>6.56</v>
      </c>
      <c r="M287" s="7">
        <v>85.32</v>
      </c>
      <c r="N287" s="7">
        <v>6.54</v>
      </c>
      <c r="O287" s="7">
        <v>85</v>
      </c>
      <c r="P287" s="7">
        <v>0</v>
      </c>
      <c r="Q287" s="7">
        <v>0</v>
      </c>
    </row>
    <row r="288" s="1" customFormat="1" ht="14.25" hidden="1" spans="1:17">
      <c r="A288" s="1" t="str">
        <f>VLOOKUP(B288,combinate!A:B,2,FALSE)</f>
        <v>Group A</v>
      </c>
      <c r="B288" s="6">
        <v>233257519851</v>
      </c>
      <c r="C288" s="7">
        <v>18500020</v>
      </c>
      <c r="D288" s="8">
        <v>46180.8798148148</v>
      </c>
      <c r="E288" s="9" t="s">
        <v>415</v>
      </c>
      <c r="F288" s="7">
        <v>142.28</v>
      </c>
      <c r="G288" s="7">
        <v>1849.6</v>
      </c>
      <c r="H288" s="7">
        <v>0</v>
      </c>
      <c r="I288" s="7">
        <v>1849.6</v>
      </c>
      <c r="J288" s="7">
        <v>0</v>
      </c>
      <c r="K288" s="7">
        <v>231.18</v>
      </c>
      <c r="L288" s="7">
        <v>17.78</v>
      </c>
      <c r="M288" s="7">
        <v>231.18</v>
      </c>
      <c r="N288" s="7">
        <v>51.62</v>
      </c>
      <c r="O288" s="7">
        <v>671</v>
      </c>
      <c r="P288" s="7">
        <v>33.85</v>
      </c>
      <c r="Q288" s="7">
        <v>440</v>
      </c>
    </row>
    <row r="289" s="1" customFormat="1" ht="14.25" hidden="1" spans="1:17">
      <c r="A289" s="1" t="str">
        <f>VLOOKUP(B289,combinate!A:B,2,FALSE)</f>
        <v>Group B</v>
      </c>
      <c r="B289" s="6">
        <v>233540312088</v>
      </c>
      <c r="C289" s="7">
        <v>19622364</v>
      </c>
      <c r="D289" s="8">
        <v>46166.8116782407</v>
      </c>
      <c r="E289" s="6" t="s">
        <v>419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</row>
    <row r="290" s="1" customFormat="1" ht="14.25" hidden="1" spans="1:17">
      <c r="A290" s="1" t="str">
        <f>VLOOKUP(B290,combinate!A:B,2,FALSE)</f>
        <v>Group C</v>
      </c>
      <c r="B290" s="6">
        <v>233549916330</v>
      </c>
      <c r="C290" s="7">
        <v>19997989</v>
      </c>
      <c r="D290" s="8">
        <v>46161.3119444444</v>
      </c>
      <c r="E290" s="6" t="s">
        <v>419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</row>
    <row r="291" s="1" customFormat="1" ht="14.25" hidden="1" spans="1:17">
      <c r="A291" s="1" t="str">
        <f>VLOOKUP(B291,combinate!A:B,2,FALSE)</f>
        <v>Group B</v>
      </c>
      <c r="B291" s="6">
        <v>233534036763</v>
      </c>
      <c r="C291" s="7">
        <v>20156004</v>
      </c>
      <c r="D291" s="8">
        <v>46163.432337963</v>
      </c>
      <c r="E291" s="6" t="s">
        <v>419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</row>
    <row r="292" s="1" customFormat="1" ht="14.25" spans="1:17">
      <c r="A292" s="1" t="str">
        <f>VLOOKUP(B292,combinate!A:B,2,FALSE)</f>
        <v>Group B</v>
      </c>
      <c r="B292" s="6">
        <v>233546802208</v>
      </c>
      <c r="C292" s="7">
        <v>20591393</v>
      </c>
      <c r="D292" s="8">
        <v>46184.4161689815</v>
      </c>
      <c r="E292" s="9" t="s">
        <v>415</v>
      </c>
      <c r="F292" s="7">
        <v>1579.65</v>
      </c>
      <c r="G292" s="7">
        <v>20535.4</v>
      </c>
      <c r="H292" s="7">
        <v>2</v>
      </c>
      <c r="I292" s="7">
        <v>20533.4</v>
      </c>
      <c r="J292" s="7">
        <v>2</v>
      </c>
      <c r="K292" s="7">
        <v>2002.56</v>
      </c>
      <c r="L292" s="7">
        <v>154.2</v>
      </c>
      <c r="M292" s="7">
        <v>2004.56</v>
      </c>
      <c r="N292" s="7">
        <v>192.46</v>
      </c>
      <c r="O292" s="7">
        <v>2502</v>
      </c>
      <c r="P292" s="7">
        <v>91.15</v>
      </c>
      <c r="Q292" s="7">
        <v>1185</v>
      </c>
    </row>
    <row r="293" s="1" customFormat="1" ht="14.25" hidden="1" spans="1:17">
      <c r="A293" s="1" t="str">
        <f>VLOOKUP(B293,combinate!A:B,2,FALSE)</f>
        <v>Group A</v>
      </c>
      <c r="B293" s="6">
        <v>233248070816</v>
      </c>
      <c r="C293" s="7">
        <v>20594860</v>
      </c>
      <c r="D293" s="8">
        <v>46177.13</v>
      </c>
      <c r="E293" s="6" t="s">
        <v>419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</row>
    <row r="294" s="1" customFormat="1" ht="14.25" hidden="1" spans="1:17">
      <c r="A294" s="1" t="str">
        <f>VLOOKUP(B294,combinate!A:B,2,FALSE)</f>
        <v>Group C</v>
      </c>
      <c r="B294" s="6">
        <v>233534221912</v>
      </c>
      <c r="C294" s="7">
        <v>20723339</v>
      </c>
      <c r="D294" s="8">
        <v>46160.3744907407</v>
      </c>
      <c r="E294" s="6" t="s">
        <v>419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</row>
    <row r="295" s="1" customFormat="1" ht="14.25" hidden="1" spans="1:17">
      <c r="A295" s="1" t="str">
        <f>VLOOKUP(B295,combinate!A:B,2,FALSE)</f>
        <v>Group C</v>
      </c>
      <c r="B295" s="6">
        <v>233541104581</v>
      </c>
      <c r="C295" s="7">
        <v>4575489</v>
      </c>
      <c r="D295" s="8">
        <v>46163.6687962963</v>
      </c>
      <c r="E295" s="6" t="s">
        <v>419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</row>
    <row r="296" s="1" customFormat="1" ht="14.25" hidden="1" spans="1:17">
      <c r="A296" s="1" t="str">
        <f>VLOOKUP(B296,combinate!A:B,2,FALSE)</f>
        <v>Group C</v>
      </c>
      <c r="B296" s="6">
        <v>233500148658</v>
      </c>
      <c r="C296" s="7">
        <v>10451947</v>
      </c>
      <c r="D296" s="8">
        <v>46160.9390625</v>
      </c>
      <c r="E296" s="6" t="s">
        <v>419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</row>
    <row r="297" s="1" customFormat="1" ht="14.25" hidden="1" spans="1:17">
      <c r="A297" s="1" t="str">
        <f>VLOOKUP(B297,combinate!A:B,2,FALSE)</f>
        <v>Group A</v>
      </c>
      <c r="B297" s="6">
        <v>233243243365</v>
      </c>
      <c r="C297" s="7">
        <v>11448881</v>
      </c>
      <c r="D297" s="8">
        <v>46160.7002546296</v>
      </c>
      <c r="E297" s="6" t="s">
        <v>419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</row>
    <row r="298" s="1" customFormat="1" ht="14.25" hidden="1" spans="1:17">
      <c r="A298" s="1" t="str">
        <f>VLOOKUP(B298,combinate!A:B,2,FALSE)</f>
        <v>Group C</v>
      </c>
      <c r="B298" s="6">
        <v>233538733339</v>
      </c>
      <c r="C298" s="7">
        <v>13950868</v>
      </c>
      <c r="D298" s="8">
        <v>46178.3954282407</v>
      </c>
      <c r="E298" s="9" t="s">
        <v>415</v>
      </c>
      <c r="F298" s="7">
        <v>0.42</v>
      </c>
      <c r="G298" s="7">
        <v>5.5</v>
      </c>
      <c r="H298" s="7">
        <v>0</v>
      </c>
      <c r="I298" s="7">
        <v>5.5</v>
      </c>
      <c r="J298" s="7">
        <v>0</v>
      </c>
      <c r="K298" s="7">
        <v>3.44</v>
      </c>
      <c r="L298" s="7">
        <v>0.26</v>
      </c>
      <c r="M298" s="7">
        <v>3.44</v>
      </c>
      <c r="N298" s="7">
        <v>0</v>
      </c>
      <c r="O298" s="7">
        <v>0</v>
      </c>
      <c r="P298" s="7">
        <v>0</v>
      </c>
      <c r="Q298" s="7">
        <v>0</v>
      </c>
    </row>
    <row r="299" s="1" customFormat="1" ht="14.25" hidden="1" spans="1:17">
      <c r="A299" s="1" t="str">
        <f>VLOOKUP(B299,combinate!A:B,2,FALSE)</f>
        <v>Group C</v>
      </c>
      <c r="B299" s="6">
        <v>233531369812</v>
      </c>
      <c r="C299" s="7">
        <v>15687696</v>
      </c>
      <c r="D299" s="8">
        <v>46178.2160532407</v>
      </c>
      <c r="E299" s="9" t="s">
        <v>415</v>
      </c>
      <c r="F299" s="7">
        <v>4.62</v>
      </c>
      <c r="G299" s="7">
        <v>60</v>
      </c>
      <c r="H299" s="7">
        <v>0</v>
      </c>
      <c r="I299" s="7">
        <v>60</v>
      </c>
      <c r="J299" s="7">
        <v>0</v>
      </c>
      <c r="K299" s="7">
        <v>19.82</v>
      </c>
      <c r="L299" s="7">
        <v>1.52</v>
      </c>
      <c r="M299" s="7">
        <v>19.82</v>
      </c>
      <c r="N299" s="7">
        <v>1.54</v>
      </c>
      <c r="O299" s="7">
        <v>20</v>
      </c>
      <c r="P299" s="7">
        <v>0</v>
      </c>
      <c r="Q299" s="7">
        <v>0</v>
      </c>
    </row>
    <row r="300" s="1" customFormat="1" ht="14.25" hidden="1" spans="1:17">
      <c r="A300" s="1" t="str">
        <f>VLOOKUP(B300,combinate!A:B,2,FALSE)</f>
        <v>Group A</v>
      </c>
      <c r="B300" s="6">
        <v>233502672121</v>
      </c>
      <c r="C300" s="7">
        <v>16715920</v>
      </c>
      <c r="D300" s="8">
        <v>46161.4885416667</v>
      </c>
      <c r="E300" s="6" t="s">
        <v>419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</row>
    <row r="301" s="1" customFormat="1" ht="14.25" hidden="1" spans="1:17">
      <c r="A301" s="1" t="str">
        <f>VLOOKUP(B301,combinate!A:B,2,FALSE)</f>
        <v>Group C</v>
      </c>
      <c r="B301" s="6">
        <v>233202471977</v>
      </c>
      <c r="C301" s="7">
        <v>16812668</v>
      </c>
      <c r="D301" s="8">
        <v>46160.8955787037</v>
      </c>
      <c r="E301" s="6" t="s">
        <v>419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</row>
    <row r="302" s="1" customFormat="1" ht="14.25" hidden="1" spans="1:17">
      <c r="A302" s="1" t="str">
        <f>VLOOKUP(B302,combinate!A:B,2,FALSE)</f>
        <v>Group C</v>
      </c>
      <c r="B302" s="6">
        <v>233531641061</v>
      </c>
      <c r="C302" s="7">
        <v>17235106</v>
      </c>
      <c r="D302" s="8">
        <v>46163.0269791667</v>
      </c>
      <c r="E302" s="6" t="s">
        <v>419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</row>
    <row r="303" s="1" customFormat="1" ht="14.25" hidden="1" spans="1:17">
      <c r="A303" s="1" t="str">
        <f>VLOOKUP(B303,combinate!A:B,2,FALSE)</f>
        <v>Group B</v>
      </c>
      <c r="B303" s="6">
        <v>233541140331</v>
      </c>
      <c r="C303" s="7">
        <v>17570495</v>
      </c>
      <c r="D303" s="8">
        <v>46163.9722453704</v>
      </c>
      <c r="E303" s="6" t="s">
        <v>419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</row>
    <row r="304" s="1" customFormat="1" ht="14.25" hidden="1" spans="1:17">
      <c r="A304" s="1" t="str">
        <f>VLOOKUP(B304,combinate!A:B,2,FALSE)</f>
        <v>Group B</v>
      </c>
      <c r="B304" s="6">
        <v>233203514545</v>
      </c>
      <c r="C304" s="7">
        <v>17575953</v>
      </c>
      <c r="D304" s="8">
        <v>46182.1913425926</v>
      </c>
      <c r="E304" s="9" t="s">
        <v>415</v>
      </c>
      <c r="F304" s="7">
        <v>124.73</v>
      </c>
      <c r="G304" s="7">
        <v>1621.5</v>
      </c>
      <c r="H304" s="7">
        <v>0</v>
      </c>
      <c r="I304" s="7">
        <v>1621.5</v>
      </c>
      <c r="J304" s="7">
        <v>0</v>
      </c>
      <c r="K304" s="7">
        <v>9.75</v>
      </c>
      <c r="L304" s="7">
        <v>0.75</v>
      </c>
      <c r="M304" s="7">
        <v>9.75</v>
      </c>
      <c r="N304" s="7">
        <v>14.23</v>
      </c>
      <c r="O304" s="7">
        <v>185</v>
      </c>
      <c r="P304" s="7">
        <v>13.46</v>
      </c>
      <c r="Q304" s="7">
        <v>175</v>
      </c>
    </row>
    <row r="305" s="1" customFormat="1" ht="14.25" hidden="1" spans="1:17">
      <c r="A305" s="1" t="str">
        <f>VLOOKUP(B305,combinate!A:B,2,FALSE)</f>
        <v>Group B</v>
      </c>
      <c r="B305" s="6">
        <v>233533561433</v>
      </c>
      <c r="C305" s="7">
        <v>17627685</v>
      </c>
      <c r="D305" s="8">
        <v>46161.4302893519</v>
      </c>
      <c r="E305" s="6" t="s">
        <v>419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</row>
    <row r="306" s="1" customFormat="1" ht="14.25" hidden="1" spans="1:17">
      <c r="A306" s="1" t="str">
        <f>VLOOKUP(B306,combinate!A:B,2,FALSE)</f>
        <v>Group B</v>
      </c>
      <c r="B306" s="6">
        <v>233596436153</v>
      </c>
      <c r="C306" s="7">
        <v>17984994</v>
      </c>
      <c r="D306" s="8">
        <v>46162.0479513889</v>
      </c>
      <c r="E306" s="6" t="s">
        <v>419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</row>
    <row r="307" s="1" customFormat="1" ht="14.25" hidden="1" spans="1:17">
      <c r="A307" s="1" t="str">
        <f>VLOOKUP(B307,combinate!A:B,2,FALSE)</f>
        <v>Group B</v>
      </c>
      <c r="B307" s="6">
        <v>233543354277</v>
      </c>
      <c r="C307" s="7">
        <v>18549795</v>
      </c>
      <c r="D307" s="8">
        <v>46162.6339583333</v>
      </c>
      <c r="E307" s="6" t="s">
        <v>419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</row>
    <row r="308" s="1" customFormat="1" ht="14.25" hidden="1" spans="1:17">
      <c r="A308" s="1" t="str">
        <f>VLOOKUP(B308,combinate!A:B,2,FALSE)</f>
        <v>Group C</v>
      </c>
      <c r="B308" s="6">
        <v>233599292401</v>
      </c>
      <c r="C308" s="7">
        <v>18578626</v>
      </c>
      <c r="D308" s="8">
        <v>46177.6388425926</v>
      </c>
      <c r="E308" s="6" t="s">
        <v>419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</row>
    <row r="309" s="1" customFormat="1" ht="14.25" hidden="1" spans="1:17">
      <c r="A309" s="1" t="str">
        <f>VLOOKUP(B309,combinate!A:B,2,FALSE)</f>
        <v>Group B</v>
      </c>
      <c r="B309" s="6">
        <v>233257520716</v>
      </c>
      <c r="C309" s="7">
        <v>19688255</v>
      </c>
      <c r="D309" s="8">
        <v>46166.2841782407</v>
      </c>
      <c r="E309" s="6" t="s">
        <v>419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</row>
    <row r="310" s="1" customFormat="1" ht="14.25" hidden="1" spans="1:17">
      <c r="A310" s="1" t="str">
        <f>VLOOKUP(B310,combinate!A:B,2,FALSE)</f>
        <v>Group C</v>
      </c>
      <c r="B310" s="6">
        <v>233594589391</v>
      </c>
      <c r="C310" s="7">
        <v>20404189</v>
      </c>
      <c r="D310" s="8">
        <v>46183.9202662037</v>
      </c>
      <c r="E310" s="9" t="s">
        <v>415</v>
      </c>
      <c r="F310" s="7">
        <v>30</v>
      </c>
      <c r="G310" s="7">
        <v>390</v>
      </c>
      <c r="H310" s="7">
        <v>0</v>
      </c>
      <c r="I310" s="7">
        <v>390</v>
      </c>
      <c r="J310" s="7">
        <v>0</v>
      </c>
      <c r="K310" s="7">
        <v>66.76</v>
      </c>
      <c r="L310" s="7">
        <v>5.14</v>
      </c>
      <c r="M310" s="7">
        <v>66.76</v>
      </c>
      <c r="N310" s="7">
        <v>8.23</v>
      </c>
      <c r="O310" s="7">
        <v>107</v>
      </c>
      <c r="P310" s="7">
        <v>3.08</v>
      </c>
      <c r="Q310" s="7">
        <v>40</v>
      </c>
    </row>
    <row r="311" s="1" customFormat="1" ht="14.25" hidden="1" spans="1:17">
      <c r="A311" s="1" t="str">
        <f>VLOOKUP(B311,combinate!A:B,2,FALSE)</f>
        <v>Group B</v>
      </c>
      <c r="B311" s="6">
        <v>233257087428</v>
      </c>
      <c r="C311" s="7">
        <v>20448775</v>
      </c>
      <c r="D311" s="8">
        <v>46161.4305671296</v>
      </c>
      <c r="E311" s="6" t="s">
        <v>419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</row>
    <row r="312" s="1" customFormat="1" ht="14.25" hidden="1" spans="1:17">
      <c r="A312" s="1" t="str">
        <f>VLOOKUP(B312,combinate!A:B,2,FALSE)</f>
        <v>Group A</v>
      </c>
      <c r="B312" s="6">
        <v>233536619231</v>
      </c>
      <c r="C312" s="7">
        <v>20764312</v>
      </c>
      <c r="D312" s="8">
        <v>46183.7297685185</v>
      </c>
      <c r="E312" s="9" t="s">
        <v>415</v>
      </c>
      <c r="F312" s="7">
        <v>5</v>
      </c>
      <c r="G312" s="7">
        <v>65</v>
      </c>
      <c r="H312" s="7">
        <v>0</v>
      </c>
      <c r="I312" s="7">
        <v>65</v>
      </c>
      <c r="J312" s="7">
        <v>0</v>
      </c>
      <c r="K312" s="7">
        <v>55</v>
      </c>
      <c r="L312" s="7">
        <v>4.23</v>
      </c>
      <c r="M312" s="7">
        <v>55</v>
      </c>
      <c r="N312" s="7">
        <v>3.85</v>
      </c>
      <c r="O312" s="7">
        <v>50</v>
      </c>
      <c r="P312" s="7">
        <v>0</v>
      </c>
      <c r="Q312" s="7">
        <v>0</v>
      </c>
    </row>
    <row r="313" s="1" customFormat="1" ht="14.25" hidden="1" spans="1:17">
      <c r="A313" s="1" t="str">
        <f>VLOOKUP(B313,combinate!A:B,2,FALSE)</f>
        <v>Group C</v>
      </c>
      <c r="B313" s="6">
        <v>233257953793</v>
      </c>
      <c r="C313" s="7">
        <v>21098208</v>
      </c>
      <c r="D313" s="8">
        <v>46163.2534837963</v>
      </c>
      <c r="E313" s="6" t="s">
        <v>419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</row>
    <row r="314" s="1" customFormat="1" ht="14.25" hidden="1" spans="1:17">
      <c r="A314" s="1" t="str">
        <f>VLOOKUP(B314,combinate!A:B,2,FALSE)</f>
        <v>Group C</v>
      </c>
      <c r="B314" s="6">
        <v>233554154847</v>
      </c>
      <c r="C314" s="7">
        <v>21108267</v>
      </c>
      <c r="D314" s="8">
        <v>46182.7200694444</v>
      </c>
      <c r="E314" s="6" t="s">
        <v>419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</row>
    <row r="315" s="1" customFormat="1" ht="14.25" hidden="1" spans="1:17">
      <c r="A315" s="1" t="str">
        <f>VLOOKUP(B315,combinate!A:B,2,FALSE)</f>
        <v>Group A</v>
      </c>
      <c r="B315" s="6">
        <v>233245374329</v>
      </c>
      <c r="C315" s="7">
        <v>21305071</v>
      </c>
      <c r="D315" s="8">
        <v>46161.4191087963</v>
      </c>
      <c r="E315" s="6" t="s">
        <v>419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</row>
    <row r="316" s="1" customFormat="1" ht="14.25" hidden="1" spans="1:17">
      <c r="A316" s="1" t="str">
        <f>VLOOKUP(B316,combinate!A:B,2,FALSE)</f>
        <v>Group B</v>
      </c>
      <c r="B316" s="6">
        <v>233539962898</v>
      </c>
      <c r="C316" s="7">
        <v>21364615</v>
      </c>
      <c r="D316" s="8">
        <v>46160.122037037</v>
      </c>
      <c r="E316" s="6" t="s">
        <v>419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</row>
    <row r="317" s="1" customFormat="1" ht="14.25" hidden="1" spans="1:17">
      <c r="A317" s="1" t="str">
        <f>VLOOKUP(B317,combinate!A:B,2,FALSE)</f>
        <v>Group B</v>
      </c>
      <c r="B317" s="6">
        <v>233247053975</v>
      </c>
      <c r="C317" s="7">
        <v>21381565</v>
      </c>
      <c r="D317" s="8">
        <v>46160.412337963</v>
      </c>
      <c r="E317" s="6" t="s">
        <v>419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</row>
    <row r="318" s="1" customFormat="1" ht="14.25" hidden="1" spans="1:17">
      <c r="A318" s="1" t="str">
        <f>VLOOKUP(B318,combinate!A:B,2,FALSE)</f>
        <v>Group B</v>
      </c>
      <c r="B318" s="6">
        <v>233597296254</v>
      </c>
      <c r="C318" s="7">
        <v>21515823</v>
      </c>
      <c r="D318" s="8">
        <v>46166.8191203704</v>
      </c>
      <c r="E318" s="6" t="s">
        <v>419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</row>
    <row r="319" s="1" customFormat="1" ht="14.25" hidden="1" spans="1:17">
      <c r="A319" s="1" t="str">
        <f>VLOOKUP(B319,combinate!A:B,2,FALSE)</f>
        <v>Group A</v>
      </c>
      <c r="B319" s="6">
        <v>233551914847</v>
      </c>
      <c r="C319" s="7">
        <v>21568702</v>
      </c>
      <c r="D319" s="8">
        <v>46182.7000115741</v>
      </c>
      <c r="E319" s="9" t="s">
        <v>415</v>
      </c>
      <c r="F319" s="7">
        <v>6</v>
      </c>
      <c r="G319" s="7">
        <v>78</v>
      </c>
      <c r="H319" s="7">
        <v>0</v>
      </c>
      <c r="I319" s="7">
        <v>78</v>
      </c>
      <c r="J319" s="7">
        <v>0</v>
      </c>
      <c r="K319" s="7">
        <v>-10</v>
      </c>
      <c r="L319" s="7">
        <v>-0.77</v>
      </c>
      <c r="M319" s="7">
        <v>-10</v>
      </c>
      <c r="N319" s="7">
        <v>2.31</v>
      </c>
      <c r="O319" s="7">
        <v>30</v>
      </c>
      <c r="P319" s="7">
        <v>3.08</v>
      </c>
      <c r="Q319" s="7">
        <v>40</v>
      </c>
    </row>
    <row r="320" s="1" customFormat="1" ht="14.25" hidden="1" spans="1:17">
      <c r="A320" s="1" t="str">
        <f>VLOOKUP(B320,combinate!A:B,2,FALSE)</f>
        <v>Group A</v>
      </c>
      <c r="B320" s="6">
        <v>233559732728</v>
      </c>
      <c r="C320" s="7">
        <v>21596570</v>
      </c>
      <c r="D320" s="8">
        <v>46184.3603125</v>
      </c>
      <c r="E320" s="9" t="s">
        <v>415</v>
      </c>
      <c r="F320" s="7">
        <v>4.48</v>
      </c>
      <c r="G320" s="7">
        <v>58.2</v>
      </c>
      <c r="H320" s="7">
        <v>0</v>
      </c>
      <c r="I320" s="7">
        <v>58.2</v>
      </c>
      <c r="J320" s="7">
        <v>0</v>
      </c>
      <c r="K320" s="7">
        <v>29.62</v>
      </c>
      <c r="L320" s="7">
        <v>2.28</v>
      </c>
      <c r="M320" s="7">
        <v>29.62</v>
      </c>
      <c r="N320" s="7">
        <v>2.31</v>
      </c>
      <c r="O320" s="7">
        <v>30</v>
      </c>
      <c r="P320" s="7">
        <v>0</v>
      </c>
      <c r="Q320" s="7">
        <v>0</v>
      </c>
    </row>
    <row r="321" s="1" customFormat="1" ht="14.25" hidden="1" spans="1:17">
      <c r="A321" s="1" t="str">
        <f>VLOOKUP(B321,combinate!A:B,2,FALSE)</f>
        <v>Group B</v>
      </c>
      <c r="B321" s="6">
        <v>233546961527</v>
      </c>
      <c r="C321" s="7">
        <v>21753145</v>
      </c>
      <c r="D321" s="8">
        <v>46184.3328587963</v>
      </c>
      <c r="E321" s="9" t="s">
        <v>415</v>
      </c>
      <c r="F321" s="7">
        <v>1.62</v>
      </c>
      <c r="G321" s="7">
        <v>21</v>
      </c>
      <c r="H321" s="7">
        <v>0</v>
      </c>
      <c r="I321" s="7">
        <v>21</v>
      </c>
      <c r="J321" s="7">
        <v>0</v>
      </c>
      <c r="K321" s="7">
        <v>12.14</v>
      </c>
      <c r="L321" s="7">
        <v>0.93</v>
      </c>
      <c r="M321" s="7">
        <v>12.14</v>
      </c>
      <c r="N321" s="7">
        <v>0.92</v>
      </c>
      <c r="O321" s="7">
        <v>12</v>
      </c>
      <c r="P321" s="7">
        <v>0</v>
      </c>
      <c r="Q321" s="7">
        <v>0</v>
      </c>
    </row>
    <row r="322" s="1" customFormat="1" ht="14.25" hidden="1" spans="1:17">
      <c r="A322" s="1" t="str">
        <f>VLOOKUP(B322,combinate!A:B,2,FALSE)</f>
        <v>Group C</v>
      </c>
      <c r="B322" s="6">
        <v>233551187883</v>
      </c>
      <c r="C322" s="7">
        <v>21786006</v>
      </c>
      <c r="D322" s="8">
        <v>46161.2196296296</v>
      </c>
      <c r="E322" s="6" t="s">
        <v>419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</row>
    <row r="323" s="1" customFormat="1" ht="14.25" hidden="1" spans="1:17">
      <c r="A323" s="1" t="str">
        <f>VLOOKUP(B323,combinate!A:B,2,FALSE)</f>
        <v>Group C</v>
      </c>
      <c r="B323" s="6">
        <v>233552598263</v>
      </c>
      <c r="C323" s="7">
        <v>21947029</v>
      </c>
      <c r="D323" s="8">
        <v>46178.6603935185</v>
      </c>
      <c r="E323" s="6" t="s">
        <v>419</v>
      </c>
      <c r="F323" s="7">
        <v>0</v>
      </c>
      <c r="G323" s="7">
        <v>0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</row>
    <row r="324" s="1" customFormat="1" ht="14.25" hidden="1" spans="1:17">
      <c r="A324" s="1" t="str">
        <f>VLOOKUP(B324,combinate!A:B,2,FALSE)</f>
        <v>Group C</v>
      </c>
      <c r="B324" s="6">
        <v>233591831636</v>
      </c>
      <c r="C324" s="7">
        <v>22021019</v>
      </c>
      <c r="D324" s="8">
        <v>46184.3342824074</v>
      </c>
      <c r="E324" s="9" t="s">
        <v>415</v>
      </c>
      <c r="F324" s="7">
        <v>113.68</v>
      </c>
      <c r="G324" s="7">
        <v>1477.84</v>
      </c>
      <c r="H324" s="7">
        <v>0</v>
      </c>
      <c r="I324" s="7">
        <v>1477.84</v>
      </c>
      <c r="J324" s="7">
        <v>0</v>
      </c>
      <c r="K324" s="7">
        <v>504.06</v>
      </c>
      <c r="L324" s="7">
        <v>38.77</v>
      </c>
      <c r="M324" s="7">
        <v>504.06</v>
      </c>
      <c r="N324" s="7">
        <v>38.77</v>
      </c>
      <c r="O324" s="7">
        <v>504</v>
      </c>
      <c r="P324" s="7">
        <v>0</v>
      </c>
      <c r="Q324" s="7">
        <v>0</v>
      </c>
    </row>
    <row r="325" s="1" customFormat="1" ht="14.25" hidden="1" spans="1:17">
      <c r="A325" s="1" t="str">
        <f>VLOOKUP(B325,combinate!A:B,2,FALSE)</f>
        <v>Group B</v>
      </c>
      <c r="B325" s="6">
        <v>233241660533</v>
      </c>
      <c r="C325" s="7">
        <v>22174763</v>
      </c>
      <c r="D325" s="8">
        <v>46183.8819675926</v>
      </c>
      <c r="E325" s="9" t="s">
        <v>415</v>
      </c>
      <c r="F325" s="7">
        <v>113.64</v>
      </c>
      <c r="G325" s="7">
        <v>1477.27</v>
      </c>
      <c r="H325" s="7">
        <v>0</v>
      </c>
      <c r="I325" s="7">
        <v>1477.27</v>
      </c>
      <c r="J325" s="7">
        <v>0</v>
      </c>
      <c r="K325" s="7">
        <v>189.99</v>
      </c>
      <c r="L325" s="7">
        <v>14.61</v>
      </c>
      <c r="M325" s="7">
        <v>189.99</v>
      </c>
      <c r="N325" s="7">
        <v>26.15</v>
      </c>
      <c r="O325" s="7">
        <v>340</v>
      </c>
      <c r="P325" s="7">
        <v>11.54</v>
      </c>
      <c r="Q325" s="7">
        <v>150</v>
      </c>
    </row>
    <row r="326" s="1" customFormat="1" ht="14.25" hidden="1" spans="1:17">
      <c r="A326" s="1" t="str">
        <f>VLOOKUP(B326,combinate!A:B,2,FALSE)</f>
        <v>Group A</v>
      </c>
      <c r="B326" s="6">
        <v>233202510472</v>
      </c>
      <c r="C326" s="7">
        <v>22296861</v>
      </c>
      <c r="D326" s="8">
        <v>46162.3176273148</v>
      </c>
      <c r="E326" s="6" t="s">
        <v>419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</row>
    <row r="327" s="1" customFormat="1" ht="14.25" hidden="1" spans="1:17">
      <c r="A327" s="1" t="str">
        <f>VLOOKUP(B327,combinate!A:B,2,FALSE)</f>
        <v>Group A</v>
      </c>
      <c r="B327" s="6">
        <v>233544687595</v>
      </c>
      <c r="C327" s="7">
        <v>22317092</v>
      </c>
      <c r="D327" s="8">
        <v>46166.5157291667</v>
      </c>
      <c r="E327" s="6" t="s">
        <v>419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</row>
    <row r="328" s="1" customFormat="1" ht="14.25" hidden="1" spans="1:17">
      <c r="A328" s="1" t="str">
        <f>VLOOKUP(B328,combinate!A:B,2,FALSE)</f>
        <v>Group A</v>
      </c>
      <c r="B328" s="6">
        <v>233247574216</v>
      </c>
      <c r="C328" s="7">
        <v>22469281</v>
      </c>
      <c r="D328" s="8">
        <v>46163.4656944444</v>
      </c>
      <c r="E328" s="6" t="s">
        <v>419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</row>
    <row r="329" s="1" customFormat="1" ht="14.25" hidden="1" spans="1:17">
      <c r="A329" s="1" t="str">
        <f>VLOOKUP(B329,combinate!A:B,2,FALSE)</f>
        <v>Group A</v>
      </c>
      <c r="B329" s="6">
        <v>233204251901</v>
      </c>
      <c r="C329" s="7">
        <v>22491221</v>
      </c>
      <c r="D329" s="8">
        <v>46163.9876157407</v>
      </c>
      <c r="E329" s="6" t="s">
        <v>419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</row>
    <row r="330" s="1" customFormat="1" ht="14.25" hidden="1" spans="1:17">
      <c r="A330" s="1" t="str">
        <f>VLOOKUP(B330,combinate!A:B,2,FALSE)</f>
        <v>Group B</v>
      </c>
      <c r="B330" s="6">
        <v>233244778254</v>
      </c>
      <c r="C330" s="7">
        <v>22540114</v>
      </c>
      <c r="D330" s="8">
        <v>46182.8461689815</v>
      </c>
      <c r="E330" s="9" t="s">
        <v>415</v>
      </c>
      <c r="F330" s="7">
        <v>20.15</v>
      </c>
      <c r="G330" s="7">
        <v>262</v>
      </c>
      <c r="H330" s="7">
        <v>0</v>
      </c>
      <c r="I330" s="7">
        <v>262</v>
      </c>
      <c r="J330" s="7">
        <v>0</v>
      </c>
      <c r="K330" s="7">
        <v>78.53</v>
      </c>
      <c r="L330" s="7">
        <v>6.04</v>
      </c>
      <c r="M330" s="7">
        <v>78.53</v>
      </c>
      <c r="N330" s="7">
        <v>6.69</v>
      </c>
      <c r="O330" s="7">
        <v>87</v>
      </c>
      <c r="P330" s="7">
        <v>0.69</v>
      </c>
      <c r="Q330" s="7">
        <v>9</v>
      </c>
    </row>
    <row r="331" s="1" customFormat="1" ht="14.25" hidden="1" spans="1:17">
      <c r="A331" s="1" t="str">
        <f>VLOOKUP(B331,combinate!A:B,2,FALSE)</f>
        <v>Group C</v>
      </c>
      <c r="B331" s="6">
        <v>233244466292</v>
      </c>
      <c r="C331" s="7">
        <v>22651099</v>
      </c>
      <c r="D331" s="8">
        <v>46163.5120138889</v>
      </c>
      <c r="E331" s="6" t="s">
        <v>419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</row>
    <row r="332" s="1" customFormat="1" ht="14.25" hidden="1" spans="1:17">
      <c r="A332" s="1" t="str">
        <f>VLOOKUP(B332,combinate!A:B,2,FALSE)</f>
        <v>Group B</v>
      </c>
      <c r="B332" s="6">
        <v>233500556145</v>
      </c>
      <c r="C332" s="7">
        <v>22786134</v>
      </c>
      <c r="D332" s="8">
        <v>46166.4539930556</v>
      </c>
      <c r="E332" s="6" t="s">
        <v>419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</row>
    <row r="333" s="1" customFormat="1" ht="14.25" hidden="1" spans="1:17">
      <c r="A333" s="1" t="str">
        <f>VLOOKUP(B333,combinate!A:B,2,FALSE)</f>
        <v>Group C</v>
      </c>
      <c r="B333" s="6">
        <v>233542043521</v>
      </c>
      <c r="C333" s="7">
        <v>22811906</v>
      </c>
      <c r="D333" s="8">
        <v>46166.554375</v>
      </c>
      <c r="E333" s="6" t="s">
        <v>419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</row>
    <row r="334" s="1" customFormat="1" ht="14.25" hidden="1" spans="1:17">
      <c r="A334" s="1" t="str">
        <f>VLOOKUP(B334,combinate!A:B,2,FALSE)</f>
        <v>Group C</v>
      </c>
      <c r="B334" s="6">
        <v>233248896339</v>
      </c>
      <c r="C334" s="7">
        <v>22884327</v>
      </c>
      <c r="D334" s="8">
        <v>46166.9450810185</v>
      </c>
      <c r="E334" s="6" t="s">
        <v>419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</row>
    <row r="335" s="1" customFormat="1" ht="14.25" hidden="1" spans="1:17">
      <c r="A335" s="1" t="str">
        <f>VLOOKUP(B335,combinate!A:B,2,FALSE)</f>
        <v>Group B</v>
      </c>
      <c r="B335" s="6">
        <v>233558219758</v>
      </c>
      <c r="C335" s="7">
        <v>22912964</v>
      </c>
      <c r="D335" s="8">
        <v>46181.0840856481</v>
      </c>
      <c r="E335" s="9" t="s">
        <v>415</v>
      </c>
      <c r="F335" s="7">
        <v>2.19</v>
      </c>
      <c r="G335" s="7">
        <v>28.5</v>
      </c>
      <c r="H335" s="7">
        <v>0</v>
      </c>
      <c r="I335" s="7">
        <v>28.5</v>
      </c>
      <c r="J335" s="7">
        <v>0</v>
      </c>
      <c r="K335" s="7">
        <v>24.66</v>
      </c>
      <c r="L335" s="7">
        <v>1.9</v>
      </c>
      <c r="M335" s="7">
        <v>24.66</v>
      </c>
      <c r="N335" s="7">
        <v>1.92</v>
      </c>
      <c r="O335" s="7">
        <v>25</v>
      </c>
      <c r="P335" s="7">
        <v>0</v>
      </c>
      <c r="Q335" s="7">
        <v>0</v>
      </c>
    </row>
    <row r="336" s="1" customFormat="1" ht="14.25" hidden="1" spans="1:17">
      <c r="A336" s="1" t="str">
        <f>VLOOKUP(B336,combinate!A:B,2,FALSE)</f>
        <v>Group C</v>
      </c>
      <c r="B336" s="6">
        <v>233592211220</v>
      </c>
      <c r="C336" s="7">
        <v>22938699</v>
      </c>
      <c r="D336" s="8">
        <v>46183.6587037037</v>
      </c>
      <c r="E336" s="9" t="s">
        <v>415</v>
      </c>
      <c r="F336" s="7">
        <v>634.23</v>
      </c>
      <c r="G336" s="7">
        <v>8245</v>
      </c>
      <c r="H336" s="7">
        <v>0</v>
      </c>
      <c r="I336" s="7">
        <v>8245</v>
      </c>
      <c r="J336" s="7">
        <v>0</v>
      </c>
      <c r="K336" s="7">
        <v>1048.29</v>
      </c>
      <c r="L336" s="7">
        <v>80.64</v>
      </c>
      <c r="M336" s="7">
        <v>1048.29</v>
      </c>
      <c r="N336" s="7">
        <v>153.85</v>
      </c>
      <c r="O336" s="7">
        <v>2000</v>
      </c>
      <c r="P336" s="7">
        <v>73.15</v>
      </c>
      <c r="Q336" s="7">
        <v>951</v>
      </c>
    </row>
    <row r="337" s="1" customFormat="1" ht="14.25" hidden="1" spans="1:17">
      <c r="A337" s="1" t="str">
        <f>VLOOKUP(B337,combinate!A:B,2,FALSE)</f>
        <v>Group C</v>
      </c>
      <c r="B337" s="6">
        <v>233244070496</v>
      </c>
      <c r="C337" s="7">
        <v>9587987</v>
      </c>
      <c r="D337" s="8">
        <v>46166.6896064815</v>
      </c>
      <c r="E337" s="6" t="s">
        <v>419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</row>
    <row r="338" s="1" customFormat="1" ht="14.25" hidden="1" spans="1:17">
      <c r="A338" s="1" t="str">
        <f>VLOOKUP(B338,combinate!A:B,2,FALSE)</f>
        <v>Group B</v>
      </c>
      <c r="B338" s="6">
        <v>233247635684</v>
      </c>
      <c r="C338" s="7">
        <v>9993755</v>
      </c>
      <c r="D338" s="8">
        <v>46175.6011921296</v>
      </c>
      <c r="E338" s="9" t="s">
        <v>415</v>
      </c>
      <c r="F338" s="7">
        <v>2.23</v>
      </c>
      <c r="G338" s="7">
        <v>28.94</v>
      </c>
      <c r="H338" s="7">
        <v>0</v>
      </c>
      <c r="I338" s="7">
        <v>28.94</v>
      </c>
      <c r="J338" s="7">
        <v>0</v>
      </c>
      <c r="K338" s="7">
        <v>0.97</v>
      </c>
      <c r="L338" s="7">
        <v>0.07</v>
      </c>
      <c r="M338" s="7">
        <v>0.97</v>
      </c>
      <c r="N338" s="7">
        <v>0</v>
      </c>
      <c r="O338" s="7">
        <v>0</v>
      </c>
      <c r="P338" s="7">
        <v>0</v>
      </c>
      <c r="Q338" s="7">
        <v>0</v>
      </c>
    </row>
    <row r="339" s="1" customFormat="1" ht="14.25" hidden="1" spans="1:17">
      <c r="A339" s="1" t="str">
        <f>VLOOKUP(B339,combinate!A:B,2,FALSE)</f>
        <v>Group A</v>
      </c>
      <c r="B339" s="6">
        <v>233256916100</v>
      </c>
      <c r="C339" s="7">
        <v>10075832</v>
      </c>
      <c r="D339" s="8">
        <v>46162.7142824074</v>
      </c>
      <c r="E339" s="6" t="s">
        <v>419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</row>
    <row r="340" s="1" customFormat="1" ht="14.25" hidden="1" spans="1:17">
      <c r="A340" s="1" t="str">
        <f>VLOOKUP(B340,combinate!A:B,2,FALSE)</f>
        <v>Group A</v>
      </c>
      <c r="B340" s="6">
        <v>233537617719</v>
      </c>
      <c r="C340" s="7">
        <v>13336400</v>
      </c>
      <c r="D340" s="8">
        <v>46162.1213773148</v>
      </c>
      <c r="E340" s="6" t="s">
        <v>419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</row>
    <row r="341" s="1" customFormat="1" ht="14.25" hidden="1" spans="1:17">
      <c r="A341" s="1" t="str">
        <f>VLOOKUP(B341,combinate!A:B,2,FALSE)</f>
        <v>Group C</v>
      </c>
      <c r="B341" s="6">
        <v>233550641760</v>
      </c>
      <c r="C341" s="7">
        <v>13585988</v>
      </c>
      <c r="D341" s="8">
        <v>46179.560162037</v>
      </c>
      <c r="E341" s="9" t="s">
        <v>415</v>
      </c>
      <c r="F341" s="7">
        <v>367.45</v>
      </c>
      <c r="G341" s="7">
        <v>4776.9</v>
      </c>
      <c r="H341" s="7">
        <v>0</v>
      </c>
      <c r="I341" s="7">
        <v>4776.9</v>
      </c>
      <c r="J341" s="7">
        <v>0</v>
      </c>
      <c r="K341" s="7">
        <v>532.14</v>
      </c>
      <c r="L341" s="7">
        <v>40.93</v>
      </c>
      <c r="M341" s="7">
        <v>532.14</v>
      </c>
      <c r="N341" s="7">
        <v>46.15</v>
      </c>
      <c r="O341" s="7">
        <v>600</v>
      </c>
      <c r="P341" s="7">
        <v>10.77</v>
      </c>
      <c r="Q341" s="7">
        <v>140</v>
      </c>
    </row>
    <row r="342" s="1" customFormat="1" ht="14.25" hidden="1" spans="1:17">
      <c r="A342" s="1" t="str">
        <f>VLOOKUP(B342,combinate!A:B,2,FALSE)</f>
        <v>Group C</v>
      </c>
      <c r="B342" s="6">
        <v>233536447577</v>
      </c>
      <c r="C342" s="7">
        <v>14561318</v>
      </c>
      <c r="D342" s="8">
        <v>46160.2839236111</v>
      </c>
      <c r="E342" s="6" t="s">
        <v>419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</row>
    <row r="343" s="1" customFormat="1" ht="14.25" hidden="1" spans="1:17">
      <c r="A343" s="1" t="str">
        <f>VLOOKUP(B343,combinate!A:B,2,FALSE)</f>
        <v>Group C</v>
      </c>
      <c r="B343" s="6">
        <v>233536098738</v>
      </c>
      <c r="C343" s="7">
        <v>14562807</v>
      </c>
      <c r="D343" s="8">
        <v>46161.6873263889</v>
      </c>
      <c r="E343" s="6" t="s">
        <v>419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</row>
    <row r="344" s="1" customFormat="1" ht="14.25" hidden="1" spans="1:17">
      <c r="A344" s="1" t="str">
        <f>VLOOKUP(B344,combinate!A:B,2,FALSE)</f>
        <v>Group C</v>
      </c>
      <c r="B344" s="6">
        <v>233246896108</v>
      </c>
      <c r="C344" s="7">
        <v>17414157</v>
      </c>
      <c r="D344" s="8">
        <v>46166.8379398148</v>
      </c>
      <c r="E344" s="6" t="s">
        <v>419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</row>
    <row r="345" s="1" customFormat="1" ht="14.25" hidden="1" spans="1:17">
      <c r="A345" s="1" t="str">
        <f>VLOOKUP(B345,combinate!A:B,2,FALSE)</f>
        <v>Group C</v>
      </c>
      <c r="B345" s="6">
        <v>233543915356</v>
      </c>
      <c r="C345" s="7">
        <v>17732038</v>
      </c>
      <c r="D345" s="8">
        <v>46177.4239236111</v>
      </c>
      <c r="E345" s="9" t="s">
        <v>415</v>
      </c>
      <c r="F345" s="7">
        <v>4.27</v>
      </c>
      <c r="G345" s="7">
        <v>55.5</v>
      </c>
      <c r="H345" s="7">
        <v>1</v>
      </c>
      <c r="I345" s="7">
        <v>54.5</v>
      </c>
      <c r="J345" s="7">
        <v>1</v>
      </c>
      <c r="K345" s="7">
        <v>43.88</v>
      </c>
      <c r="L345" s="7">
        <v>3.45</v>
      </c>
      <c r="M345" s="7">
        <v>44.88</v>
      </c>
      <c r="N345" s="7">
        <v>3.46</v>
      </c>
      <c r="O345" s="7">
        <v>45</v>
      </c>
      <c r="P345" s="7">
        <v>0</v>
      </c>
      <c r="Q345" s="7">
        <v>0</v>
      </c>
    </row>
    <row r="346" s="1" customFormat="1" ht="14.25" hidden="1" spans="1:17">
      <c r="A346" s="1" t="str">
        <f>VLOOKUP(B346,combinate!A:B,2,FALSE)</f>
        <v>Group C</v>
      </c>
      <c r="B346" s="6">
        <v>233202257155</v>
      </c>
      <c r="C346" s="7">
        <v>18113379</v>
      </c>
      <c r="D346" s="8">
        <v>46162.4432407407</v>
      </c>
      <c r="E346" s="6" t="s">
        <v>419</v>
      </c>
      <c r="F346" s="7">
        <v>0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  <c r="N346" s="7">
        <v>0</v>
      </c>
      <c r="O346" s="7">
        <v>0</v>
      </c>
      <c r="P346" s="7">
        <v>0</v>
      </c>
      <c r="Q346" s="7">
        <v>0</v>
      </c>
    </row>
    <row r="347" s="1" customFormat="1" ht="14.25" hidden="1" spans="1:17">
      <c r="A347" s="1" t="str">
        <f>VLOOKUP(B347,combinate!A:B,2,FALSE)</f>
        <v>Group B</v>
      </c>
      <c r="B347" s="6">
        <v>233200556260</v>
      </c>
      <c r="C347" s="7">
        <v>18769065</v>
      </c>
      <c r="D347" s="8">
        <v>46162.2154050926</v>
      </c>
      <c r="E347" s="6" t="s">
        <v>419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</row>
    <row r="348" s="1" customFormat="1" ht="14.25" hidden="1" spans="1:17">
      <c r="A348" s="1" t="str">
        <f>VLOOKUP(B348,combinate!A:B,2,FALSE)</f>
        <v>Group A</v>
      </c>
      <c r="B348" s="6">
        <v>233503718805</v>
      </c>
      <c r="C348" s="7">
        <v>18838470</v>
      </c>
      <c r="D348" s="8">
        <v>46162.9958796296</v>
      </c>
      <c r="E348" s="6" t="s">
        <v>419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</row>
    <row r="349" s="1" customFormat="1" ht="14.25" hidden="1" spans="1:17">
      <c r="A349" s="1" t="str">
        <f>VLOOKUP(B349,combinate!A:B,2,FALSE)</f>
        <v>Group A</v>
      </c>
      <c r="B349" s="6">
        <v>233544979077</v>
      </c>
      <c r="C349" s="7">
        <v>19137112</v>
      </c>
      <c r="D349" s="8">
        <v>46166.3817592593</v>
      </c>
      <c r="E349" s="6" t="s">
        <v>419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</row>
    <row r="350" s="1" customFormat="1" ht="14.25" hidden="1" spans="1:17">
      <c r="A350" s="1" t="str">
        <f>VLOOKUP(B350,combinate!A:B,2,FALSE)</f>
        <v>Group A</v>
      </c>
      <c r="B350" s="6">
        <v>233550974187</v>
      </c>
      <c r="C350" s="7">
        <v>20077511</v>
      </c>
      <c r="D350" s="8">
        <v>46183.9328356481</v>
      </c>
      <c r="E350" s="9" t="s">
        <v>415</v>
      </c>
      <c r="F350" s="7">
        <v>0.46</v>
      </c>
      <c r="G350" s="7">
        <v>6</v>
      </c>
      <c r="H350" s="7">
        <v>6</v>
      </c>
      <c r="I350" s="7">
        <v>0</v>
      </c>
      <c r="J350" s="7">
        <v>6</v>
      </c>
      <c r="K350" s="7">
        <v>0</v>
      </c>
      <c r="L350" s="7">
        <v>0.46</v>
      </c>
      <c r="M350" s="7">
        <v>6</v>
      </c>
      <c r="N350" s="7">
        <v>0.46</v>
      </c>
      <c r="O350" s="7">
        <v>6</v>
      </c>
      <c r="P350" s="7">
        <v>0</v>
      </c>
      <c r="Q350" s="7">
        <v>0</v>
      </c>
    </row>
    <row r="351" s="1" customFormat="1" ht="14.25" hidden="1" spans="1:17">
      <c r="A351" s="1" t="str">
        <f>VLOOKUP(B351,combinate!A:B,2,FALSE)</f>
        <v>Group A</v>
      </c>
      <c r="B351" s="6">
        <v>233592262499</v>
      </c>
      <c r="C351" s="7">
        <v>20219321</v>
      </c>
      <c r="D351" s="8">
        <v>46180.0208101852</v>
      </c>
      <c r="E351" s="6" t="s">
        <v>419</v>
      </c>
      <c r="F351" s="7">
        <v>0</v>
      </c>
      <c r="G351" s="7">
        <v>0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</row>
    <row r="352" s="1" customFormat="1" ht="14.25" hidden="1" spans="1:17">
      <c r="A352" s="1" t="str">
        <f>VLOOKUP(B352,combinate!A:B,2,FALSE)</f>
        <v>Group A</v>
      </c>
      <c r="B352" s="6">
        <v>233531966836</v>
      </c>
      <c r="C352" s="7">
        <v>20538991</v>
      </c>
      <c r="D352" s="8">
        <v>46183.3029050926</v>
      </c>
      <c r="E352" s="9" t="s">
        <v>415</v>
      </c>
      <c r="F352" s="7">
        <v>0.04</v>
      </c>
      <c r="G352" s="7">
        <v>0.5</v>
      </c>
      <c r="H352" s="7">
        <v>0</v>
      </c>
      <c r="I352" s="7">
        <v>0.5</v>
      </c>
      <c r="J352" s="7">
        <v>0</v>
      </c>
      <c r="K352" s="7">
        <v>0.5</v>
      </c>
      <c r="L352" s="7">
        <v>0.04</v>
      </c>
      <c r="M352" s="7">
        <v>0.5</v>
      </c>
      <c r="N352" s="7">
        <v>0</v>
      </c>
      <c r="O352" s="7">
        <v>0</v>
      </c>
      <c r="P352" s="7">
        <v>0</v>
      </c>
      <c r="Q352" s="7">
        <v>0</v>
      </c>
    </row>
    <row r="353" s="1" customFormat="1" ht="14.25" hidden="1" spans="1:17">
      <c r="A353" s="1" t="str">
        <f>VLOOKUP(B353,combinate!A:B,2,FALSE)</f>
        <v>Group A</v>
      </c>
      <c r="B353" s="6">
        <v>233242773533</v>
      </c>
      <c r="C353" s="7">
        <v>7801700</v>
      </c>
      <c r="D353" s="8">
        <v>46161.7993402778</v>
      </c>
      <c r="E353" s="6" t="s">
        <v>419</v>
      </c>
      <c r="F353" s="7">
        <v>0</v>
      </c>
      <c r="G353" s="7">
        <v>0</v>
      </c>
      <c r="H353" s="7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</row>
    <row r="354" s="1" customFormat="1" ht="14.25" hidden="1" spans="1:17">
      <c r="A354" s="1" t="str">
        <f>VLOOKUP(B354,combinate!A:B,2,FALSE)</f>
        <v>Group C</v>
      </c>
      <c r="B354" s="6">
        <v>233249456703</v>
      </c>
      <c r="C354" s="7">
        <v>8321836</v>
      </c>
      <c r="D354" s="8">
        <v>46162.8141203704</v>
      </c>
      <c r="E354" s="6" t="s">
        <v>419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</row>
    <row r="355" s="1" customFormat="1" ht="14.25" hidden="1" spans="1:17">
      <c r="A355" s="1" t="str">
        <f>VLOOKUP(B355,combinate!A:B,2,FALSE)</f>
        <v>Group A</v>
      </c>
      <c r="B355" s="6">
        <v>233596535721</v>
      </c>
      <c r="C355" s="7">
        <v>8992591</v>
      </c>
      <c r="D355" s="8">
        <v>46161.1457291667</v>
      </c>
      <c r="E355" s="6" t="s">
        <v>419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</row>
    <row r="356" s="1" customFormat="1" ht="14.25" hidden="1" spans="1:17">
      <c r="A356" s="1" t="str">
        <f>VLOOKUP(B356,combinate!A:B,2,FALSE)</f>
        <v>Group C</v>
      </c>
      <c r="B356" s="6">
        <v>233542072259</v>
      </c>
      <c r="C356" s="7">
        <v>11497298</v>
      </c>
      <c r="D356" s="8">
        <v>46166.6198842593</v>
      </c>
      <c r="E356" s="6" t="s">
        <v>419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0</v>
      </c>
      <c r="N356" s="7">
        <v>0</v>
      </c>
      <c r="O356" s="7">
        <v>0</v>
      </c>
      <c r="P356" s="7">
        <v>0</v>
      </c>
      <c r="Q356" s="7">
        <v>0</v>
      </c>
    </row>
    <row r="357" s="1" customFormat="1" ht="14.25" hidden="1" spans="1:17">
      <c r="A357" s="1" t="str">
        <f>VLOOKUP(B357,combinate!A:B,2,FALSE)</f>
        <v>Group A</v>
      </c>
      <c r="B357" s="6">
        <v>233531439036</v>
      </c>
      <c r="C357" s="7">
        <v>13666322</v>
      </c>
      <c r="D357" s="8">
        <v>46166.6937268519</v>
      </c>
      <c r="E357" s="6" t="s">
        <v>419</v>
      </c>
      <c r="F357" s="7">
        <v>0</v>
      </c>
      <c r="G357" s="7">
        <v>0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</row>
    <row r="358" s="1" customFormat="1" ht="14.25" hidden="1" spans="1:17">
      <c r="A358" s="1" t="str">
        <f>VLOOKUP(B358,combinate!A:B,2,FALSE)</f>
        <v>Group A</v>
      </c>
      <c r="B358" s="6">
        <v>233539695179</v>
      </c>
      <c r="C358" s="7">
        <v>14398531</v>
      </c>
      <c r="D358" s="8">
        <v>46183.6508217593</v>
      </c>
      <c r="E358" s="9" t="s">
        <v>415</v>
      </c>
      <c r="F358" s="7">
        <v>186.08</v>
      </c>
      <c r="G358" s="7">
        <v>2419</v>
      </c>
      <c r="H358" s="7">
        <v>0</v>
      </c>
      <c r="I358" s="7">
        <v>2419</v>
      </c>
      <c r="J358" s="7">
        <v>0</v>
      </c>
      <c r="K358" s="7">
        <v>-232.65</v>
      </c>
      <c r="L358" s="7">
        <v>-17.9</v>
      </c>
      <c r="M358" s="7">
        <v>-232.65</v>
      </c>
      <c r="N358" s="7">
        <v>24.08</v>
      </c>
      <c r="O358" s="7">
        <v>313</v>
      </c>
      <c r="P358" s="7">
        <v>42</v>
      </c>
      <c r="Q358" s="7">
        <v>546</v>
      </c>
    </row>
    <row r="359" s="1" customFormat="1" ht="14.25" hidden="1" spans="1:17">
      <c r="A359" s="1" t="str">
        <f>VLOOKUP(B359,combinate!A:B,2,FALSE)</f>
        <v>Group C</v>
      </c>
      <c r="B359" s="6">
        <v>233594399784</v>
      </c>
      <c r="C359" s="7">
        <v>16025459</v>
      </c>
      <c r="D359" s="8">
        <v>46181.9268055556</v>
      </c>
      <c r="E359" s="9" t="s">
        <v>415</v>
      </c>
      <c r="F359" s="7">
        <v>0.02</v>
      </c>
      <c r="G359" s="7">
        <v>0.28</v>
      </c>
      <c r="H359" s="7">
        <v>0</v>
      </c>
      <c r="I359" s="7">
        <v>0.28</v>
      </c>
      <c r="J359" s="7">
        <v>0</v>
      </c>
      <c r="K359" s="7">
        <v>0.28</v>
      </c>
      <c r="L359" s="7">
        <v>0.02</v>
      </c>
      <c r="M359" s="7">
        <v>0.28</v>
      </c>
      <c r="N359" s="7">
        <v>0</v>
      </c>
      <c r="O359" s="7">
        <v>0</v>
      </c>
      <c r="P359" s="7">
        <v>0</v>
      </c>
      <c r="Q359" s="7">
        <v>0</v>
      </c>
    </row>
    <row r="360" s="1" customFormat="1" ht="14.25" hidden="1" spans="1:17">
      <c r="A360" s="1" t="str">
        <f>VLOOKUP(B360,combinate!A:B,2,FALSE)</f>
        <v>Group C</v>
      </c>
      <c r="B360" s="6">
        <v>233257312628</v>
      </c>
      <c r="C360" s="7">
        <v>16147578</v>
      </c>
      <c r="D360" s="8">
        <v>46162.473275463</v>
      </c>
      <c r="E360" s="6" t="s">
        <v>419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</row>
    <row r="361" s="1" customFormat="1" ht="14.25" hidden="1" spans="1:17">
      <c r="A361" s="1" t="str">
        <f>VLOOKUP(B361,combinate!A:B,2,FALSE)</f>
        <v>Group A</v>
      </c>
      <c r="B361" s="6">
        <v>233591882426</v>
      </c>
      <c r="C361" s="7">
        <v>17424642</v>
      </c>
      <c r="D361" s="8">
        <v>46161.7810300926</v>
      </c>
      <c r="E361" s="6" t="s">
        <v>419</v>
      </c>
      <c r="F361" s="7">
        <v>0</v>
      </c>
      <c r="G361" s="7">
        <v>0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</row>
    <row r="362" s="1" customFormat="1" ht="14.25" hidden="1" spans="1:17">
      <c r="A362" s="1" t="str">
        <f>VLOOKUP(B362,combinate!A:B,2,FALSE)</f>
        <v>Group A</v>
      </c>
      <c r="B362" s="6">
        <v>233249488836</v>
      </c>
      <c r="C362" s="7">
        <v>18287460</v>
      </c>
      <c r="D362" s="8">
        <v>46162.9789236111</v>
      </c>
      <c r="E362" s="6" t="s">
        <v>419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</row>
    <row r="363" s="1" customFormat="1" ht="14.25" hidden="1" spans="1:17">
      <c r="A363" s="1" t="str">
        <f>VLOOKUP(B363,combinate!A:B,2,FALSE)</f>
        <v>Group B</v>
      </c>
      <c r="B363" s="6">
        <v>233245012485</v>
      </c>
      <c r="C363" s="7">
        <v>18777805</v>
      </c>
      <c r="D363" s="8">
        <v>46166.9245138889</v>
      </c>
      <c r="E363" s="6" t="s">
        <v>419</v>
      </c>
      <c r="F363" s="7">
        <v>0</v>
      </c>
      <c r="G363" s="7">
        <v>0</v>
      </c>
      <c r="H363" s="7">
        <v>0</v>
      </c>
      <c r="I363" s="7">
        <v>0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</row>
    <row r="364" s="1" customFormat="1" ht="14.25" hidden="1" spans="1:17">
      <c r="A364" s="1" t="str">
        <f>VLOOKUP(B364,combinate!A:B,2,FALSE)</f>
        <v>Group B</v>
      </c>
      <c r="B364" s="6">
        <v>233249835515</v>
      </c>
      <c r="C364" s="7">
        <v>19182934</v>
      </c>
      <c r="D364" s="8">
        <v>46161.5946412037</v>
      </c>
      <c r="E364" s="6" t="s">
        <v>419</v>
      </c>
      <c r="F364" s="7">
        <v>0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</row>
    <row r="365" s="1" customFormat="1" ht="14.25" hidden="1" spans="1:17">
      <c r="A365" s="1" t="str">
        <f>VLOOKUP(B365,combinate!A:B,2,FALSE)</f>
        <v>Group B</v>
      </c>
      <c r="B365" s="6">
        <v>233550388583</v>
      </c>
      <c r="C365" s="7">
        <v>19208203</v>
      </c>
      <c r="D365" s="8">
        <v>46161.8086805556</v>
      </c>
      <c r="E365" s="6" t="s">
        <v>419</v>
      </c>
      <c r="F365" s="7">
        <v>0</v>
      </c>
      <c r="G365" s="7">
        <v>0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</row>
    <row r="366" s="1" customFormat="1" ht="14.25" hidden="1" spans="1:17">
      <c r="A366" s="1" t="str">
        <f>VLOOKUP(B366,combinate!A:B,2,FALSE)</f>
        <v>Group A</v>
      </c>
      <c r="B366" s="6">
        <v>233242720495</v>
      </c>
      <c r="C366" s="7">
        <v>19614452</v>
      </c>
      <c r="D366" s="8">
        <v>46160.8109027778</v>
      </c>
      <c r="E366" s="6" t="s">
        <v>419</v>
      </c>
      <c r="F366" s="7">
        <v>0</v>
      </c>
      <c r="G366" s="7">
        <v>0</v>
      </c>
      <c r="H366" s="7">
        <v>0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</row>
    <row r="367" s="1" customFormat="1" ht="14.25" hidden="1" spans="1:17">
      <c r="A367" s="1" t="str">
        <f>VLOOKUP(B367,combinate!A:B,2,FALSE)</f>
        <v>Group B</v>
      </c>
      <c r="B367" s="6">
        <v>233533310060</v>
      </c>
      <c r="C367" s="7">
        <v>20016693</v>
      </c>
      <c r="D367" s="8">
        <v>46161.8364699074</v>
      </c>
      <c r="E367" s="6" t="s">
        <v>419</v>
      </c>
      <c r="F367" s="7">
        <v>0</v>
      </c>
      <c r="G367" s="7">
        <v>0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</row>
    <row r="368" s="1" customFormat="1" ht="14.25" hidden="1" spans="1:17">
      <c r="A368" s="1" t="str">
        <f>VLOOKUP(B368,combinate!A:B,2,FALSE)</f>
        <v>Group C</v>
      </c>
      <c r="B368" s="6">
        <v>233548472171</v>
      </c>
      <c r="C368" s="7">
        <v>20236109</v>
      </c>
      <c r="D368" s="8">
        <v>46180.5482523148</v>
      </c>
      <c r="E368" s="9" t="s">
        <v>415</v>
      </c>
      <c r="F368" s="7">
        <v>12.08</v>
      </c>
      <c r="G368" s="7">
        <v>157</v>
      </c>
      <c r="H368" s="7">
        <v>0</v>
      </c>
      <c r="I368" s="7">
        <v>157</v>
      </c>
      <c r="J368" s="7">
        <v>0</v>
      </c>
      <c r="K368" s="7">
        <v>48.76</v>
      </c>
      <c r="L368" s="7">
        <v>3.75</v>
      </c>
      <c r="M368" s="7">
        <v>48.76</v>
      </c>
      <c r="N368" s="7">
        <v>7.92</v>
      </c>
      <c r="O368" s="7">
        <v>103</v>
      </c>
      <c r="P368" s="7">
        <v>12.08</v>
      </c>
      <c r="Q368" s="7">
        <v>157</v>
      </c>
    </row>
    <row r="369" s="1" customFormat="1" ht="14.25" hidden="1" spans="1:17">
      <c r="A369" s="1" t="str">
        <f>VLOOKUP(B369,combinate!A:B,2,FALSE)</f>
        <v>Group B</v>
      </c>
      <c r="B369" s="6">
        <v>233243788708</v>
      </c>
      <c r="C369" s="7">
        <v>3453065</v>
      </c>
      <c r="D369" s="8">
        <v>46163.9532523148</v>
      </c>
      <c r="E369" s="6" t="s">
        <v>419</v>
      </c>
      <c r="F369" s="7">
        <v>0</v>
      </c>
      <c r="G369" s="7">
        <v>0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</row>
    <row r="370" s="1" customFormat="1" ht="14.25" hidden="1" spans="1:17">
      <c r="A370" s="1" t="str">
        <f>VLOOKUP(B370,combinate!A:B,2,FALSE)</f>
        <v>Group B</v>
      </c>
      <c r="B370" s="6">
        <v>233593223711</v>
      </c>
      <c r="C370" s="7">
        <v>3737923</v>
      </c>
      <c r="D370" s="8">
        <v>46178.3002893518</v>
      </c>
      <c r="E370" s="6" t="s">
        <v>419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  <c r="N370" s="7">
        <v>0</v>
      </c>
      <c r="O370" s="7">
        <v>0</v>
      </c>
      <c r="P370" s="7">
        <v>0</v>
      </c>
      <c r="Q370" s="7">
        <v>0</v>
      </c>
    </row>
    <row r="371" s="1" customFormat="1" ht="14.25" hidden="1" spans="1:17">
      <c r="A371" s="1" t="str">
        <f>VLOOKUP(B371,combinate!A:B,2,FALSE)</f>
        <v>Group C</v>
      </c>
      <c r="B371" s="6">
        <v>233270922498</v>
      </c>
      <c r="C371" s="7">
        <v>6990358</v>
      </c>
      <c r="D371" s="8">
        <v>46166.2859143519</v>
      </c>
      <c r="E371" s="6" t="s">
        <v>419</v>
      </c>
      <c r="F371" s="7">
        <v>0</v>
      </c>
      <c r="G371" s="7">
        <v>0</v>
      </c>
      <c r="H371" s="7">
        <v>0</v>
      </c>
      <c r="I371" s="7">
        <v>0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</row>
    <row r="372" s="1" customFormat="1" ht="14.25" hidden="1" spans="1:17">
      <c r="A372" s="1" t="str">
        <f>VLOOKUP(B372,combinate!A:B,2,FALSE)</f>
        <v>Group C</v>
      </c>
      <c r="B372" s="6">
        <v>233551980573</v>
      </c>
      <c r="C372" s="7">
        <v>8711966</v>
      </c>
      <c r="D372" s="8">
        <v>46178.9731365741</v>
      </c>
      <c r="E372" s="9" t="s">
        <v>415</v>
      </c>
      <c r="F372" s="7">
        <v>10.89</v>
      </c>
      <c r="G372" s="7">
        <v>141.57</v>
      </c>
      <c r="H372" s="7">
        <v>0</v>
      </c>
      <c r="I372" s="7">
        <v>141.57</v>
      </c>
      <c r="J372" s="7">
        <v>0</v>
      </c>
      <c r="K372" s="7">
        <v>80</v>
      </c>
      <c r="L372" s="7">
        <v>6.15</v>
      </c>
      <c r="M372" s="7">
        <v>80</v>
      </c>
      <c r="N372" s="7">
        <v>3.08</v>
      </c>
      <c r="O372" s="7">
        <v>40</v>
      </c>
      <c r="P372" s="7">
        <v>0</v>
      </c>
      <c r="Q372" s="7">
        <v>0</v>
      </c>
    </row>
    <row r="373" s="1" customFormat="1" ht="14.25" hidden="1" spans="1:17">
      <c r="A373" s="1" t="str">
        <f>VLOOKUP(B373,combinate!A:B,2,FALSE)</f>
        <v>Group C</v>
      </c>
      <c r="B373" s="6">
        <v>233536522217</v>
      </c>
      <c r="C373" s="7">
        <v>13973508</v>
      </c>
      <c r="D373" s="8">
        <v>46160.7305902778</v>
      </c>
      <c r="E373" s="6" t="s">
        <v>419</v>
      </c>
      <c r="F373" s="7">
        <v>0</v>
      </c>
      <c r="G373" s="7">
        <v>0</v>
      </c>
      <c r="H373" s="7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</row>
    <row r="374" s="1" customFormat="1" ht="14.25" hidden="1" spans="1:17">
      <c r="A374" s="1" t="str">
        <f>VLOOKUP(B374,combinate!A:B,2,FALSE)</f>
        <v>Group C</v>
      </c>
      <c r="B374" s="6">
        <v>233594769770</v>
      </c>
      <c r="C374" s="7">
        <v>16059248</v>
      </c>
      <c r="D374" s="8">
        <v>46183.9494791667</v>
      </c>
      <c r="E374" s="9" t="s">
        <v>415</v>
      </c>
      <c r="F374" s="7">
        <v>1.42</v>
      </c>
      <c r="G374" s="7">
        <v>18.49</v>
      </c>
      <c r="H374" s="7">
        <v>0</v>
      </c>
      <c r="I374" s="7">
        <v>18.49</v>
      </c>
      <c r="J374" s="7">
        <v>0</v>
      </c>
      <c r="K374" s="7">
        <v>10.72</v>
      </c>
      <c r="L374" s="7">
        <v>0.82</v>
      </c>
      <c r="M374" s="7">
        <v>10.72</v>
      </c>
      <c r="N374" s="7">
        <v>0.77</v>
      </c>
      <c r="O374" s="7">
        <v>10</v>
      </c>
      <c r="P374" s="7">
        <v>0</v>
      </c>
      <c r="Q374" s="7">
        <v>0</v>
      </c>
    </row>
    <row r="375" s="1" customFormat="1" ht="14.25" hidden="1" spans="1:17">
      <c r="A375" s="1" t="str">
        <f>VLOOKUP(B375,combinate!A:B,2,FALSE)</f>
        <v>Group A</v>
      </c>
      <c r="B375" s="6">
        <v>233539291766</v>
      </c>
      <c r="C375" s="7">
        <v>16509181</v>
      </c>
      <c r="D375" s="8">
        <v>46181.9596990741</v>
      </c>
      <c r="E375" s="9" t="s">
        <v>415</v>
      </c>
      <c r="F375" s="7">
        <v>3.15</v>
      </c>
      <c r="G375" s="7">
        <v>41</v>
      </c>
      <c r="H375" s="7">
        <v>0</v>
      </c>
      <c r="I375" s="7">
        <v>41</v>
      </c>
      <c r="J375" s="7">
        <v>0</v>
      </c>
      <c r="K375" s="7">
        <v>30.32</v>
      </c>
      <c r="L375" s="7">
        <v>2.33</v>
      </c>
      <c r="M375" s="7">
        <v>30.32</v>
      </c>
      <c r="N375" s="7">
        <v>3.85</v>
      </c>
      <c r="O375" s="7">
        <v>50</v>
      </c>
      <c r="P375" s="7">
        <v>1.54</v>
      </c>
      <c r="Q375" s="7">
        <v>20</v>
      </c>
    </row>
    <row r="376" s="1" customFormat="1" ht="14.25" hidden="1" spans="1:17">
      <c r="A376" s="1" t="str">
        <f>VLOOKUP(B376,combinate!A:B,2,FALSE)</f>
        <v>Group C</v>
      </c>
      <c r="B376" s="6">
        <v>233275960162</v>
      </c>
      <c r="C376" s="7">
        <v>17268456</v>
      </c>
      <c r="D376" s="8">
        <v>46181.8702083333</v>
      </c>
      <c r="E376" s="6" t="s">
        <v>419</v>
      </c>
      <c r="F376" s="7">
        <v>0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  <c r="N376" s="7">
        <v>0</v>
      </c>
      <c r="O376" s="7">
        <v>0</v>
      </c>
      <c r="P376" s="7">
        <v>0</v>
      </c>
      <c r="Q376" s="7">
        <v>0</v>
      </c>
    </row>
    <row r="377" s="1" customFormat="1" ht="14.25" hidden="1" spans="1:17">
      <c r="A377" s="1" t="str">
        <f>VLOOKUP(B377,combinate!A:B,2,FALSE)</f>
        <v>Group A</v>
      </c>
      <c r="B377" s="6">
        <v>233247657338</v>
      </c>
      <c r="C377" s="7">
        <v>19766812</v>
      </c>
      <c r="D377" s="8">
        <v>46160.8338425926</v>
      </c>
      <c r="E377" s="6" t="s">
        <v>419</v>
      </c>
      <c r="F377" s="7">
        <v>0</v>
      </c>
      <c r="G377" s="7">
        <v>0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</row>
    <row r="378" s="1" customFormat="1" ht="14.25" hidden="1" spans="1:17">
      <c r="A378" s="1" t="str">
        <f>VLOOKUP(B378,combinate!A:B,2,FALSE)</f>
        <v>Group A</v>
      </c>
      <c r="B378" s="6">
        <v>233257685762</v>
      </c>
      <c r="C378" s="7">
        <v>19820951</v>
      </c>
      <c r="D378" s="8">
        <v>46183.6210069444</v>
      </c>
      <c r="E378" s="9" t="s">
        <v>415</v>
      </c>
      <c r="F378" s="7">
        <v>0.38</v>
      </c>
      <c r="G378" s="7">
        <v>5</v>
      </c>
      <c r="H378" s="7">
        <v>0</v>
      </c>
      <c r="I378" s="7">
        <v>5</v>
      </c>
      <c r="J378" s="7">
        <v>0</v>
      </c>
      <c r="K378" s="7">
        <v>5</v>
      </c>
      <c r="L378" s="7">
        <v>0.38</v>
      </c>
      <c r="M378" s="7">
        <v>5</v>
      </c>
      <c r="N378" s="7">
        <v>0.38</v>
      </c>
      <c r="O378" s="7">
        <v>5</v>
      </c>
      <c r="P378" s="7">
        <v>0</v>
      </c>
      <c r="Q378" s="7">
        <v>0</v>
      </c>
    </row>
    <row r="379" s="1" customFormat="1" ht="14.25" hidden="1" spans="1:17">
      <c r="A379" s="1" t="str">
        <f>VLOOKUP(B379,combinate!A:B,2,FALSE)</f>
        <v>Group C</v>
      </c>
      <c r="B379" s="6">
        <v>233598956797</v>
      </c>
      <c r="C379" s="7">
        <v>20093607</v>
      </c>
      <c r="D379" s="8">
        <v>46183.9816435185</v>
      </c>
      <c r="E379" s="9" t="s">
        <v>415</v>
      </c>
      <c r="F379" s="7">
        <v>65.2</v>
      </c>
      <c r="G379" s="7">
        <v>847.58</v>
      </c>
      <c r="H379" s="7">
        <v>0</v>
      </c>
      <c r="I379" s="7">
        <v>847.58</v>
      </c>
      <c r="J379" s="7">
        <v>0</v>
      </c>
      <c r="K379" s="7">
        <v>232.75</v>
      </c>
      <c r="L379" s="7">
        <v>17.9</v>
      </c>
      <c r="M379" s="7">
        <v>232.75</v>
      </c>
      <c r="N379" s="7">
        <v>17.92</v>
      </c>
      <c r="O379" s="7">
        <v>233</v>
      </c>
      <c r="P379" s="7">
        <v>0</v>
      </c>
      <c r="Q379" s="7">
        <v>0</v>
      </c>
    </row>
    <row r="380" s="1" customFormat="1" ht="14.25" hidden="1" spans="1:17">
      <c r="A380" s="1" t="str">
        <f>VLOOKUP(B380,combinate!A:B,2,FALSE)</f>
        <v>Group B</v>
      </c>
      <c r="B380" s="6">
        <v>233554061539</v>
      </c>
      <c r="C380" s="7">
        <v>20655924</v>
      </c>
      <c r="D380" s="8">
        <v>46162.7197106481</v>
      </c>
      <c r="E380" s="6" t="s">
        <v>419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  <c r="N380" s="7">
        <v>0</v>
      </c>
      <c r="O380" s="7">
        <v>0</v>
      </c>
      <c r="P380" s="7">
        <v>0</v>
      </c>
      <c r="Q380" s="7">
        <v>0</v>
      </c>
    </row>
    <row r="381" s="1" customFormat="1" ht="14.25" hidden="1" spans="1:17">
      <c r="A381" s="1" t="str">
        <f>VLOOKUP(B381,combinate!A:B,2,FALSE)</f>
        <v>Group B</v>
      </c>
      <c r="B381" s="6">
        <v>233571660024</v>
      </c>
      <c r="C381" s="7">
        <v>4707205</v>
      </c>
      <c r="D381" s="8">
        <v>46183.1511574074</v>
      </c>
      <c r="E381" s="6" t="s">
        <v>419</v>
      </c>
      <c r="F381" s="7">
        <v>0</v>
      </c>
      <c r="G381" s="7">
        <v>0</v>
      </c>
      <c r="H381" s="7">
        <v>0</v>
      </c>
      <c r="I381" s="7">
        <v>0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</row>
    <row r="382" s="1" customFormat="1" ht="14.25" hidden="1" spans="1:17">
      <c r="A382" s="1" t="str">
        <f>VLOOKUP(B382,combinate!A:B,2,FALSE)</f>
        <v>Group C</v>
      </c>
      <c r="B382" s="6">
        <v>233209168535</v>
      </c>
      <c r="C382" s="7">
        <v>10504058</v>
      </c>
      <c r="D382" s="8">
        <v>46163.9630324074</v>
      </c>
      <c r="E382" s="6" t="s">
        <v>419</v>
      </c>
      <c r="F382" s="7">
        <v>0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</row>
    <row r="383" s="1" customFormat="1" ht="14.25" hidden="1" spans="1:17">
      <c r="A383" s="1" t="str">
        <f>VLOOKUP(B383,combinate!A:B,2,FALSE)</f>
        <v>Group B</v>
      </c>
      <c r="B383" s="6">
        <v>233548396231</v>
      </c>
      <c r="C383" s="7">
        <v>13448384</v>
      </c>
      <c r="D383" s="8">
        <v>46177.8800578704</v>
      </c>
      <c r="E383" s="6" t="s">
        <v>419</v>
      </c>
      <c r="F383" s="7">
        <v>0</v>
      </c>
      <c r="G383" s="7">
        <v>0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</row>
    <row r="384" s="1" customFormat="1" ht="14.25" hidden="1" spans="1:17">
      <c r="A384" s="1" t="str">
        <f>VLOOKUP(B384,combinate!A:B,2,FALSE)</f>
        <v>Group C</v>
      </c>
      <c r="B384" s="6">
        <v>233266742990</v>
      </c>
      <c r="C384" s="7">
        <v>16979056</v>
      </c>
      <c r="D384" s="8">
        <v>46183.4115625</v>
      </c>
      <c r="E384" s="6" t="s">
        <v>419</v>
      </c>
      <c r="F384" s="7">
        <v>0</v>
      </c>
      <c r="G384" s="7">
        <v>0</v>
      </c>
      <c r="H384" s="7">
        <v>0</v>
      </c>
      <c r="I384" s="7">
        <v>0</v>
      </c>
      <c r="J384" s="7">
        <v>0</v>
      </c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</row>
    <row r="385" s="1" customFormat="1" ht="14.25" hidden="1" spans="1:17">
      <c r="A385" s="1" t="str">
        <f>VLOOKUP(B385,combinate!A:B,2,FALSE)</f>
        <v>Group B</v>
      </c>
      <c r="B385" s="6">
        <v>233505979507</v>
      </c>
      <c r="C385" s="7">
        <v>17720965</v>
      </c>
      <c r="D385" s="8">
        <v>46160.5474421296</v>
      </c>
      <c r="E385" s="6" t="s">
        <v>419</v>
      </c>
      <c r="F385" s="7">
        <v>0</v>
      </c>
      <c r="G385" s="7">
        <v>0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</row>
    <row r="386" s="1" customFormat="1" ht="14.25" hidden="1" spans="1:17">
      <c r="A386" s="1" t="str">
        <f>VLOOKUP(B386,combinate!A:B,2,FALSE)</f>
        <v>Group A</v>
      </c>
      <c r="B386" s="6">
        <v>233205674321</v>
      </c>
      <c r="C386" s="7">
        <v>18285030</v>
      </c>
      <c r="D386" s="8">
        <v>46161.65375</v>
      </c>
      <c r="E386" s="6" t="s">
        <v>419</v>
      </c>
      <c r="F386" s="7">
        <v>0</v>
      </c>
      <c r="G386" s="7">
        <v>0</v>
      </c>
      <c r="H386" s="7">
        <v>0</v>
      </c>
      <c r="I386" s="7">
        <v>0</v>
      </c>
      <c r="J386" s="7">
        <v>0</v>
      </c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</row>
    <row r="387" s="1" customFormat="1" ht="14.25" hidden="1" spans="1:17">
      <c r="A387" s="1" t="str">
        <f>VLOOKUP(B387,combinate!A:B,2,FALSE)</f>
        <v>Group C</v>
      </c>
      <c r="B387" s="6">
        <v>233597886048</v>
      </c>
      <c r="C387" s="7">
        <v>18514567</v>
      </c>
      <c r="D387" s="8">
        <v>46178.5573148148</v>
      </c>
      <c r="E387" s="6" t="s">
        <v>419</v>
      </c>
      <c r="F387" s="7">
        <v>0</v>
      </c>
      <c r="G387" s="7">
        <v>0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</row>
    <row r="388" s="1" customFormat="1" ht="14.25" hidden="1" spans="1:17">
      <c r="A388" s="1" t="str">
        <f>VLOOKUP(B388,combinate!A:B,2,FALSE)</f>
        <v>Group B</v>
      </c>
      <c r="B388" s="6">
        <v>233594416288</v>
      </c>
      <c r="C388" s="7">
        <v>18519895</v>
      </c>
      <c r="D388" s="8">
        <v>46162.8847685185</v>
      </c>
      <c r="E388" s="6" t="s">
        <v>419</v>
      </c>
      <c r="F388" s="7">
        <v>0</v>
      </c>
      <c r="G388" s="7">
        <v>0</v>
      </c>
      <c r="H388" s="7">
        <v>0</v>
      </c>
      <c r="I388" s="7">
        <v>0</v>
      </c>
      <c r="J388" s="7">
        <v>0</v>
      </c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</row>
    <row r="389" s="1" customFormat="1" ht="14.25" hidden="1" spans="1:17">
      <c r="A389" s="1" t="str">
        <f>VLOOKUP(B389,combinate!A:B,2,FALSE)</f>
        <v>Group C</v>
      </c>
      <c r="B389" s="6">
        <v>233546128244</v>
      </c>
      <c r="C389" s="7">
        <v>18774969</v>
      </c>
      <c r="D389" s="8">
        <v>46160.9361226852</v>
      </c>
      <c r="E389" s="6" t="s">
        <v>419</v>
      </c>
      <c r="F389" s="7">
        <v>0</v>
      </c>
      <c r="G389" s="7">
        <v>0</v>
      </c>
      <c r="H389" s="7">
        <v>0</v>
      </c>
      <c r="I389" s="7">
        <v>0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</row>
    <row r="390" s="1" customFormat="1" ht="14.25" hidden="1" spans="1:17">
      <c r="A390" s="1" t="str">
        <f>VLOOKUP(B390,combinate!A:B,2,FALSE)</f>
        <v>Group B</v>
      </c>
      <c r="B390" s="6">
        <v>233537962097</v>
      </c>
      <c r="C390" s="7">
        <v>18953554</v>
      </c>
      <c r="D390" s="8">
        <v>46161.8788541667</v>
      </c>
      <c r="E390" s="6" t="s">
        <v>419</v>
      </c>
      <c r="F390" s="7">
        <v>0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</row>
    <row r="391" s="1" customFormat="1" ht="14.25" hidden="1" spans="1:17">
      <c r="A391" s="1" t="str">
        <f>VLOOKUP(B391,combinate!A:B,2,FALSE)</f>
        <v>Group A</v>
      </c>
      <c r="B391" s="6">
        <v>233532749478</v>
      </c>
      <c r="C391" s="7">
        <v>19012501</v>
      </c>
      <c r="D391" s="8">
        <v>46161.5905787037</v>
      </c>
      <c r="E391" s="6" t="s">
        <v>419</v>
      </c>
      <c r="F391" s="7">
        <v>0</v>
      </c>
      <c r="G391" s="7">
        <v>0</v>
      </c>
      <c r="H391" s="7">
        <v>0</v>
      </c>
      <c r="I391" s="7">
        <v>0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</row>
    <row r="392" s="1" customFormat="1" ht="14.25" hidden="1" spans="1:17">
      <c r="A392" s="1" t="str">
        <f>VLOOKUP(B392,combinate!A:B,2,FALSE)</f>
        <v>Group C</v>
      </c>
      <c r="B392" s="6">
        <v>233209266637</v>
      </c>
      <c r="C392" s="7">
        <v>19378358</v>
      </c>
      <c r="D392" s="8">
        <v>46162.6801157407</v>
      </c>
      <c r="E392" s="6" t="s">
        <v>419</v>
      </c>
      <c r="F392" s="7">
        <v>0</v>
      </c>
      <c r="G392" s="7">
        <v>0</v>
      </c>
      <c r="H392" s="7">
        <v>0</v>
      </c>
      <c r="I392" s="7">
        <v>0</v>
      </c>
      <c r="J392" s="7">
        <v>0</v>
      </c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</row>
    <row r="393" s="1" customFormat="1" ht="14.25" hidden="1" spans="1:17">
      <c r="A393" s="1" t="str">
        <f>VLOOKUP(B393,combinate!A:B,2,FALSE)</f>
        <v>Group A</v>
      </c>
      <c r="B393" s="6">
        <v>233201534803</v>
      </c>
      <c r="C393" s="7">
        <v>19498712</v>
      </c>
      <c r="D393" s="8">
        <v>46163.8447569444</v>
      </c>
      <c r="E393" s="6" t="s">
        <v>419</v>
      </c>
      <c r="F393" s="7">
        <v>0</v>
      </c>
      <c r="G393" s="7">
        <v>0</v>
      </c>
      <c r="H393" s="7">
        <v>0</v>
      </c>
      <c r="I393" s="7">
        <v>0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</row>
    <row r="394" s="1" customFormat="1" ht="14.25" hidden="1" spans="1:17">
      <c r="A394" s="1" t="str">
        <f>VLOOKUP(B394,combinate!A:B,2,FALSE)</f>
        <v>Group A</v>
      </c>
      <c r="B394" s="6">
        <v>233505307892</v>
      </c>
      <c r="C394" s="7">
        <v>20072952</v>
      </c>
      <c r="D394" s="8">
        <v>46163.7843634259</v>
      </c>
      <c r="E394" s="6" t="s">
        <v>419</v>
      </c>
      <c r="F394" s="7">
        <v>0</v>
      </c>
      <c r="G394" s="7">
        <v>0</v>
      </c>
      <c r="H394" s="7">
        <v>0</v>
      </c>
      <c r="I394" s="7">
        <v>0</v>
      </c>
      <c r="J394" s="7">
        <v>0</v>
      </c>
      <c r="K394" s="7">
        <v>0</v>
      </c>
      <c r="L394" s="7">
        <v>0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</row>
    <row r="395" s="1" customFormat="1" ht="14.25" hidden="1" spans="1:17">
      <c r="A395" s="1" t="str">
        <f>VLOOKUP(B395,combinate!A:B,2,FALSE)</f>
        <v>Group B</v>
      </c>
      <c r="B395" s="6">
        <v>233551400667</v>
      </c>
      <c r="C395" s="7">
        <v>20578065</v>
      </c>
      <c r="D395" s="8">
        <v>46163.7456828704</v>
      </c>
      <c r="E395" s="6" t="s">
        <v>419</v>
      </c>
      <c r="F395" s="7">
        <v>0</v>
      </c>
      <c r="G395" s="7">
        <v>0</v>
      </c>
      <c r="H395" s="7">
        <v>0</v>
      </c>
      <c r="I395" s="7">
        <v>0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</row>
    <row r="396" s="1" customFormat="1" ht="14.25" hidden="1" spans="1:17">
      <c r="A396" s="1" t="str">
        <f>VLOOKUP(B396,combinate!A:B,2,FALSE)</f>
        <v>Group B</v>
      </c>
      <c r="B396" s="6">
        <v>233247884786</v>
      </c>
      <c r="C396" s="7">
        <v>20581154</v>
      </c>
      <c r="D396" s="8">
        <v>46166.265</v>
      </c>
      <c r="E396" s="6" t="s">
        <v>419</v>
      </c>
      <c r="F396" s="7">
        <v>0</v>
      </c>
      <c r="G396" s="7">
        <v>0</v>
      </c>
      <c r="H396" s="7">
        <v>0</v>
      </c>
      <c r="I396" s="7">
        <v>0</v>
      </c>
      <c r="J396" s="7">
        <v>0</v>
      </c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</row>
    <row r="397" s="1" customFormat="1" ht="14.25" hidden="1" spans="1:17">
      <c r="A397" s="1" t="str">
        <f>VLOOKUP(B397,combinate!A:B,2,FALSE)</f>
        <v>Group A</v>
      </c>
      <c r="B397" s="6">
        <v>233543173589</v>
      </c>
      <c r="C397" s="7">
        <v>3908442</v>
      </c>
      <c r="D397" s="8">
        <v>46160.3013888889</v>
      </c>
      <c r="E397" s="6" t="s">
        <v>419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</row>
    <row r="398" s="1" customFormat="1" ht="14.25" hidden="1" spans="1:17">
      <c r="A398" s="1" t="str">
        <f>VLOOKUP(B398,combinate!A:B,2,FALSE)</f>
        <v>Group C</v>
      </c>
      <c r="B398" s="6">
        <v>233248193755</v>
      </c>
      <c r="C398" s="7">
        <v>7224256</v>
      </c>
      <c r="D398" s="8">
        <v>46161.5533680556</v>
      </c>
      <c r="E398" s="6" t="s">
        <v>419</v>
      </c>
      <c r="F398" s="7">
        <v>0</v>
      </c>
      <c r="G398" s="7">
        <v>0</v>
      </c>
      <c r="H398" s="7">
        <v>0</v>
      </c>
      <c r="I398" s="7">
        <v>0</v>
      </c>
      <c r="J398" s="7">
        <v>0</v>
      </c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</row>
    <row r="399" s="1" customFormat="1" ht="14.25" hidden="1" spans="1:17">
      <c r="A399" s="1" t="str">
        <f>VLOOKUP(B399,combinate!A:B,2,FALSE)</f>
        <v>Group B</v>
      </c>
      <c r="B399" s="6">
        <v>233535311866</v>
      </c>
      <c r="C399" s="7">
        <v>13815184</v>
      </c>
      <c r="D399" s="8">
        <v>46183.9957060185</v>
      </c>
      <c r="E399" s="9" t="s">
        <v>415</v>
      </c>
      <c r="F399" s="7">
        <v>43.95</v>
      </c>
      <c r="G399" s="7">
        <v>571.3</v>
      </c>
      <c r="H399" s="7">
        <v>0</v>
      </c>
      <c r="I399" s="7">
        <v>571.3</v>
      </c>
      <c r="J399" s="7">
        <v>0</v>
      </c>
      <c r="K399" s="7">
        <v>11.64</v>
      </c>
      <c r="L399" s="7">
        <v>0.9</v>
      </c>
      <c r="M399" s="7">
        <v>11.64</v>
      </c>
      <c r="N399" s="7">
        <v>11.54</v>
      </c>
      <c r="O399" s="7">
        <v>150</v>
      </c>
      <c r="P399" s="7">
        <v>6.85</v>
      </c>
      <c r="Q399" s="7">
        <v>89</v>
      </c>
    </row>
    <row r="400" s="1" customFormat="1" ht="14.25" hidden="1" spans="1:17">
      <c r="A400" s="1" t="str">
        <f>VLOOKUP(B400,combinate!A:B,2,FALSE)</f>
        <v>Group A</v>
      </c>
      <c r="B400" s="6">
        <v>233548155384</v>
      </c>
      <c r="C400" s="7">
        <v>14873540</v>
      </c>
      <c r="D400" s="8">
        <v>46181.7767824074</v>
      </c>
      <c r="E400" s="6" t="s">
        <v>419</v>
      </c>
      <c r="F400" s="7">
        <v>0</v>
      </c>
      <c r="G400" s="7">
        <v>0</v>
      </c>
      <c r="H400" s="7">
        <v>0</v>
      </c>
      <c r="I400" s="7">
        <v>0</v>
      </c>
      <c r="J400" s="7">
        <v>0</v>
      </c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</row>
    <row r="401" s="1" customFormat="1" ht="14.25" hidden="1" spans="1:17">
      <c r="A401" s="1" t="str">
        <f>VLOOKUP(B401,combinate!A:B,2,FALSE)</f>
        <v>Group C</v>
      </c>
      <c r="B401" s="6">
        <v>233549993865</v>
      </c>
      <c r="C401" s="7">
        <v>15252997</v>
      </c>
      <c r="D401" s="8">
        <v>46161.5778356481</v>
      </c>
      <c r="E401" s="6" t="s">
        <v>419</v>
      </c>
      <c r="F401" s="7">
        <v>0</v>
      </c>
      <c r="G401" s="7">
        <v>0</v>
      </c>
      <c r="H401" s="7">
        <v>0</v>
      </c>
      <c r="I401" s="7">
        <v>0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</row>
    <row r="402" s="1" customFormat="1" ht="14.25" hidden="1" spans="1:17">
      <c r="A402" s="1" t="str">
        <f>VLOOKUP(B402,combinate!A:B,2,FALSE)</f>
        <v>Group A</v>
      </c>
      <c r="B402" s="6">
        <v>233552066358</v>
      </c>
      <c r="C402" s="7">
        <v>16758691</v>
      </c>
      <c r="D402" s="8">
        <v>46161.2768287037</v>
      </c>
      <c r="E402" s="6" t="s">
        <v>419</v>
      </c>
      <c r="F402" s="7">
        <v>0</v>
      </c>
      <c r="G402" s="7">
        <v>0</v>
      </c>
      <c r="H402" s="7">
        <v>0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7">
        <v>0</v>
      </c>
      <c r="O402" s="7">
        <v>0</v>
      </c>
      <c r="P402" s="7">
        <v>0</v>
      </c>
      <c r="Q402" s="7">
        <v>0</v>
      </c>
    </row>
    <row r="403" s="1" customFormat="1" ht="14.25" hidden="1" spans="1:17">
      <c r="A403" s="1" t="str">
        <f>VLOOKUP(B403,combinate!A:B,2,FALSE)</f>
        <v>Group A</v>
      </c>
      <c r="B403" s="6">
        <v>233557493822</v>
      </c>
      <c r="C403" s="7">
        <v>17234540</v>
      </c>
      <c r="D403" s="8">
        <v>46162.7178819444</v>
      </c>
      <c r="E403" s="6" t="s">
        <v>419</v>
      </c>
      <c r="F403" s="7">
        <v>0</v>
      </c>
      <c r="G403" s="7">
        <v>0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</row>
    <row r="404" s="1" customFormat="1" ht="14.25" hidden="1" spans="1:17">
      <c r="A404" s="1" t="str">
        <f>VLOOKUP(B404,combinate!A:B,2,FALSE)</f>
        <v>Group C</v>
      </c>
      <c r="B404" s="6">
        <v>233536344448</v>
      </c>
      <c r="C404" s="7">
        <v>17404887</v>
      </c>
      <c r="D404" s="8">
        <v>46166.0738425926</v>
      </c>
      <c r="E404" s="6" t="s">
        <v>419</v>
      </c>
      <c r="F404" s="7">
        <v>0</v>
      </c>
      <c r="G404" s="7">
        <v>0</v>
      </c>
      <c r="H404" s="7">
        <v>0</v>
      </c>
      <c r="I404" s="7">
        <v>0</v>
      </c>
      <c r="J404" s="7">
        <v>0</v>
      </c>
      <c r="K404" s="7">
        <v>0</v>
      </c>
      <c r="L404" s="7">
        <v>0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</row>
    <row r="405" s="1" customFormat="1" ht="14.25" hidden="1" spans="1:17">
      <c r="A405" s="1" t="str">
        <f>VLOOKUP(B405,combinate!A:B,2,FALSE)</f>
        <v>Group C</v>
      </c>
      <c r="B405" s="6">
        <v>233559605292</v>
      </c>
      <c r="C405" s="7">
        <v>19727199</v>
      </c>
      <c r="D405" s="8">
        <v>46163.7864930556</v>
      </c>
      <c r="E405" s="6" t="s">
        <v>419</v>
      </c>
      <c r="F405" s="7">
        <v>0</v>
      </c>
      <c r="G405" s="7">
        <v>0</v>
      </c>
      <c r="H405" s="7">
        <v>0</v>
      </c>
      <c r="I405" s="7">
        <v>0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</row>
    <row r="406" s="1" customFormat="1" ht="14.25" hidden="1" spans="1:17">
      <c r="A406" s="1" t="str">
        <f>VLOOKUP(B406,combinate!A:B,2,FALSE)</f>
        <v>Group C</v>
      </c>
      <c r="B406" s="6">
        <v>233597944137</v>
      </c>
      <c r="C406" s="7">
        <v>19998717</v>
      </c>
      <c r="D406" s="8">
        <v>46166.6903703704</v>
      </c>
      <c r="E406" s="6" t="s">
        <v>419</v>
      </c>
      <c r="F406" s="7">
        <v>0</v>
      </c>
      <c r="G406" s="7">
        <v>0</v>
      </c>
      <c r="H406" s="7">
        <v>0</v>
      </c>
      <c r="I406" s="7">
        <v>0</v>
      </c>
      <c r="J406" s="7">
        <v>0</v>
      </c>
      <c r="K406" s="7">
        <v>0</v>
      </c>
      <c r="L406" s="7">
        <v>0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</row>
    <row r="407" s="1" customFormat="1" ht="14.25" hidden="1" spans="1:17">
      <c r="A407" s="1" t="str">
        <f>VLOOKUP(B407,combinate!A:B,2,FALSE)</f>
        <v>Group A</v>
      </c>
      <c r="B407" s="6">
        <v>233539043315</v>
      </c>
      <c r="C407" s="7">
        <v>20169110</v>
      </c>
      <c r="D407" s="8">
        <v>46166.5799652778</v>
      </c>
      <c r="E407" s="6" t="s">
        <v>419</v>
      </c>
      <c r="F407" s="7">
        <v>0</v>
      </c>
      <c r="G407" s="7">
        <v>0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</row>
    <row r="408" s="1" customFormat="1" ht="14.25" hidden="1" spans="1:17">
      <c r="A408" s="1" t="str">
        <f>VLOOKUP(B408,combinate!A:B,2,FALSE)</f>
        <v>Group C</v>
      </c>
      <c r="B408" s="6">
        <v>233551964885</v>
      </c>
      <c r="C408" s="7">
        <v>20462629</v>
      </c>
      <c r="D408" s="8">
        <v>46161.4790740741</v>
      </c>
      <c r="E408" s="6" t="s">
        <v>419</v>
      </c>
      <c r="F408" s="7">
        <v>0</v>
      </c>
      <c r="G408" s="7">
        <v>0</v>
      </c>
      <c r="H408" s="7">
        <v>0</v>
      </c>
      <c r="I408" s="7">
        <v>0</v>
      </c>
      <c r="J408" s="7">
        <v>0</v>
      </c>
      <c r="K408" s="7">
        <v>0</v>
      </c>
      <c r="L408" s="7">
        <v>0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</row>
    <row r="409" s="1" customFormat="1" ht="14.25" hidden="1" spans="1:17">
      <c r="A409" s="1" t="str">
        <f>VLOOKUP(B409,combinate!A:B,2,FALSE)</f>
        <v>Group C</v>
      </c>
      <c r="B409" s="6">
        <v>233538190171</v>
      </c>
      <c r="C409" s="7">
        <v>20815899</v>
      </c>
      <c r="D409" s="8">
        <v>46181.7861574074</v>
      </c>
      <c r="E409" s="9" t="s">
        <v>415</v>
      </c>
      <c r="F409" s="7">
        <v>18.92</v>
      </c>
      <c r="G409" s="7">
        <v>246</v>
      </c>
      <c r="H409" s="7">
        <v>0</v>
      </c>
      <c r="I409" s="7">
        <v>246</v>
      </c>
      <c r="J409" s="7">
        <v>0</v>
      </c>
      <c r="K409" s="7">
        <v>116.79</v>
      </c>
      <c r="L409" s="7">
        <v>8.98</v>
      </c>
      <c r="M409" s="7">
        <v>116.79</v>
      </c>
      <c r="N409" s="7">
        <v>8.85</v>
      </c>
      <c r="O409" s="7">
        <v>115</v>
      </c>
      <c r="P409" s="7">
        <v>0</v>
      </c>
      <c r="Q409" s="7">
        <v>0</v>
      </c>
    </row>
    <row r="410" s="1" customFormat="1" ht="14.25" hidden="1" spans="1:17">
      <c r="A410" s="1" t="str">
        <f>VLOOKUP(B410,combinate!A:B,2,FALSE)</f>
        <v>Group C</v>
      </c>
      <c r="B410" s="6">
        <v>233556691745</v>
      </c>
      <c r="C410" s="7">
        <v>20878619</v>
      </c>
      <c r="D410" s="8">
        <v>46166.6343634259</v>
      </c>
      <c r="E410" s="6" t="s">
        <v>419</v>
      </c>
      <c r="F410" s="7">
        <v>0</v>
      </c>
      <c r="G410" s="7">
        <v>0</v>
      </c>
      <c r="H410" s="7">
        <v>0</v>
      </c>
      <c r="I410" s="7">
        <v>0</v>
      </c>
      <c r="J410" s="7">
        <v>0</v>
      </c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</row>
    <row r="411" s="1" customFormat="1" ht="14.25" hidden="1" spans="1:17">
      <c r="A411" s="1" t="str">
        <f>VLOOKUP(B411,combinate!A:B,2,FALSE)</f>
        <v>Group A</v>
      </c>
      <c r="B411" s="6">
        <v>233200425461</v>
      </c>
      <c r="C411" s="7">
        <v>20937650</v>
      </c>
      <c r="D411" s="8">
        <v>46166.8638310185</v>
      </c>
      <c r="E411" s="6" t="s">
        <v>419</v>
      </c>
      <c r="F411" s="7">
        <v>0</v>
      </c>
      <c r="G411" s="7">
        <v>0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</row>
    <row r="412" s="1" customFormat="1" ht="14.25" hidden="1" spans="1:17">
      <c r="A412" s="1" t="str">
        <f>VLOOKUP(B412,combinate!A:B,2,FALSE)</f>
        <v>Group B</v>
      </c>
      <c r="B412" s="6">
        <v>233595956926</v>
      </c>
      <c r="C412" s="7">
        <v>20951743</v>
      </c>
      <c r="D412" s="8">
        <v>46184.4149537037</v>
      </c>
      <c r="E412" s="9" t="s">
        <v>415</v>
      </c>
      <c r="F412" s="7">
        <v>6.35</v>
      </c>
      <c r="G412" s="7">
        <v>82.6</v>
      </c>
      <c r="H412" s="7">
        <v>5.6</v>
      </c>
      <c r="I412" s="7">
        <v>77</v>
      </c>
      <c r="J412" s="7">
        <v>5.6</v>
      </c>
      <c r="K412" s="7">
        <v>11</v>
      </c>
      <c r="L412" s="7">
        <v>1.28</v>
      </c>
      <c r="M412" s="7">
        <v>16.6</v>
      </c>
      <c r="N412" s="7">
        <v>1.23</v>
      </c>
      <c r="O412" s="7">
        <v>16</v>
      </c>
      <c r="P412" s="7">
        <v>0</v>
      </c>
      <c r="Q412" s="7">
        <v>0</v>
      </c>
    </row>
    <row r="413" s="1" customFormat="1" ht="14.25" hidden="1" spans="1:17">
      <c r="A413" s="1" t="str">
        <f>VLOOKUP(B413,combinate!A:B,2,FALSE)</f>
        <v>Group C</v>
      </c>
      <c r="B413" s="6">
        <v>233591944922</v>
      </c>
      <c r="C413" s="7">
        <v>20998209</v>
      </c>
      <c r="D413" s="8">
        <v>46183.3900347222</v>
      </c>
      <c r="E413" s="9" t="s">
        <v>415</v>
      </c>
      <c r="F413" s="7">
        <v>109.8</v>
      </c>
      <c r="G413" s="7">
        <v>1427.36</v>
      </c>
      <c r="H413" s="7">
        <v>0</v>
      </c>
      <c r="I413" s="7">
        <v>1427.36</v>
      </c>
      <c r="J413" s="7">
        <v>0</v>
      </c>
      <c r="K413" s="7">
        <v>-95.84</v>
      </c>
      <c r="L413" s="7">
        <v>-7.37</v>
      </c>
      <c r="M413" s="7">
        <v>-95.84</v>
      </c>
      <c r="N413" s="7">
        <v>15.38</v>
      </c>
      <c r="O413" s="7">
        <v>200</v>
      </c>
      <c r="P413" s="7">
        <v>130.77</v>
      </c>
      <c r="Q413" s="7">
        <v>1700</v>
      </c>
    </row>
    <row r="414" s="1" customFormat="1" ht="14.25" hidden="1" spans="1:17">
      <c r="A414" s="1" t="str">
        <f>VLOOKUP(B414,combinate!A:B,2,FALSE)</f>
        <v>Group A</v>
      </c>
      <c r="B414" s="6">
        <v>233549920355</v>
      </c>
      <c r="C414" s="7">
        <v>21356012</v>
      </c>
      <c r="D414" s="8">
        <v>46166.8133101852</v>
      </c>
      <c r="E414" s="6" t="s">
        <v>419</v>
      </c>
      <c r="F414" s="7">
        <v>0</v>
      </c>
      <c r="G414" s="7">
        <v>0</v>
      </c>
      <c r="H414" s="7">
        <v>0</v>
      </c>
      <c r="I414" s="7">
        <v>0</v>
      </c>
      <c r="J414" s="7">
        <v>0</v>
      </c>
      <c r="K414" s="7">
        <v>0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</row>
    <row r="415" s="1" customFormat="1" ht="14.25" hidden="1" spans="1:17">
      <c r="A415" s="1" t="str">
        <f>VLOOKUP(B415,combinate!A:B,2,FALSE)</f>
        <v>Group A</v>
      </c>
      <c r="B415" s="6">
        <v>233553902578</v>
      </c>
      <c r="C415" s="7">
        <v>21736632</v>
      </c>
      <c r="D415" s="8">
        <v>46160.867349537</v>
      </c>
      <c r="E415" s="6" t="s">
        <v>419</v>
      </c>
      <c r="F415" s="7">
        <v>0</v>
      </c>
      <c r="G415" s="7">
        <v>0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</row>
    <row r="416" s="1" customFormat="1" ht="14.25" hidden="1" spans="1:17">
      <c r="A416" s="1" t="str">
        <f>VLOOKUP(B416,combinate!A:B,2,FALSE)</f>
        <v>Group A</v>
      </c>
      <c r="B416" s="6">
        <v>233245923424</v>
      </c>
      <c r="C416" s="7">
        <v>21896912</v>
      </c>
      <c r="D416" s="8">
        <v>46184.3684375</v>
      </c>
      <c r="E416" s="9" t="s">
        <v>415</v>
      </c>
      <c r="F416" s="7">
        <v>0.38</v>
      </c>
      <c r="G416" s="7">
        <v>5</v>
      </c>
      <c r="H416" s="7">
        <v>0</v>
      </c>
      <c r="I416" s="7">
        <v>5</v>
      </c>
      <c r="J416" s="7">
        <v>0</v>
      </c>
      <c r="K416" s="7">
        <v>5</v>
      </c>
      <c r="L416" s="7">
        <v>0.38</v>
      </c>
      <c r="M416" s="7">
        <v>5</v>
      </c>
      <c r="N416" s="7">
        <v>0.38</v>
      </c>
      <c r="O416" s="7">
        <v>5</v>
      </c>
      <c r="P416" s="7">
        <v>0</v>
      </c>
      <c r="Q416" s="7">
        <v>0</v>
      </c>
    </row>
    <row r="417" s="1" customFormat="1" ht="14.25" hidden="1" spans="1:17">
      <c r="A417" s="1" t="str">
        <f>VLOOKUP(B417,combinate!A:B,2,FALSE)</f>
        <v>Group B</v>
      </c>
      <c r="B417" s="6">
        <v>233596464412</v>
      </c>
      <c r="C417" s="7">
        <v>22381275</v>
      </c>
      <c r="D417" s="8">
        <v>46183.5316435185</v>
      </c>
      <c r="E417" s="9" t="s">
        <v>415</v>
      </c>
      <c r="F417" s="7">
        <v>91.04</v>
      </c>
      <c r="G417" s="7">
        <v>1183.5</v>
      </c>
      <c r="H417" s="7">
        <v>5</v>
      </c>
      <c r="I417" s="7">
        <v>1178.5</v>
      </c>
      <c r="J417" s="7">
        <v>5</v>
      </c>
      <c r="K417" s="7">
        <v>-257.5</v>
      </c>
      <c r="L417" s="7">
        <v>-19.42</v>
      </c>
      <c r="M417" s="7">
        <v>-252.5</v>
      </c>
      <c r="N417" s="7">
        <v>10.77</v>
      </c>
      <c r="O417" s="7">
        <v>140</v>
      </c>
      <c r="P417" s="7">
        <v>43.31</v>
      </c>
      <c r="Q417" s="7">
        <v>563</v>
      </c>
    </row>
    <row r="418" s="1" customFormat="1" ht="14.25" hidden="1" spans="1:17">
      <c r="A418" s="1" t="str">
        <f>VLOOKUP(B418,combinate!A:B,2,FALSE)</f>
        <v>Group A</v>
      </c>
      <c r="B418" s="6">
        <v>233547316813</v>
      </c>
      <c r="C418" s="7">
        <v>22440490</v>
      </c>
      <c r="D418" s="8">
        <v>46160.4214583333</v>
      </c>
      <c r="E418" s="6" t="s">
        <v>419</v>
      </c>
      <c r="F418" s="7">
        <v>0</v>
      </c>
      <c r="G418" s="7">
        <v>0</v>
      </c>
      <c r="H418" s="7">
        <v>0</v>
      </c>
      <c r="I418" s="7">
        <v>0</v>
      </c>
      <c r="J418" s="7">
        <v>0</v>
      </c>
      <c r="K418" s="7">
        <v>0</v>
      </c>
      <c r="L418" s="7">
        <v>0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</row>
    <row r="419" s="1" customFormat="1" ht="14.25" hidden="1" spans="1:17">
      <c r="A419" s="1" t="str">
        <f>VLOOKUP(B419,combinate!A:B,2,FALSE)</f>
        <v>Group B</v>
      </c>
      <c r="B419" s="6">
        <v>233595846265</v>
      </c>
      <c r="C419" s="7">
        <v>22441305</v>
      </c>
      <c r="D419" s="8">
        <v>46166.5153472222</v>
      </c>
      <c r="E419" s="6" t="s">
        <v>419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</row>
    <row r="420" s="1" customFormat="1" ht="14.25" hidden="1" spans="1:17">
      <c r="A420" s="1" t="str">
        <f>VLOOKUP(B420,combinate!A:B,2,FALSE)</f>
        <v>Group C</v>
      </c>
      <c r="B420" s="6">
        <v>233547073438</v>
      </c>
      <c r="C420" s="7">
        <v>22497447</v>
      </c>
      <c r="D420" s="8">
        <v>46163.6762037037</v>
      </c>
      <c r="E420" s="6" t="s">
        <v>419</v>
      </c>
      <c r="F420" s="7">
        <v>0</v>
      </c>
      <c r="G420" s="7">
        <v>0</v>
      </c>
      <c r="H420" s="7">
        <v>0</v>
      </c>
      <c r="I420" s="7">
        <v>0</v>
      </c>
      <c r="J420" s="7">
        <v>0</v>
      </c>
      <c r="K420" s="7">
        <v>0</v>
      </c>
      <c r="L420" s="7">
        <v>0</v>
      </c>
      <c r="M420" s="7">
        <v>0</v>
      </c>
      <c r="N420" s="7">
        <v>0</v>
      </c>
      <c r="O420" s="7">
        <v>0</v>
      </c>
      <c r="P420" s="7">
        <v>0</v>
      </c>
      <c r="Q420" s="7">
        <v>0</v>
      </c>
    </row>
    <row r="421" s="1" customFormat="1" ht="14.25" hidden="1" spans="1:17">
      <c r="A421" s="1" t="str">
        <f>VLOOKUP(B421,combinate!A:B,2,FALSE)</f>
        <v>Group C</v>
      </c>
      <c r="B421" s="6">
        <v>233240252836</v>
      </c>
      <c r="C421" s="7">
        <v>22506286</v>
      </c>
      <c r="D421" s="8">
        <v>46166.4009953704</v>
      </c>
      <c r="E421" s="6" t="s">
        <v>419</v>
      </c>
      <c r="F421" s="7">
        <v>0</v>
      </c>
      <c r="G421" s="7">
        <v>0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</row>
    <row r="422" s="1" customFormat="1" ht="14.25" hidden="1" spans="1:17">
      <c r="A422" s="1" t="str">
        <f>VLOOKUP(B422,combinate!A:B,2,FALSE)</f>
        <v>Group B</v>
      </c>
      <c r="B422" s="6">
        <v>233550645918</v>
      </c>
      <c r="C422" s="7">
        <v>22634273</v>
      </c>
      <c r="D422" s="8">
        <v>46161.8324537037</v>
      </c>
      <c r="E422" s="6" t="s">
        <v>419</v>
      </c>
      <c r="F422" s="7">
        <v>0</v>
      </c>
      <c r="G422" s="7">
        <v>0</v>
      </c>
      <c r="H422" s="7">
        <v>0</v>
      </c>
      <c r="I422" s="7">
        <v>0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</row>
    <row r="423" s="1" customFormat="1" ht="14.25" hidden="1" spans="1:17">
      <c r="A423" s="1" t="str">
        <f>VLOOKUP(B423,combinate!A:B,2,FALSE)</f>
        <v>Group A</v>
      </c>
      <c r="B423" s="6">
        <v>233544905944</v>
      </c>
      <c r="C423" s="7">
        <v>22641501</v>
      </c>
      <c r="D423" s="8">
        <v>46162.7957175926</v>
      </c>
      <c r="E423" s="6" t="s">
        <v>419</v>
      </c>
      <c r="F423" s="7">
        <v>0</v>
      </c>
      <c r="G423" s="7">
        <v>0</v>
      </c>
      <c r="H423" s="7">
        <v>0</v>
      </c>
      <c r="I423" s="7">
        <v>0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</row>
    <row r="424" s="1" customFormat="1" ht="14.25" hidden="1" spans="1:17">
      <c r="A424" s="1" t="str">
        <f>VLOOKUP(B424,combinate!A:B,2,FALSE)</f>
        <v>Group C</v>
      </c>
      <c r="B424" s="6">
        <v>233539402204</v>
      </c>
      <c r="C424" s="7">
        <v>22656206</v>
      </c>
      <c r="D424" s="8">
        <v>46166.1989930556</v>
      </c>
      <c r="E424" s="6" t="s">
        <v>419</v>
      </c>
      <c r="F424" s="7">
        <v>0</v>
      </c>
      <c r="G424" s="7">
        <v>0</v>
      </c>
      <c r="H424" s="7">
        <v>0</v>
      </c>
      <c r="I424" s="7">
        <v>0</v>
      </c>
      <c r="J424" s="7">
        <v>0</v>
      </c>
      <c r="K424" s="7">
        <v>0</v>
      </c>
      <c r="L424" s="7">
        <v>0</v>
      </c>
      <c r="M424" s="7">
        <v>0</v>
      </c>
      <c r="N424" s="7">
        <v>0</v>
      </c>
      <c r="O424" s="7">
        <v>0</v>
      </c>
      <c r="P424" s="7">
        <v>0</v>
      </c>
      <c r="Q424" s="7">
        <v>0</v>
      </c>
    </row>
    <row r="425" s="1" customFormat="1" ht="14.25" hidden="1" spans="1:17">
      <c r="A425" s="1" t="str">
        <f>VLOOKUP(B425,combinate!A:B,2,FALSE)</f>
        <v>Group B</v>
      </c>
      <c r="B425" s="6">
        <v>233203919255</v>
      </c>
      <c r="C425" s="7">
        <v>22722864</v>
      </c>
      <c r="D425" s="8">
        <v>46180.2854398148</v>
      </c>
      <c r="E425" s="6" t="s">
        <v>419</v>
      </c>
      <c r="F425" s="7">
        <v>0</v>
      </c>
      <c r="G425" s="7">
        <v>0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</row>
    <row r="426" s="1" customFormat="1" ht="14.25" hidden="1" spans="1:17">
      <c r="A426" s="1" t="str">
        <f>VLOOKUP(B426,combinate!A:B,2,FALSE)</f>
        <v>Group C</v>
      </c>
      <c r="B426" s="6">
        <v>233593497417</v>
      </c>
      <c r="C426" s="7">
        <v>22734199</v>
      </c>
      <c r="D426" s="8">
        <v>46184.3964814815</v>
      </c>
      <c r="E426" s="6" t="s">
        <v>419</v>
      </c>
      <c r="F426" s="7">
        <v>0</v>
      </c>
      <c r="G426" s="7">
        <v>0</v>
      </c>
      <c r="H426" s="7">
        <v>0</v>
      </c>
      <c r="I426" s="7">
        <v>0</v>
      </c>
      <c r="J426" s="7">
        <v>0</v>
      </c>
      <c r="K426" s="7">
        <v>0</v>
      </c>
      <c r="L426" s="7">
        <v>0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</row>
    <row r="427" s="1" customFormat="1" ht="14.25" hidden="1" spans="1:17">
      <c r="A427" s="1" t="str">
        <f>VLOOKUP(B427,combinate!A:B,2,FALSE)</f>
        <v>Group C</v>
      </c>
      <c r="B427" s="6">
        <v>233543344284</v>
      </c>
      <c r="C427" s="7">
        <v>22752609</v>
      </c>
      <c r="D427" s="8">
        <v>46182.9453587963</v>
      </c>
      <c r="E427" s="9" t="s">
        <v>415</v>
      </c>
      <c r="F427" s="7">
        <v>81.17</v>
      </c>
      <c r="G427" s="7">
        <v>1055.21</v>
      </c>
      <c r="H427" s="7">
        <v>0</v>
      </c>
      <c r="I427" s="7">
        <v>1055.21</v>
      </c>
      <c r="J427" s="7">
        <v>0</v>
      </c>
      <c r="K427" s="7">
        <v>58.8</v>
      </c>
      <c r="L427" s="7">
        <v>4.52</v>
      </c>
      <c r="M427" s="7">
        <v>58.8</v>
      </c>
      <c r="N427" s="7">
        <v>9.46</v>
      </c>
      <c r="O427" s="7">
        <v>123</v>
      </c>
      <c r="P427" s="7">
        <v>4.92</v>
      </c>
      <c r="Q427" s="7">
        <v>64</v>
      </c>
    </row>
    <row r="428" s="1" customFormat="1" ht="14.25" hidden="1" spans="1:17">
      <c r="A428" s="1" t="str">
        <f>VLOOKUP(B428,combinate!A:B,2,FALSE)</f>
        <v>Group A</v>
      </c>
      <c r="B428" s="6">
        <v>233208326265</v>
      </c>
      <c r="C428" s="7">
        <v>22838630</v>
      </c>
      <c r="D428" s="8">
        <v>46183.4199189815</v>
      </c>
      <c r="E428" s="9" t="s">
        <v>415</v>
      </c>
      <c r="F428" s="7">
        <v>146.1</v>
      </c>
      <c r="G428" s="7">
        <v>1899.35</v>
      </c>
      <c r="H428" s="7">
        <v>0</v>
      </c>
      <c r="I428" s="7">
        <v>1899.35</v>
      </c>
      <c r="J428" s="7">
        <v>0</v>
      </c>
      <c r="K428" s="7">
        <v>128.93</v>
      </c>
      <c r="L428" s="7">
        <v>9.92</v>
      </c>
      <c r="M428" s="7">
        <v>128.93</v>
      </c>
      <c r="N428" s="7">
        <v>29.85</v>
      </c>
      <c r="O428" s="7">
        <v>388</v>
      </c>
      <c r="P428" s="7">
        <v>19.92</v>
      </c>
      <c r="Q428" s="7">
        <v>259</v>
      </c>
    </row>
    <row r="429" s="1" customFormat="1" ht="14.25" hidden="1" spans="1:17">
      <c r="A429" s="1" t="str">
        <f>VLOOKUP(B429,combinate!A:B,2,FALSE)</f>
        <v>Group C</v>
      </c>
      <c r="B429" s="6">
        <v>233551591706</v>
      </c>
      <c r="C429" s="7">
        <v>22926508</v>
      </c>
      <c r="D429" s="8">
        <v>46163.681412037</v>
      </c>
      <c r="E429" s="6" t="s">
        <v>419</v>
      </c>
      <c r="F429" s="7">
        <v>0</v>
      </c>
      <c r="G429" s="7">
        <v>0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</row>
    <row r="430" s="1" customFormat="1" ht="14.25" hidden="1" spans="1:17">
      <c r="A430" s="1" t="str">
        <f>VLOOKUP(B430,combinate!A:B,2,FALSE)</f>
        <v>Group B</v>
      </c>
      <c r="B430" s="6">
        <v>233205527661</v>
      </c>
      <c r="C430" s="7">
        <v>22930183</v>
      </c>
      <c r="D430" s="8">
        <v>46162.4362384259</v>
      </c>
      <c r="E430" s="6" t="s">
        <v>419</v>
      </c>
      <c r="F430" s="7">
        <v>0</v>
      </c>
      <c r="G430" s="7">
        <v>0</v>
      </c>
      <c r="H430" s="7">
        <v>0</v>
      </c>
      <c r="I430" s="7">
        <v>0</v>
      </c>
      <c r="J430" s="7">
        <v>0</v>
      </c>
      <c r="K430" s="7">
        <v>0</v>
      </c>
      <c r="L430" s="7">
        <v>0</v>
      </c>
      <c r="M430" s="7">
        <v>0</v>
      </c>
      <c r="N430" s="7">
        <v>0</v>
      </c>
      <c r="O430" s="7">
        <v>0</v>
      </c>
      <c r="P430" s="7">
        <v>0</v>
      </c>
      <c r="Q430" s="7">
        <v>0</v>
      </c>
    </row>
    <row r="431" s="1" customFormat="1" ht="14.25" hidden="1" spans="1:17">
      <c r="A431" s="1" t="str">
        <f>VLOOKUP(B431,combinate!A:B,2,FALSE)</f>
        <v>Group C</v>
      </c>
      <c r="B431" s="6">
        <v>233537991383</v>
      </c>
      <c r="C431" s="7">
        <v>22933658</v>
      </c>
      <c r="D431" s="8">
        <v>46163.6582060185</v>
      </c>
      <c r="E431" s="6" t="s">
        <v>419</v>
      </c>
      <c r="F431" s="7">
        <v>0</v>
      </c>
      <c r="G431" s="7">
        <v>0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</row>
    <row r="432" s="1" customFormat="1" ht="14.25" hidden="1" spans="1:17">
      <c r="A432" s="1" t="str">
        <f>VLOOKUP(B432,combinate!A:B,2,FALSE)</f>
        <v>Group C</v>
      </c>
      <c r="B432" s="6">
        <v>233539500951</v>
      </c>
      <c r="C432" s="7">
        <v>22937316</v>
      </c>
      <c r="D432" s="8">
        <v>46163.8604861111</v>
      </c>
      <c r="E432" s="6" t="s">
        <v>419</v>
      </c>
      <c r="F432" s="7">
        <v>0</v>
      </c>
      <c r="G432" s="7">
        <v>0</v>
      </c>
      <c r="H432" s="7">
        <v>0</v>
      </c>
      <c r="I432" s="7">
        <v>0</v>
      </c>
      <c r="J432" s="7">
        <v>0</v>
      </c>
      <c r="K432" s="7">
        <v>0</v>
      </c>
      <c r="L432" s="7">
        <v>0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</row>
    <row r="433" s="1" customFormat="1" ht="14.25" hidden="1" spans="1:17">
      <c r="A433" s="1" t="str">
        <f>VLOOKUP(B433,combinate!A:B,2,FALSE)</f>
        <v>Group B</v>
      </c>
      <c r="B433" s="6">
        <v>233557446009</v>
      </c>
      <c r="C433" s="7">
        <v>22940295</v>
      </c>
      <c r="D433" s="8">
        <v>46162.2573726852</v>
      </c>
      <c r="E433" s="6" t="s">
        <v>419</v>
      </c>
      <c r="F433" s="7">
        <v>0</v>
      </c>
      <c r="G433" s="7">
        <v>0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</row>
    <row r="434" s="1" customFormat="1" ht="14.25" hidden="1" spans="1:17">
      <c r="A434" s="1" t="str">
        <f>VLOOKUP(B434,combinate!A:B,2,FALSE)</f>
        <v>Group B</v>
      </c>
      <c r="B434" s="6">
        <v>233509066010</v>
      </c>
      <c r="C434" s="7">
        <v>22999645</v>
      </c>
      <c r="D434" s="8">
        <v>46166.0162847222</v>
      </c>
      <c r="E434" s="6" t="s">
        <v>419</v>
      </c>
      <c r="F434" s="7">
        <v>0</v>
      </c>
      <c r="G434" s="7">
        <v>0</v>
      </c>
      <c r="H434" s="7">
        <v>0</v>
      </c>
      <c r="I434" s="7">
        <v>0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</row>
    <row r="435" s="1" customFormat="1" ht="14.25" hidden="1" spans="1:17">
      <c r="A435" s="1" t="str">
        <f>VLOOKUP(B435,combinate!A:B,2,FALSE)</f>
        <v>Group B</v>
      </c>
      <c r="B435" s="6">
        <v>233557338656</v>
      </c>
      <c r="C435" s="7">
        <v>11869543</v>
      </c>
      <c r="D435" s="8">
        <v>46183.4740162037</v>
      </c>
      <c r="E435" s="6" t="s">
        <v>419</v>
      </c>
      <c r="F435" s="7">
        <v>0</v>
      </c>
      <c r="G435" s="7">
        <v>0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</row>
    <row r="436" s="1" customFormat="1" ht="14.25" hidden="1" spans="1:17">
      <c r="A436" s="1" t="str">
        <f>VLOOKUP(B436,combinate!A:B,2,FALSE)</f>
        <v>Group B</v>
      </c>
      <c r="B436" s="6">
        <v>233554485255</v>
      </c>
      <c r="C436" s="7">
        <v>14312965</v>
      </c>
      <c r="D436" s="8">
        <v>46166.7612268518</v>
      </c>
      <c r="E436" s="6" t="s">
        <v>419</v>
      </c>
      <c r="F436" s="7">
        <v>0</v>
      </c>
      <c r="G436" s="7">
        <v>0</v>
      </c>
      <c r="H436" s="7">
        <v>0</v>
      </c>
      <c r="I436" s="7">
        <v>0</v>
      </c>
      <c r="J436" s="7">
        <v>0</v>
      </c>
      <c r="K436" s="7">
        <v>0</v>
      </c>
      <c r="L436" s="7">
        <v>0</v>
      </c>
      <c r="M436" s="7">
        <v>0</v>
      </c>
      <c r="N436" s="7">
        <v>0</v>
      </c>
      <c r="O436" s="7">
        <v>0</v>
      </c>
      <c r="P436" s="7">
        <v>0</v>
      </c>
      <c r="Q436" s="7">
        <v>0</v>
      </c>
    </row>
    <row r="437" s="1" customFormat="1" ht="14.25" hidden="1" spans="1:17">
      <c r="A437" s="1" t="str">
        <f>VLOOKUP(B437,combinate!A:B,2,FALSE)</f>
        <v>Group A</v>
      </c>
      <c r="B437" s="6">
        <v>233537499088</v>
      </c>
      <c r="C437" s="7">
        <v>17640241</v>
      </c>
      <c r="D437" s="8">
        <v>46184.0447685185</v>
      </c>
      <c r="E437" s="6" t="s">
        <v>419</v>
      </c>
      <c r="F437" s="7">
        <v>0</v>
      </c>
      <c r="G437" s="7">
        <v>0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</row>
    <row r="438" s="1" customFormat="1" ht="14.25" hidden="1" spans="1:17">
      <c r="A438" s="1" t="str">
        <f>VLOOKUP(B438,combinate!A:B,2,FALSE)</f>
        <v>Group A</v>
      </c>
      <c r="B438" s="6">
        <v>233535064720</v>
      </c>
      <c r="C438" s="7">
        <v>18143571</v>
      </c>
      <c r="D438" s="8">
        <v>46184.3301157407</v>
      </c>
      <c r="E438" s="9" t="s">
        <v>415</v>
      </c>
      <c r="F438" s="7">
        <v>588.43</v>
      </c>
      <c r="G438" s="7">
        <v>7649.57</v>
      </c>
      <c r="H438" s="7">
        <v>20</v>
      </c>
      <c r="I438" s="7">
        <v>7629.57</v>
      </c>
      <c r="J438" s="7">
        <v>20</v>
      </c>
      <c r="K438" s="7">
        <v>895.33</v>
      </c>
      <c r="L438" s="7">
        <v>70.41</v>
      </c>
      <c r="M438" s="7">
        <v>915.33</v>
      </c>
      <c r="N438" s="7">
        <v>154</v>
      </c>
      <c r="O438" s="7">
        <v>2002</v>
      </c>
      <c r="P438" s="7">
        <v>83.54</v>
      </c>
      <c r="Q438" s="7">
        <v>1086</v>
      </c>
    </row>
    <row r="439" s="1" customFormat="1" ht="14.25" hidden="1" spans="1:17">
      <c r="A439" s="1" t="str">
        <f>VLOOKUP(B439,combinate!A:B,2,FALSE)</f>
        <v>Group A</v>
      </c>
      <c r="B439" s="6">
        <v>233557714056</v>
      </c>
      <c r="C439" s="7">
        <v>18685300</v>
      </c>
      <c r="D439" s="8">
        <v>46162.0489351852</v>
      </c>
      <c r="E439" s="6" t="s">
        <v>419</v>
      </c>
      <c r="F439" s="7">
        <v>0</v>
      </c>
      <c r="G439" s="7">
        <v>0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</row>
    <row r="440" s="1" customFormat="1" ht="14.25" hidden="1" spans="1:17">
      <c r="A440" s="1" t="str">
        <f>VLOOKUP(B440,combinate!A:B,2,FALSE)</f>
        <v>Group C</v>
      </c>
      <c r="B440" s="6">
        <v>233531431629</v>
      </c>
      <c r="C440" s="7">
        <v>18803559</v>
      </c>
      <c r="D440" s="8">
        <v>46161.4749074074</v>
      </c>
      <c r="E440" s="6" t="s">
        <v>419</v>
      </c>
      <c r="F440" s="7">
        <v>0</v>
      </c>
      <c r="G440" s="7">
        <v>0</v>
      </c>
      <c r="H440" s="7">
        <v>0</v>
      </c>
      <c r="I440" s="7">
        <v>0</v>
      </c>
      <c r="J440" s="7">
        <v>0</v>
      </c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</row>
    <row r="441" s="1" customFormat="1" ht="14.25" hidden="1" spans="1:17">
      <c r="A441" s="1" t="str">
        <f>VLOOKUP(B441,combinate!A:B,2,FALSE)</f>
        <v>Group A</v>
      </c>
      <c r="B441" s="6">
        <v>233542275666</v>
      </c>
      <c r="C441" s="7">
        <v>19307471</v>
      </c>
      <c r="D441" s="8">
        <v>46166.2127199074</v>
      </c>
      <c r="E441" s="6" t="s">
        <v>419</v>
      </c>
      <c r="F441" s="7">
        <v>0</v>
      </c>
      <c r="G441" s="7">
        <v>0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</row>
    <row r="442" s="1" customFormat="1" ht="14.25" hidden="1" spans="1:17">
      <c r="A442" s="1" t="str">
        <f>VLOOKUP(B442,combinate!A:B,2,FALSE)</f>
        <v>Group C</v>
      </c>
      <c r="B442" s="6">
        <v>233552012755</v>
      </c>
      <c r="C442" s="7">
        <v>19573246</v>
      </c>
      <c r="D442" s="8">
        <v>46162.9466435185</v>
      </c>
      <c r="E442" s="6" t="s">
        <v>419</v>
      </c>
      <c r="F442" s="7">
        <v>0</v>
      </c>
      <c r="G442" s="7">
        <v>0</v>
      </c>
      <c r="H442" s="7">
        <v>0</v>
      </c>
      <c r="I442" s="7">
        <v>0</v>
      </c>
      <c r="J442" s="7">
        <v>0</v>
      </c>
      <c r="K442" s="7">
        <v>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</row>
    <row r="443" s="1" customFormat="1" ht="14.25" hidden="1" spans="1:17">
      <c r="A443" s="1" t="str">
        <f>VLOOKUP(B443,combinate!A:B,2,FALSE)</f>
        <v>Group B</v>
      </c>
      <c r="B443" s="6">
        <v>233595452539</v>
      </c>
      <c r="C443" s="7">
        <v>19679654</v>
      </c>
      <c r="D443" s="8">
        <v>46161.8487847222</v>
      </c>
      <c r="E443" s="6" t="s">
        <v>419</v>
      </c>
      <c r="F443" s="7">
        <v>0</v>
      </c>
      <c r="G443" s="7">
        <v>0</v>
      </c>
      <c r="H443" s="7">
        <v>0</v>
      </c>
      <c r="I443" s="7">
        <v>0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</row>
    <row r="444" s="1" customFormat="1" ht="14.25" hidden="1" spans="1:17">
      <c r="A444" s="1" t="str">
        <f>VLOOKUP(B444,combinate!A:B,2,FALSE)</f>
        <v>Group B</v>
      </c>
      <c r="B444" s="6">
        <v>233504718376</v>
      </c>
      <c r="C444" s="7">
        <v>19920945</v>
      </c>
      <c r="D444" s="8">
        <v>46161.7365277778</v>
      </c>
      <c r="E444" s="6" t="s">
        <v>419</v>
      </c>
      <c r="F444" s="7">
        <v>0</v>
      </c>
      <c r="G444" s="7">
        <v>0</v>
      </c>
      <c r="H444" s="7">
        <v>0</v>
      </c>
      <c r="I444" s="7">
        <v>0</v>
      </c>
      <c r="J444" s="7">
        <v>0</v>
      </c>
      <c r="K444" s="7">
        <v>0</v>
      </c>
      <c r="L444" s="7">
        <v>0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</row>
    <row r="445" s="1" customFormat="1" ht="14.25" hidden="1" spans="1:17">
      <c r="A445" s="1" t="str">
        <f>VLOOKUP(B445,combinate!A:B,2,FALSE)</f>
        <v>Group C</v>
      </c>
      <c r="B445" s="6">
        <v>233543404765</v>
      </c>
      <c r="C445" s="7">
        <v>20389549</v>
      </c>
      <c r="D445" s="8">
        <v>46183.6790162037</v>
      </c>
      <c r="E445" s="6" t="s">
        <v>419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</row>
    <row r="446" s="1" customFormat="1" ht="14.25" hidden="1" spans="1:17">
      <c r="A446" s="1" t="str">
        <f>VLOOKUP(B446,combinate!A:B,2,FALSE)</f>
        <v>Group B</v>
      </c>
      <c r="B446" s="6">
        <v>233243256747</v>
      </c>
      <c r="C446" s="7">
        <v>20545743</v>
      </c>
      <c r="D446" s="8">
        <v>46181.9173611111</v>
      </c>
      <c r="E446" s="9" t="s">
        <v>415</v>
      </c>
      <c r="F446" s="7">
        <v>46.08</v>
      </c>
      <c r="G446" s="7">
        <v>599</v>
      </c>
      <c r="H446" s="7">
        <v>0</v>
      </c>
      <c r="I446" s="7">
        <v>599</v>
      </c>
      <c r="J446" s="7">
        <v>0</v>
      </c>
      <c r="K446" s="7">
        <v>87.65</v>
      </c>
      <c r="L446" s="7">
        <v>6.74</v>
      </c>
      <c r="M446" s="7">
        <v>87.65</v>
      </c>
      <c r="N446" s="7">
        <v>15.23</v>
      </c>
      <c r="O446" s="7">
        <v>198</v>
      </c>
      <c r="P446" s="7">
        <v>8.46</v>
      </c>
      <c r="Q446" s="7">
        <v>110</v>
      </c>
    </row>
    <row r="447" s="1" customFormat="1" ht="14.25" hidden="1" spans="1:17">
      <c r="A447" s="1" t="str">
        <f>VLOOKUP(B447,combinate!A:B,2,FALSE)</f>
        <v>Group B</v>
      </c>
      <c r="B447" s="6">
        <v>233598392217</v>
      </c>
      <c r="C447" s="7">
        <v>20559584</v>
      </c>
      <c r="D447" s="8">
        <v>46166.9162384259</v>
      </c>
      <c r="E447" s="6" t="s">
        <v>419</v>
      </c>
      <c r="F447" s="7">
        <v>0</v>
      </c>
      <c r="G447" s="7">
        <v>0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</row>
    <row r="448" s="1" customFormat="1" ht="14.25" hidden="1" spans="1:17">
      <c r="A448" s="1" t="str">
        <f>VLOOKUP(B448,combinate!A:B,2,FALSE)</f>
        <v>Group C</v>
      </c>
      <c r="B448" s="6">
        <v>233503314322</v>
      </c>
      <c r="C448" s="7">
        <v>8390697</v>
      </c>
      <c r="D448" s="8">
        <v>46183.7457638889</v>
      </c>
      <c r="E448" s="9" t="s">
        <v>415</v>
      </c>
      <c r="F448" s="7">
        <v>585.58</v>
      </c>
      <c r="G448" s="7">
        <v>7612.6</v>
      </c>
      <c r="H448" s="7">
        <v>1</v>
      </c>
      <c r="I448" s="7">
        <v>7611.6</v>
      </c>
      <c r="J448" s="7">
        <v>1</v>
      </c>
      <c r="K448" s="7">
        <v>-804.4</v>
      </c>
      <c r="L448" s="7">
        <v>-61.8</v>
      </c>
      <c r="M448" s="7">
        <v>-803.4</v>
      </c>
      <c r="N448" s="7">
        <v>81.54</v>
      </c>
      <c r="O448" s="7">
        <v>1060</v>
      </c>
      <c r="P448" s="7">
        <v>146.15</v>
      </c>
      <c r="Q448" s="7">
        <v>1900</v>
      </c>
    </row>
    <row r="449" s="1" customFormat="1" ht="14.25" hidden="1" spans="1:17">
      <c r="A449" s="1" t="str">
        <f>VLOOKUP(B449,combinate!A:B,2,FALSE)</f>
        <v>Group C</v>
      </c>
      <c r="B449" s="6">
        <v>233540279587</v>
      </c>
      <c r="C449" s="7">
        <v>9290589</v>
      </c>
      <c r="D449" s="8">
        <v>46177.9007407407</v>
      </c>
      <c r="E449" s="9" t="s">
        <v>415</v>
      </c>
      <c r="F449" s="7">
        <v>0</v>
      </c>
      <c r="G449" s="7">
        <v>0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0.31</v>
      </c>
      <c r="O449" s="7">
        <v>4</v>
      </c>
      <c r="P449" s="7">
        <v>0.31</v>
      </c>
      <c r="Q449" s="7">
        <v>4</v>
      </c>
    </row>
    <row r="450" s="1" customFormat="1" ht="14.25" hidden="1" spans="1:17">
      <c r="A450" s="1" t="str">
        <f>VLOOKUP(B450,combinate!A:B,2,FALSE)</f>
        <v>Group A</v>
      </c>
      <c r="B450" s="6">
        <v>233507814734</v>
      </c>
      <c r="C450" s="7">
        <v>11240940</v>
      </c>
      <c r="D450" s="8">
        <v>46166.5528125</v>
      </c>
      <c r="E450" s="6" t="s">
        <v>419</v>
      </c>
      <c r="F450" s="7">
        <v>0</v>
      </c>
      <c r="G450" s="7">
        <v>0</v>
      </c>
      <c r="H450" s="7">
        <v>0</v>
      </c>
      <c r="I450" s="7">
        <v>0</v>
      </c>
      <c r="J450" s="7">
        <v>0</v>
      </c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</row>
    <row r="451" s="1" customFormat="1" ht="14.25" hidden="1" spans="1:17">
      <c r="A451" s="1" t="str">
        <f>VLOOKUP(B451,combinate!A:B,2,FALSE)</f>
        <v>Group C</v>
      </c>
      <c r="B451" s="6">
        <v>233551336950</v>
      </c>
      <c r="C451" s="7">
        <v>13060248</v>
      </c>
      <c r="D451" s="8">
        <v>46181.6770601852</v>
      </c>
      <c r="E451" s="6" t="s">
        <v>419</v>
      </c>
      <c r="F451" s="7">
        <v>0</v>
      </c>
      <c r="G451" s="7">
        <v>0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</row>
    <row r="452" s="1" customFormat="1" ht="14.25" hidden="1" spans="1:17">
      <c r="A452" s="1" t="str">
        <f>VLOOKUP(B452,combinate!A:B,2,FALSE)</f>
        <v>Group C</v>
      </c>
      <c r="B452" s="6">
        <v>233544580539</v>
      </c>
      <c r="C452" s="7">
        <v>16774536</v>
      </c>
      <c r="D452" s="8">
        <v>46162.3335416667</v>
      </c>
      <c r="E452" s="6" t="s">
        <v>419</v>
      </c>
      <c r="F452" s="7">
        <v>0</v>
      </c>
      <c r="G452" s="7">
        <v>0</v>
      </c>
      <c r="H452" s="7">
        <v>0</v>
      </c>
      <c r="I452" s="7">
        <v>0</v>
      </c>
      <c r="J452" s="7">
        <v>0</v>
      </c>
      <c r="K452" s="7">
        <v>0</v>
      </c>
      <c r="L452" s="7">
        <v>0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</row>
    <row r="453" s="1" customFormat="1" ht="14.25" hidden="1" spans="1:17">
      <c r="A453" s="1" t="str">
        <f>VLOOKUP(B453,combinate!A:B,2,FALSE)</f>
        <v>Group B</v>
      </c>
      <c r="B453" s="6">
        <v>233598782161</v>
      </c>
      <c r="C453" s="7">
        <v>17771453</v>
      </c>
      <c r="D453" s="8">
        <v>46183.0557291667</v>
      </c>
      <c r="E453" s="9" t="s">
        <v>415</v>
      </c>
      <c r="F453" s="7">
        <v>32.93</v>
      </c>
      <c r="G453" s="7">
        <v>428.1</v>
      </c>
      <c r="H453" s="7">
        <v>0</v>
      </c>
      <c r="I453" s="7">
        <v>428.1</v>
      </c>
      <c r="J453" s="7">
        <v>0</v>
      </c>
      <c r="K453" s="7">
        <v>-30.01</v>
      </c>
      <c r="L453" s="7">
        <v>-2.31</v>
      </c>
      <c r="M453" s="7">
        <v>-30.01</v>
      </c>
      <c r="N453" s="7">
        <v>6.92</v>
      </c>
      <c r="O453" s="7">
        <v>90</v>
      </c>
      <c r="P453" s="7">
        <v>9.23</v>
      </c>
      <c r="Q453" s="7">
        <v>120</v>
      </c>
    </row>
    <row r="454" s="1" customFormat="1" ht="14.25" hidden="1" spans="1:17">
      <c r="A454" s="1" t="str">
        <f>VLOOKUP(B454,combinate!A:B,2,FALSE)</f>
        <v>Group A</v>
      </c>
      <c r="B454" s="6">
        <v>233533515688</v>
      </c>
      <c r="C454" s="7">
        <v>18153361</v>
      </c>
      <c r="D454" s="8">
        <v>46182.7392824074</v>
      </c>
      <c r="E454" s="9" t="s">
        <v>415</v>
      </c>
      <c r="F454" s="7">
        <v>1.23</v>
      </c>
      <c r="G454" s="7">
        <v>16</v>
      </c>
      <c r="H454" s="7">
        <v>0</v>
      </c>
      <c r="I454" s="7">
        <v>16</v>
      </c>
      <c r="J454" s="7">
        <v>0</v>
      </c>
      <c r="K454" s="7">
        <v>14.98</v>
      </c>
      <c r="L454" s="7">
        <v>1.15</v>
      </c>
      <c r="M454" s="7">
        <v>14.98</v>
      </c>
      <c r="N454" s="7">
        <v>1.15</v>
      </c>
      <c r="O454" s="7">
        <v>15</v>
      </c>
      <c r="P454" s="7">
        <v>0</v>
      </c>
      <c r="Q454" s="7">
        <v>0</v>
      </c>
    </row>
    <row r="455" s="1" customFormat="1" ht="14.25" hidden="1" spans="1:17">
      <c r="A455" s="1" t="str">
        <f>VLOOKUP(B455,combinate!A:B,2,FALSE)</f>
        <v>Group B</v>
      </c>
      <c r="B455" s="6">
        <v>233533764476</v>
      </c>
      <c r="C455" s="7">
        <v>18878594</v>
      </c>
      <c r="D455" s="8">
        <v>46166.7800115741</v>
      </c>
      <c r="E455" s="6" t="s">
        <v>419</v>
      </c>
      <c r="F455" s="7">
        <v>0</v>
      </c>
      <c r="G455" s="7">
        <v>0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</row>
    <row r="456" s="1" customFormat="1" ht="14.25" hidden="1" spans="1:17">
      <c r="A456" s="1" t="str">
        <f>VLOOKUP(B456,combinate!A:B,2,FALSE)</f>
        <v>Group B</v>
      </c>
      <c r="B456" s="6">
        <v>233536936336</v>
      </c>
      <c r="C456" s="7">
        <v>19091913</v>
      </c>
      <c r="D456" s="8">
        <v>46161.5070601852</v>
      </c>
      <c r="E456" s="6" t="s">
        <v>419</v>
      </c>
      <c r="F456" s="7">
        <v>0</v>
      </c>
      <c r="G456" s="7">
        <v>0</v>
      </c>
      <c r="H456" s="7">
        <v>0</v>
      </c>
      <c r="I456" s="7">
        <v>0</v>
      </c>
      <c r="J456" s="7">
        <v>0</v>
      </c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</row>
    <row r="457" s="1" customFormat="1" ht="14.25" hidden="1" spans="1:17">
      <c r="A457" s="1" t="str">
        <f>VLOOKUP(B457,combinate!A:B,2,FALSE)</f>
        <v>Group C</v>
      </c>
      <c r="B457" s="6">
        <v>233257465992</v>
      </c>
      <c r="C457" s="7">
        <v>19249216</v>
      </c>
      <c r="D457" s="8">
        <v>46162.4253703704</v>
      </c>
      <c r="E457" s="6" t="s">
        <v>419</v>
      </c>
      <c r="F457" s="7">
        <v>0</v>
      </c>
      <c r="G457" s="7">
        <v>0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</row>
    <row r="458" s="1" customFormat="1" ht="14.25" hidden="1" spans="1:17">
      <c r="A458" s="1" t="str">
        <f>VLOOKUP(B458,combinate!A:B,2,FALSE)</f>
        <v>Group C</v>
      </c>
      <c r="B458" s="6">
        <v>233240752841</v>
      </c>
      <c r="C458" s="7">
        <v>19402858</v>
      </c>
      <c r="D458" s="8">
        <v>46163.9767361111</v>
      </c>
      <c r="E458" s="6" t="s">
        <v>419</v>
      </c>
      <c r="F458" s="7">
        <v>0</v>
      </c>
      <c r="G458" s="7">
        <v>0</v>
      </c>
      <c r="H458" s="7">
        <v>0</v>
      </c>
      <c r="I458" s="7">
        <v>0</v>
      </c>
      <c r="J458" s="7">
        <v>0</v>
      </c>
      <c r="K458" s="7">
        <v>0</v>
      </c>
      <c r="L458" s="7">
        <v>0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</row>
    <row r="459" s="1" customFormat="1" ht="14.25" hidden="1" spans="1:17">
      <c r="A459" s="1" t="str">
        <f>VLOOKUP(B459,combinate!A:B,2,FALSE)</f>
        <v>Group B</v>
      </c>
      <c r="B459" s="6">
        <v>233553800193</v>
      </c>
      <c r="C459" s="7">
        <v>19609723</v>
      </c>
      <c r="D459" s="8">
        <v>46184.3267476852</v>
      </c>
      <c r="E459" s="9" t="s">
        <v>415</v>
      </c>
      <c r="F459" s="7">
        <v>249.35</v>
      </c>
      <c r="G459" s="7">
        <v>3241.5</v>
      </c>
      <c r="H459" s="7">
        <v>0</v>
      </c>
      <c r="I459" s="7">
        <v>3241.5</v>
      </c>
      <c r="J459" s="7">
        <v>0</v>
      </c>
      <c r="K459" s="7">
        <v>9.23</v>
      </c>
      <c r="L459" s="7">
        <v>0.71</v>
      </c>
      <c r="M459" s="7">
        <v>9.23</v>
      </c>
      <c r="N459" s="7">
        <v>20</v>
      </c>
      <c r="O459" s="7">
        <v>260</v>
      </c>
      <c r="P459" s="7">
        <v>50.77</v>
      </c>
      <c r="Q459" s="7">
        <v>660</v>
      </c>
    </row>
    <row r="460" s="1" customFormat="1" ht="14.25" hidden="1" spans="1:17">
      <c r="A460" s="1" t="str">
        <f>VLOOKUP(B460,combinate!A:B,2,FALSE)</f>
        <v>Group B</v>
      </c>
      <c r="B460" s="6">
        <v>233537951485</v>
      </c>
      <c r="C460" s="7">
        <v>19665645</v>
      </c>
      <c r="D460" s="8">
        <v>46166.9364351852</v>
      </c>
      <c r="E460" s="6" t="s">
        <v>419</v>
      </c>
      <c r="F460" s="7">
        <v>0</v>
      </c>
      <c r="G460" s="7">
        <v>0</v>
      </c>
      <c r="H460" s="7">
        <v>0</v>
      </c>
      <c r="I460" s="7">
        <v>0</v>
      </c>
      <c r="J460" s="7">
        <v>0</v>
      </c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</row>
    <row r="461" s="1" customFormat="1" ht="14.25" hidden="1" spans="1:17">
      <c r="A461" s="1" t="str">
        <f>VLOOKUP(B461,combinate!A:B,2,FALSE)</f>
        <v>Group A</v>
      </c>
      <c r="B461" s="6">
        <v>233256634713</v>
      </c>
      <c r="C461" s="7">
        <v>20788561</v>
      </c>
      <c r="D461" s="8">
        <v>46160.5018171296</v>
      </c>
      <c r="E461" s="6" t="s">
        <v>419</v>
      </c>
      <c r="F461" s="7">
        <v>0</v>
      </c>
      <c r="G461" s="7">
        <v>0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</row>
    <row r="462" s="1" customFormat="1" ht="14.25" spans="1:17">
      <c r="A462" s="1" t="str">
        <f>VLOOKUP(B462,combinate!A:B,2,FALSE)</f>
        <v>Group B</v>
      </c>
      <c r="B462" s="6">
        <v>233539595174</v>
      </c>
      <c r="C462" s="7">
        <v>20792863</v>
      </c>
      <c r="D462" s="8">
        <v>46184.3828356481</v>
      </c>
      <c r="E462" s="9" t="s">
        <v>415</v>
      </c>
      <c r="F462" s="7">
        <v>1439.75</v>
      </c>
      <c r="G462" s="7">
        <v>18716.8</v>
      </c>
      <c r="H462" s="7">
        <v>0</v>
      </c>
      <c r="I462" s="7">
        <v>18716.8</v>
      </c>
      <c r="J462" s="7">
        <v>0</v>
      </c>
      <c r="K462" s="7">
        <v>3675.05</v>
      </c>
      <c r="L462" s="7">
        <v>282.7</v>
      </c>
      <c r="M462" s="7">
        <v>3675.05</v>
      </c>
      <c r="N462" s="7">
        <v>282.69</v>
      </c>
      <c r="O462" s="7">
        <v>3675</v>
      </c>
      <c r="P462" s="7">
        <v>0</v>
      </c>
      <c r="Q462" s="7">
        <v>0</v>
      </c>
    </row>
    <row r="463" s="1" customFormat="1" ht="14.25" hidden="1" spans="1:17">
      <c r="A463" s="1" t="str">
        <f>VLOOKUP(B463,combinate!A:B,2,FALSE)</f>
        <v>Group B</v>
      </c>
      <c r="B463" s="6">
        <v>233537413674</v>
      </c>
      <c r="C463" s="7">
        <v>20856573</v>
      </c>
      <c r="D463" s="8">
        <v>46160.1682060185</v>
      </c>
      <c r="E463" s="6" t="s">
        <v>419</v>
      </c>
      <c r="F463" s="7">
        <v>0</v>
      </c>
      <c r="G463" s="7">
        <v>0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</row>
    <row r="464" s="1" customFormat="1" ht="14.25" hidden="1" spans="1:17">
      <c r="A464" s="1" t="str">
        <f>VLOOKUP(B464,combinate!A:B,2,FALSE)</f>
        <v>Group A</v>
      </c>
      <c r="B464" s="6">
        <v>233533186236</v>
      </c>
      <c r="C464" s="7">
        <v>20961621</v>
      </c>
      <c r="D464" s="8">
        <v>46161.4824189815</v>
      </c>
      <c r="E464" s="6" t="s">
        <v>419</v>
      </c>
      <c r="F464" s="7">
        <v>0</v>
      </c>
      <c r="G464" s="7">
        <v>0</v>
      </c>
      <c r="H464" s="7">
        <v>0</v>
      </c>
      <c r="I464" s="7">
        <v>0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</row>
    <row r="465" s="1" customFormat="1" ht="14.25" hidden="1" spans="1:17">
      <c r="A465" s="1" t="str">
        <f>VLOOKUP(B465,combinate!A:B,2,FALSE)</f>
        <v>Group B</v>
      </c>
      <c r="B465" s="6">
        <v>233598886565</v>
      </c>
      <c r="C465" s="7">
        <v>21497165</v>
      </c>
      <c r="D465" s="8">
        <v>46163.6598263889</v>
      </c>
      <c r="E465" s="6" t="s">
        <v>419</v>
      </c>
      <c r="F465" s="7">
        <v>0</v>
      </c>
      <c r="G465" s="7">
        <v>0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</row>
    <row r="466" s="1" customFormat="1" ht="14.25" hidden="1" spans="1:17">
      <c r="A466" s="1" t="str">
        <f>VLOOKUP(B466,combinate!A:B,2,FALSE)</f>
        <v>Group A</v>
      </c>
      <c r="B466" s="6">
        <v>233557444083</v>
      </c>
      <c r="C466" s="7">
        <v>21631392</v>
      </c>
      <c r="D466" s="8">
        <v>46166.3643981482</v>
      </c>
      <c r="E466" s="6" t="s">
        <v>419</v>
      </c>
      <c r="F466" s="7">
        <v>0</v>
      </c>
      <c r="G466" s="7">
        <v>0</v>
      </c>
      <c r="H466" s="7">
        <v>0</v>
      </c>
      <c r="I466" s="7">
        <v>0</v>
      </c>
      <c r="J466" s="7">
        <v>0</v>
      </c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</row>
    <row r="467" s="1" customFormat="1" ht="14.25" hidden="1" spans="1:17">
      <c r="A467" s="1" t="str">
        <f>VLOOKUP(B467,combinate!A:B,2,FALSE)</f>
        <v>Group C</v>
      </c>
      <c r="B467" s="6">
        <v>233540957725</v>
      </c>
      <c r="C467" s="7">
        <v>21980956</v>
      </c>
      <c r="D467" s="8">
        <v>46161.5139467593</v>
      </c>
      <c r="E467" s="6" t="s">
        <v>419</v>
      </c>
      <c r="F467" s="7">
        <v>0</v>
      </c>
      <c r="G467" s="7">
        <v>0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</row>
    <row r="468" s="1" customFormat="1" ht="14.25" hidden="1" spans="1:17">
      <c r="A468" s="1" t="str">
        <f>VLOOKUP(B468,combinate!A:B,2,FALSE)</f>
        <v>Group B</v>
      </c>
      <c r="B468" s="6">
        <v>233206212547</v>
      </c>
      <c r="C468" s="7">
        <v>22189933</v>
      </c>
      <c r="D468" s="8">
        <v>46162.2854398148</v>
      </c>
      <c r="E468" s="6" t="s">
        <v>419</v>
      </c>
      <c r="F468" s="7">
        <v>0</v>
      </c>
      <c r="G468" s="7">
        <v>0</v>
      </c>
      <c r="H468" s="7">
        <v>0</v>
      </c>
      <c r="I468" s="7">
        <v>0</v>
      </c>
      <c r="J468" s="7">
        <v>0</v>
      </c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</row>
    <row r="469" s="1" customFormat="1" ht="14.25" hidden="1" spans="1:17">
      <c r="A469" s="1" t="str">
        <f>VLOOKUP(B469,combinate!A:B,2,FALSE)</f>
        <v>Group A</v>
      </c>
      <c r="B469" s="6">
        <v>233539614598</v>
      </c>
      <c r="C469" s="7">
        <v>22362211</v>
      </c>
      <c r="D469" s="8">
        <v>46183.5804398148</v>
      </c>
      <c r="E469" s="6" t="s">
        <v>419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</row>
    <row r="470" s="1" customFormat="1" ht="14.25" hidden="1" spans="1:17">
      <c r="A470" s="1" t="str">
        <f>VLOOKUP(B470,combinate!A:B,2,FALSE)</f>
        <v>Group C</v>
      </c>
      <c r="B470" s="6">
        <v>233539046132</v>
      </c>
      <c r="C470" s="7">
        <v>22399019</v>
      </c>
      <c r="D470" s="8">
        <v>46160.5337962963</v>
      </c>
      <c r="E470" s="6" t="s">
        <v>419</v>
      </c>
      <c r="F470" s="7">
        <v>0</v>
      </c>
      <c r="G470" s="7">
        <v>0</v>
      </c>
      <c r="H470" s="7">
        <v>0</v>
      </c>
      <c r="I470" s="7">
        <v>0</v>
      </c>
      <c r="J470" s="7">
        <v>0</v>
      </c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</row>
    <row r="471" s="1" customFormat="1" ht="14.25" hidden="1" spans="1:17">
      <c r="A471" s="1" t="str">
        <f>VLOOKUP(B471,combinate!A:B,2,FALSE)</f>
        <v>Group B</v>
      </c>
      <c r="B471" s="6">
        <v>233508868600</v>
      </c>
      <c r="C471" s="7">
        <v>22509353</v>
      </c>
      <c r="D471" s="8">
        <v>46163.0986226852</v>
      </c>
      <c r="E471" s="6" t="s">
        <v>419</v>
      </c>
      <c r="F471" s="7">
        <v>0</v>
      </c>
      <c r="G471" s="7">
        <v>0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</row>
    <row r="472" s="1" customFormat="1" ht="14.25" hidden="1" spans="1:17">
      <c r="A472" s="1" t="str">
        <f>VLOOKUP(B472,combinate!A:B,2,FALSE)</f>
        <v>Group A</v>
      </c>
      <c r="B472" s="6">
        <v>233245688964</v>
      </c>
      <c r="C472" s="7">
        <v>22543560</v>
      </c>
      <c r="D472" s="8">
        <v>46180.1377662037</v>
      </c>
      <c r="E472" s="9" t="s">
        <v>415</v>
      </c>
      <c r="F472" s="7">
        <v>14.26</v>
      </c>
      <c r="G472" s="7">
        <v>185.4</v>
      </c>
      <c r="H472" s="7">
        <v>0</v>
      </c>
      <c r="I472" s="7">
        <v>185.4</v>
      </c>
      <c r="J472" s="7">
        <v>0</v>
      </c>
      <c r="K472" s="7">
        <v>20.42</v>
      </c>
      <c r="L472" s="7">
        <v>1.57</v>
      </c>
      <c r="M472" s="7">
        <v>20.42</v>
      </c>
      <c r="N472" s="7">
        <v>1.54</v>
      </c>
      <c r="O472" s="7">
        <v>20</v>
      </c>
      <c r="P472" s="7">
        <v>0</v>
      </c>
      <c r="Q472" s="7">
        <v>0</v>
      </c>
    </row>
    <row r="473" s="1" customFormat="1" ht="14.25" hidden="1" spans="1:17">
      <c r="A473" s="1" t="str">
        <f>VLOOKUP(B473,combinate!A:B,2,FALSE)</f>
        <v>Group A</v>
      </c>
      <c r="B473" s="6">
        <v>233533377138</v>
      </c>
      <c r="C473" s="7">
        <v>22616452</v>
      </c>
      <c r="D473" s="8">
        <v>46161.6967361111</v>
      </c>
      <c r="E473" s="6" t="s">
        <v>419</v>
      </c>
      <c r="F473" s="7">
        <v>0</v>
      </c>
      <c r="G473" s="7">
        <v>0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</row>
    <row r="474" s="1" customFormat="1" ht="14.25" hidden="1" spans="1:17">
      <c r="A474" s="1" t="str">
        <f>VLOOKUP(B474,combinate!A:B,2,FALSE)</f>
        <v>Group C</v>
      </c>
      <c r="B474" s="6">
        <v>233547335141</v>
      </c>
      <c r="C474" s="7">
        <v>22652697</v>
      </c>
      <c r="D474" s="8">
        <v>46160.6375578704</v>
      </c>
      <c r="E474" s="6" t="s">
        <v>419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</row>
    <row r="475" s="1" customFormat="1" ht="14.25" hidden="1" spans="1:17">
      <c r="A475" s="1" t="str">
        <f>VLOOKUP(B475,combinate!A:B,2,FALSE)</f>
        <v>Group A</v>
      </c>
      <c r="B475" s="6">
        <v>233548259287</v>
      </c>
      <c r="C475" s="7">
        <v>22684462</v>
      </c>
      <c r="D475" s="8">
        <v>46162.3350578704</v>
      </c>
      <c r="E475" s="6" t="s">
        <v>419</v>
      </c>
      <c r="F475" s="7">
        <v>0</v>
      </c>
      <c r="G475" s="7">
        <v>0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</row>
    <row r="476" s="1" customFormat="1" ht="14.25" hidden="1" spans="1:17">
      <c r="A476" s="1" t="str">
        <f>VLOOKUP(B476,combinate!A:B,2,FALSE)</f>
        <v>Group C</v>
      </c>
      <c r="B476" s="6">
        <v>233535188460</v>
      </c>
      <c r="C476" s="7">
        <v>22824569</v>
      </c>
      <c r="D476" s="8">
        <v>46161.2330671296</v>
      </c>
      <c r="E476" s="6" t="s">
        <v>419</v>
      </c>
      <c r="F476" s="7">
        <v>0</v>
      </c>
      <c r="G476" s="7">
        <v>0</v>
      </c>
      <c r="H476" s="7">
        <v>0</v>
      </c>
      <c r="I476" s="7">
        <v>0</v>
      </c>
      <c r="J476" s="7">
        <v>0</v>
      </c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</row>
    <row r="477" s="1" customFormat="1" ht="14.25" hidden="1" spans="1:17">
      <c r="A477" s="1" t="str">
        <f>VLOOKUP(B477,combinate!A:B,2,FALSE)</f>
        <v>Group A</v>
      </c>
      <c r="B477" s="6">
        <v>233551995862</v>
      </c>
      <c r="C477" s="7">
        <v>22923760</v>
      </c>
      <c r="D477" s="8">
        <v>46166.6506481481</v>
      </c>
      <c r="E477" s="6" t="s">
        <v>419</v>
      </c>
      <c r="F477" s="7">
        <v>0</v>
      </c>
      <c r="G477" s="7">
        <v>0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</row>
    <row r="478" s="1" customFormat="1" ht="14.25" hidden="1" spans="1:17">
      <c r="A478" s="1" t="str">
        <f>VLOOKUP(B478,combinate!A:B,2,FALSE)</f>
        <v>Group A</v>
      </c>
      <c r="B478" s="6">
        <v>233500578321</v>
      </c>
      <c r="C478" s="7">
        <v>6855101</v>
      </c>
      <c r="D478" s="8">
        <v>46166.1505439815</v>
      </c>
      <c r="E478" s="6" t="s">
        <v>419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7">
        <v>0</v>
      </c>
      <c r="L478" s="7">
        <v>0</v>
      </c>
      <c r="M478" s="7">
        <v>0</v>
      </c>
      <c r="N478" s="7">
        <v>0</v>
      </c>
      <c r="O478" s="7">
        <v>0</v>
      </c>
      <c r="P478" s="7">
        <v>0</v>
      </c>
      <c r="Q478" s="7">
        <v>0</v>
      </c>
    </row>
    <row r="479" s="1" customFormat="1" ht="14.25" hidden="1" spans="1:17">
      <c r="A479" s="1" t="str">
        <f>VLOOKUP(B479,combinate!A:B,2,FALSE)</f>
        <v>Group A</v>
      </c>
      <c r="B479" s="6">
        <v>233552808730</v>
      </c>
      <c r="C479" s="7">
        <v>8899321</v>
      </c>
      <c r="D479" s="8">
        <v>46166.8432291667</v>
      </c>
      <c r="E479" s="6" t="s">
        <v>419</v>
      </c>
      <c r="F479" s="7">
        <v>0</v>
      </c>
      <c r="G479" s="7">
        <v>0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</row>
    <row r="480" s="1" customFormat="1" ht="14.25" hidden="1" spans="1:17">
      <c r="A480" s="1" t="str">
        <f>VLOOKUP(B480,combinate!A:B,2,FALSE)</f>
        <v>Group A</v>
      </c>
      <c r="B480" s="6">
        <v>233594828331</v>
      </c>
      <c r="C480" s="7">
        <v>9431962</v>
      </c>
      <c r="D480" s="8">
        <v>46160.3175115741</v>
      </c>
      <c r="E480" s="6" t="s">
        <v>419</v>
      </c>
      <c r="F480" s="7">
        <v>0</v>
      </c>
      <c r="G480" s="7">
        <v>0</v>
      </c>
      <c r="H480" s="7">
        <v>0</v>
      </c>
      <c r="I480" s="7">
        <v>0</v>
      </c>
      <c r="J480" s="7">
        <v>0</v>
      </c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</row>
    <row r="481" s="1" customFormat="1" ht="14.25" hidden="1" spans="1:17">
      <c r="A481" s="1" t="str">
        <f>VLOOKUP(B481,combinate!A:B,2,FALSE)</f>
        <v>Group A</v>
      </c>
      <c r="B481" s="6">
        <v>233541818650</v>
      </c>
      <c r="C481" s="7">
        <v>16067102</v>
      </c>
      <c r="D481" s="8">
        <v>46183.3521643519</v>
      </c>
      <c r="E481" s="9" t="s">
        <v>415</v>
      </c>
      <c r="F481" s="7">
        <v>50.22</v>
      </c>
      <c r="G481" s="7">
        <v>652.9</v>
      </c>
      <c r="H481" s="7">
        <v>0</v>
      </c>
      <c r="I481" s="7">
        <v>652.9</v>
      </c>
      <c r="J481" s="7">
        <v>0</v>
      </c>
      <c r="K481" s="7">
        <v>190.25</v>
      </c>
      <c r="L481" s="7">
        <v>14.63</v>
      </c>
      <c r="M481" s="7">
        <v>190.25</v>
      </c>
      <c r="N481" s="7">
        <v>14.62</v>
      </c>
      <c r="O481" s="7">
        <v>190</v>
      </c>
      <c r="P481" s="7">
        <v>0</v>
      </c>
      <c r="Q481" s="7">
        <v>0</v>
      </c>
    </row>
    <row r="482" s="1" customFormat="1" ht="14.25" spans="1:17">
      <c r="A482" s="1" t="str">
        <f>VLOOKUP(B482,combinate!A:B,2,FALSE)</f>
        <v>Group A</v>
      </c>
      <c r="B482" s="6">
        <v>233209260780</v>
      </c>
      <c r="C482" s="7">
        <v>16634140</v>
      </c>
      <c r="D482" s="8">
        <v>46183.9205092593</v>
      </c>
      <c r="E482" s="9" t="s">
        <v>415</v>
      </c>
      <c r="F482" s="7">
        <v>5319.23</v>
      </c>
      <c r="G482" s="7">
        <v>69150.01</v>
      </c>
      <c r="H482" s="7">
        <v>2</v>
      </c>
      <c r="I482" s="7">
        <v>69148.01</v>
      </c>
      <c r="J482" s="7">
        <v>2</v>
      </c>
      <c r="K482" s="7">
        <v>535.38</v>
      </c>
      <c r="L482" s="7">
        <v>41.34</v>
      </c>
      <c r="M482" s="7">
        <v>537.38</v>
      </c>
      <c r="N482" s="7">
        <v>457.46</v>
      </c>
      <c r="O482" s="7">
        <v>5947</v>
      </c>
      <c r="P482" s="7">
        <v>416.08</v>
      </c>
      <c r="Q482" s="7">
        <v>5409</v>
      </c>
    </row>
    <row r="483" s="1" customFormat="1" ht="14.25" hidden="1" spans="1:17">
      <c r="A483" s="1" t="str">
        <f>VLOOKUP(B483,combinate!A:B,2,FALSE)</f>
        <v>Group C</v>
      </c>
      <c r="B483" s="6">
        <v>233204901500</v>
      </c>
      <c r="C483" s="7">
        <v>16687596</v>
      </c>
      <c r="D483" s="8">
        <v>46163.6676273148</v>
      </c>
      <c r="E483" s="6" t="s">
        <v>419</v>
      </c>
      <c r="F483" s="7">
        <v>0</v>
      </c>
      <c r="G483" s="7">
        <v>0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</row>
    <row r="484" s="1" customFormat="1" ht="14.25" hidden="1" spans="1:17">
      <c r="A484" s="1" t="str">
        <f>VLOOKUP(B484,combinate!A:B,2,FALSE)</f>
        <v>Group B</v>
      </c>
      <c r="B484" s="6">
        <v>233599838991</v>
      </c>
      <c r="C484" s="7">
        <v>16755325</v>
      </c>
      <c r="D484" s="8">
        <v>46166.9428240741</v>
      </c>
      <c r="E484" s="6" t="s">
        <v>419</v>
      </c>
      <c r="F484" s="7">
        <v>0</v>
      </c>
      <c r="G484" s="7">
        <v>0</v>
      </c>
      <c r="H484" s="7">
        <v>0</v>
      </c>
      <c r="I484" s="7">
        <v>0</v>
      </c>
      <c r="J484" s="7">
        <v>0</v>
      </c>
      <c r="K484" s="7">
        <v>0</v>
      </c>
      <c r="L484" s="7">
        <v>0</v>
      </c>
      <c r="M484" s="7">
        <v>0</v>
      </c>
      <c r="N484" s="7">
        <v>0</v>
      </c>
      <c r="O484" s="7">
        <v>0</v>
      </c>
      <c r="P484" s="7">
        <v>0</v>
      </c>
      <c r="Q484" s="7">
        <v>0</v>
      </c>
    </row>
    <row r="485" s="1" customFormat="1" ht="14.25" hidden="1" spans="1:17">
      <c r="A485" s="1" t="str">
        <f>VLOOKUP(B485,combinate!A:B,2,FALSE)</f>
        <v>Group C</v>
      </c>
      <c r="B485" s="6">
        <v>233205219476</v>
      </c>
      <c r="C485" s="7">
        <v>17737358</v>
      </c>
      <c r="D485" s="8">
        <v>46162.8162962963</v>
      </c>
      <c r="E485" s="6" t="s">
        <v>419</v>
      </c>
      <c r="F485" s="7">
        <v>0</v>
      </c>
      <c r="G485" s="7">
        <v>0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</row>
    <row r="486" s="1" customFormat="1" ht="14.25" hidden="1" spans="1:17">
      <c r="A486" s="1" t="str">
        <f>VLOOKUP(B486,combinate!A:B,2,FALSE)</f>
        <v>Group B</v>
      </c>
      <c r="B486" s="6">
        <v>233559072236</v>
      </c>
      <c r="C486" s="7">
        <v>17757335</v>
      </c>
      <c r="D486" s="8">
        <v>46183.8226851852</v>
      </c>
      <c r="E486" s="6" t="s">
        <v>419</v>
      </c>
      <c r="F486" s="7">
        <v>0</v>
      </c>
      <c r="G486" s="7">
        <v>0</v>
      </c>
      <c r="H486" s="7">
        <v>0</v>
      </c>
      <c r="I486" s="7">
        <v>0</v>
      </c>
      <c r="J486" s="7">
        <v>0</v>
      </c>
      <c r="K486" s="7">
        <v>0</v>
      </c>
      <c r="L486" s="7">
        <v>0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</row>
    <row r="487" s="1" customFormat="1" ht="14.25" hidden="1" spans="1:17">
      <c r="A487" s="1" t="str">
        <f>VLOOKUP(B487,combinate!A:B,2,FALSE)</f>
        <v>Group B</v>
      </c>
      <c r="B487" s="6">
        <v>233537542538</v>
      </c>
      <c r="C487" s="7">
        <v>19395433</v>
      </c>
      <c r="D487" s="8">
        <v>46162.9386342593</v>
      </c>
      <c r="E487" s="6" t="s">
        <v>419</v>
      </c>
      <c r="F487" s="7">
        <v>0</v>
      </c>
      <c r="G487" s="7">
        <v>0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</row>
    <row r="488" s="1" customFormat="1" ht="14.25" hidden="1" spans="1:17">
      <c r="A488" s="1" t="str">
        <f>VLOOKUP(B488,combinate!A:B,2,FALSE)</f>
        <v>Group C</v>
      </c>
      <c r="B488" s="6">
        <v>233248843859</v>
      </c>
      <c r="C488" s="7">
        <v>19607909</v>
      </c>
      <c r="D488" s="8">
        <v>46162.6212037037</v>
      </c>
      <c r="E488" s="6" t="s">
        <v>419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  <c r="K488" s="7">
        <v>0</v>
      </c>
      <c r="L488" s="7">
        <v>0</v>
      </c>
      <c r="M488" s="7">
        <v>0</v>
      </c>
      <c r="N488" s="7">
        <v>0</v>
      </c>
      <c r="O488" s="7">
        <v>0</v>
      </c>
      <c r="P488" s="7">
        <v>0</v>
      </c>
      <c r="Q488" s="7">
        <v>0</v>
      </c>
    </row>
    <row r="489" s="1" customFormat="1" ht="14.25" hidden="1" spans="1:17">
      <c r="A489" s="1" t="str">
        <f>VLOOKUP(B489,combinate!A:B,2,FALSE)</f>
        <v>Group C</v>
      </c>
      <c r="B489" s="6">
        <v>233555292563</v>
      </c>
      <c r="C489" s="7">
        <v>19878098</v>
      </c>
      <c r="D489" s="8">
        <v>46161.9351041667</v>
      </c>
      <c r="E489" s="6" t="s">
        <v>419</v>
      </c>
      <c r="F489" s="7">
        <v>0</v>
      </c>
      <c r="G489" s="7">
        <v>0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</row>
    <row r="490" s="1" customFormat="1" ht="14.25" hidden="1" spans="1:17">
      <c r="A490" s="1" t="str">
        <f>VLOOKUP(B490,combinate!A:B,2,FALSE)</f>
        <v>Group B</v>
      </c>
      <c r="B490" s="6">
        <v>233546431205</v>
      </c>
      <c r="C490" s="7">
        <v>19995494</v>
      </c>
      <c r="D490" s="8">
        <v>46184.2946875</v>
      </c>
      <c r="E490" s="6" t="s">
        <v>419</v>
      </c>
      <c r="F490" s="7">
        <v>0</v>
      </c>
      <c r="G490" s="7">
        <v>0</v>
      </c>
      <c r="H490" s="7">
        <v>0</v>
      </c>
      <c r="I490" s="7">
        <v>0</v>
      </c>
      <c r="J490" s="7">
        <v>0</v>
      </c>
      <c r="K490" s="7">
        <v>0</v>
      </c>
      <c r="L490" s="7">
        <v>0</v>
      </c>
      <c r="M490" s="7">
        <v>0</v>
      </c>
      <c r="N490" s="7">
        <v>0</v>
      </c>
      <c r="O490" s="7">
        <v>0</v>
      </c>
      <c r="P490" s="7">
        <v>0</v>
      </c>
      <c r="Q490" s="7">
        <v>0</v>
      </c>
    </row>
    <row r="491" s="1" customFormat="1" ht="14.25" hidden="1" spans="1:17">
      <c r="A491" s="1" t="str">
        <f>VLOOKUP(B491,combinate!A:B,2,FALSE)</f>
        <v>Group C</v>
      </c>
      <c r="B491" s="6">
        <v>233242406918</v>
      </c>
      <c r="C491" s="7">
        <v>20398158</v>
      </c>
      <c r="D491" s="8">
        <v>46176.4772569444</v>
      </c>
      <c r="E491" s="9" t="s">
        <v>415</v>
      </c>
      <c r="F491" s="7">
        <v>0.11</v>
      </c>
      <c r="G491" s="7">
        <v>1.43</v>
      </c>
      <c r="H491" s="7">
        <v>0</v>
      </c>
      <c r="I491" s="7">
        <v>1.43</v>
      </c>
      <c r="J491" s="7">
        <v>0</v>
      </c>
      <c r="K491" s="7">
        <v>0.43</v>
      </c>
      <c r="L491" s="7">
        <v>0.03</v>
      </c>
      <c r="M491" s="7">
        <v>0.43</v>
      </c>
      <c r="N491" s="7">
        <v>0</v>
      </c>
      <c r="O491" s="7">
        <v>0</v>
      </c>
      <c r="P491" s="7">
        <v>0</v>
      </c>
      <c r="Q491" s="7">
        <v>0</v>
      </c>
    </row>
    <row r="492" s="1" customFormat="1" ht="14.25" hidden="1" spans="1:17">
      <c r="A492" s="1" t="str">
        <f>VLOOKUP(B492,combinate!A:B,2,FALSE)</f>
        <v>Group B</v>
      </c>
      <c r="B492" s="6">
        <v>233534001349</v>
      </c>
      <c r="C492" s="7">
        <v>10733783</v>
      </c>
      <c r="D492" s="8">
        <v>46166.8677662037</v>
      </c>
      <c r="E492" s="6" t="s">
        <v>419</v>
      </c>
      <c r="F492" s="7">
        <v>0</v>
      </c>
      <c r="G492" s="7">
        <v>0</v>
      </c>
      <c r="H492" s="7">
        <v>0</v>
      </c>
      <c r="I492" s="7">
        <v>0</v>
      </c>
      <c r="J492" s="7">
        <v>0</v>
      </c>
      <c r="K492" s="7">
        <v>0</v>
      </c>
      <c r="L492" s="7">
        <v>0</v>
      </c>
      <c r="M492" s="7">
        <v>0</v>
      </c>
      <c r="N492" s="7">
        <v>0</v>
      </c>
      <c r="O492" s="7">
        <v>0</v>
      </c>
      <c r="P492" s="7">
        <v>0</v>
      </c>
      <c r="Q492" s="7">
        <v>0</v>
      </c>
    </row>
    <row r="493" s="1" customFormat="1" ht="14.25" hidden="1" spans="1:17">
      <c r="A493" s="1" t="str">
        <f>VLOOKUP(B493,combinate!A:B,2,FALSE)</f>
        <v>Group C</v>
      </c>
      <c r="B493" s="6">
        <v>233537948699</v>
      </c>
      <c r="C493" s="7">
        <v>12352438</v>
      </c>
      <c r="D493" s="8">
        <v>46166.1852662037</v>
      </c>
      <c r="E493" s="6" t="s">
        <v>419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</row>
    <row r="494" s="1" customFormat="1" ht="14.25" hidden="1" spans="1:17">
      <c r="A494" s="1" t="str">
        <f>VLOOKUP(B494,combinate!A:B,2,FALSE)</f>
        <v>Group B</v>
      </c>
      <c r="B494" s="6">
        <v>233558170596</v>
      </c>
      <c r="C494" s="7">
        <v>13349373</v>
      </c>
      <c r="D494" s="8">
        <v>46184.3366550926</v>
      </c>
      <c r="E494" s="9" t="s">
        <v>415</v>
      </c>
      <c r="F494" s="7">
        <v>39.93</v>
      </c>
      <c r="G494" s="7">
        <v>519.11</v>
      </c>
      <c r="H494" s="7">
        <v>0</v>
      </c>
      <c r="I494" s="7">
        <v>519.11</v>
      </c>
      <c r="J494" s="7">
        <v>0</v>
      </c>
      <c r="K494" s="7">
        <v>70</v>
      </c>
      <c r="L494" s="7">
        <v>5.38</v>
      </c>
      <c r="M494" s="7">
        <v>70</v>
      </c>
      <c r="N494" s="7">
        <v>6.92</v>
      </c>
      <c r="O494" s="7">
        <v>90</v>
      </c>
      <c r="P494" s="7">
        <v>1.54</v>
      </c>
      <c r="Q494" s="7">
        <v>20</v>
      </c>
    </row>
    <row r="495" s="1" customFormat="1" ht="14.25" hidden="1" spans="1:17">
      <c r="A495" s="1" t="str">
        <f>VLOOKUP(B495,combinate!A:B,2,FALSE)</f>
        <v>Group A</v>
      </c>
      <c r="B495" s="6">
        <v>233533085845</v>
      </c>
      <c r="C495" s="7">
        <v>13565280</v>
      </c>
      <c r="D495" s="8">
        <v>46160.5053935185</v>
      </c>
      <c r="E495" s="6" t="s">
        <v>419</v>
      </c>
      <c r="F495" s="7">
        <v>0</v>
      </c>
      <c r="G495" s="7">
        <v>0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</row>
    <row r="496" s="1" customFormat="1" ht="14.25" hidden="1" spans="1:17">
      <c r="A496" s="1" t="str">
        <f>VLOOKUP(B496,combinate!A:B,2,FALSE)</f>
        <v>Group A</v>
      </c>
      <c r="B496" s="6">
        <v>233538119555</v>
      </c>
      <c r="C496" s="7">
        <v>15945840</v>
      </c>
      <c r="D496" s="8">
        <v>46176.2627777778</v>
      </c>
      <c r="E496" s="6" t="s">
        <v>419</v>
      </c>
      <c r="F496" s="7">
        <v>0</v>
      </c>
      <c r="G496" s="7">
        <v>0</v>
      </c>
      <c r="H496" s="7">
        <v>0</v>
      </c>
      <c r="I496" s="7">
        <v>0</v>
      </c>
      <c r="J496" s="7">
        <v>0</v>
      </c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</row>
    <row r="497" s="1" customFormat="1" ht="14.25" hidden="1" spans="1:17">
      <c r="A497" s="1" t="str">
        <f>VLOOKUP(B497,combinate!A:B,2,FALSE)</f>
        <v>Group B</v>
      </c>
      <c r="B497" s="6">
        <v>233536040004</v>
      </c>
      <c r="C497" s="7">
        <v>17738463</v>
      </c>
      <c r="D497" s="8">
        <v>46163.834837963</v>
      </c>
      <c r="E497" s="6" t="s">
        <v>419</v>
      </c>
      <c r="F497" s="7">
        <v>0</v>
      </c>
      <c r="G497" s="7">
        <v>0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</row>
    <row r="498" s="1" customFormat="1" ht="14.25" hidden="1" spans="1:17">
      <c r="A498" s="1" t="str">
        <f>VLOOKUP(B498,combinate!A:B,2,FALSE)</f>
        <v>Group C</v>
      </c>
      <c r="B498" s="6">
        <v>233546931921</v>
      </c>
      <c r="C498" s="7">
        <v>18282097</v>
      </c>
      <c r="D498" s="8">
        <v>46161.7271875</v>
      </c>
      <c r="E498" s="6" t="s">
        <v>419</v>
      </c>
      <c r="F498" s="7">
        <v>0</v>
      </c>
      <c r="G498" s="7">
        <v>0</v>
      </c>
      <c r="H498" s="7">
        <v>0</v>
      </c>
      <c r="I498" s="7">
        <v>0</v>
      </c>
      <c r="J498" s="7">
        <v>0</v>
      </c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</row>
    <row r="499" s="1" customFormat="1" ht="14.25" hidden="1" spans="1:17">
      <c r="A499" s="1" t="str">
        <f>VLOOKUP(B499,combinate!A:B,2,FALSE)</f>
        <v>Group A</v>
      </c>
      <c r="B499" s="6">
        <v>233206412771</v>
      </c>
      <c r="C499" s="7">
        <v>19014180</v>
      </c>
      <c r="D499" s="8">
        <v>46161.9609722222</v>
      </c>
      <c r="E499" s="6" t="s">
        <v>419</v>
      </c>
      <c r="F499" s="7">
        <v>0</v>
      </c>
      <c r="G499" s="7">
        <v>0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</row>
    <row r="500" s="1" customFormat="1" ht="14.25" hidden="1" spans="1:17">
      <c r="A500" s="1" t="str">
        <f>VLOOKUP(B500,combinate!A:B,2,FALSE)</f>
        <v>Group C</v>
      </c>
      <c r="B500" s="6">
        <v>233591130260</v>
      </c>
      <c r="C500" s="7">
        <v>19696966</v>
      </c>
      <c r="D500" s="8">
        <v>46177.7248726852</v>
      </c>
      <c r="E500" s="6" t="s">
        <v>419</v>
      </c>
      <c r="F500" s="7">
        <v>0</v>
      </c>
      <c r="G500" s="7">
        <v>0</v>
      </c>
      <c r="H500" s="7">
        <v>0</v>
      </c>
      <c r="I500" s="7">
        <v>0</v>
      </c>
      <c r="J500" s="7">
        <v>0</v>
      </c>
      <c r="K500" s="7">
        <v>0</v>
      </c>
      <c r="L500" s="7">
        <v>0</v>
      </c>
      <c r="M500" s="7">
        <v>0</v>
      </c>
      <c r="N500" s="7">
        <v>0</v>
      </c>
      <c r="O500" s="7">
        <v>0</v>
      </c>
      <c r="P500" s="7">
        <v>0</v>
      </c>
      <c r="Q500" s="7">
        <v>0</v>
      </c>
    </row>
    <row r="501" s="1" customFormat="1" ht="14.25" hidden="1" spans="1:17">
      <c r="A501" s="1" t="str">
        <f>VLOOKUP(B501,combinate!A:B,2,FALSE)</f>
        <v>Group A</v>
      </c>
      <c r="B501" s="6">
        <v>233551567423</v>
      </c>
      <c r="C501" s="7">
        <v>19903561</v>
      </c>
      <c r="D501" s="8">
        <v>46160.4181018519</v>
      </c>
      <c r="E501" s="6" t="s">
        <v>419</v>
      </c>
      <c r="F501" s="7">
        <v>0</v>
      </c>
      <c r="G501" s="7">
        <v>0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</row>
    <row r="502" s="1" customFormat="1" ht="14.25" hidden="1" spans="1:17">
      <c r="A502" s="1" t="str">
        <f>VLOOKUP(B502,combinate!A:B,2,FALSE)</f>
        <v>Group A</v>
      </c>
      <c r="B502" s="6">
        <v>233243087488</v>
      </c>
      <c r="C502" s="7">
        <v>20112922</v>
      </c>
      <c r="D502" s="8">
        <v>46163.272650463</v>
      </c>
      <c r="E502" s="6" t="s">
        <v>419</v>
      </c>
      <c r="F502" s="7">
        <v>0</v>
      </c>
      <c r="G502" s="7">
        <v>0</v>
      </c>
      <c r="H502" s="7">
        <v>0</v>
      </c>
      <c r="I502" s="7">
        <v>0</v>
      </c>
      <c r="J502" s="7">
        <v>0</v>
      </c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</row>
    <row r="503" s="1" customFormat="1" ht="14.25" hidden="1" spans="1:17">
      <c r="A503" s="1" t="str">
        <f>VLOOKUP(B503,combinate!A:B,2,FALSE)</f>
        <v>Group A</v>
      </c>
      <c r="B503" s="6">
        <v>233552108003</v>
      </c>
      <c r="C503" s="7">
        <v>20261140</v>
      </c>
      <c r="D503" s="8">
        <v>46162.5651041667</v>
      </c>
      <c r="E503" s="6" t="s">
        <v>419</v>
      </c>
      <c r="F503" s="7">
        <v>0</v>
      </c>
      <c r="G503" s="7">
        <v>0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</row>
    <row r="504" s="1" customFormat="1" ht="14.25" hidden="1" spans="1:17">
      <c r="A504" s="1" t="str">
        <f>VLOOKUP(B504,combinate!A:B,2,FALSE)</f>
        <v>Group C</v>
      </c>
      <c r="B504" s="6">
        <v>233544369827</v>
      </c>
      <c r="C504" s="7">
        <v>20356166</v>
      </c>
      <c r="D504" s="8">
        <v>46166.6056597222</v>
      </c>
      <c r="E504" s="6" t="s">
        <v>419</v>
      </c>
      <c r="F504" s="7">
        <v>0</v>
      </c>
      <c r="G504" s="7">
        <v>0</v>
      </c>
      <c r="H504" s="7">
        <v>0</v>
      </c>
      <c r="I504" s="7">
        <v>0</v>
      </c>
      <c r="J504" s="7">
        <v>0</v>
      </c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</row>
    <row r="505" s="1" customFormat="1" ht="14.25" hidden="1" spans="1:17">
      <c r="A505" s="1" t="str">
        <f>VLOOKUP(B505,combinate!A:B,2,FALSE)</f>
        <v>Group B</v>
      </c>
      <c r="B505" s="6">
        <v>233540723416</v>
      </c>
      <c r="C505" s="7">
        <v>20437494</v>
      </c>
      <c r="D505" s="8">
        <v>46161.4514351852</v>
      </c>
      <c r="E505" s="6" t="s">
        <v>419</v>
      </c>
      <c r="F505" s="7">
        <v>0</v>
      </c>
      <c r="G505" s="7">
        <v>0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</row>
    <row r="506" s="1" customFormat="1" ht="14.25" spans="1:17">
      <c r="A506" s="1" t="str">
        <f>VLOOKUP(B506,combinate!A:B,2,FALSE)</f>
        <v>Group B</v>
      </c>
      <c r="B506" s="6">
        <v>233557075083</v>
      </c>
      <c r="C506" s="7">
        <v>20986425</v>
      </c>
      <c r="D506" s="8">
        <v>46179.9292476852</v>
      </c>
      <c r="E506" s="9" t="s">
        <v>415</v>
      </c>
      <c r="F506" s="7">
        <v>7035.27</v>
      </c>
      <c r="G506" s="7">
        <v>91458.5</v>
      </c>
      <c r="H506" s="7">
        <v>0</v>
      </c>
      <c r="I506" s="7">
        <v>91458.5</v>
      </c>
      <c r="J506" s="7">
        <v>0</v>
      </c>
      <c r="K506" s="7">
        <v>2348.8</v>
      </c>
      <c r="L506" s="7">
        <v>180.68</v>
      </c>
      <c r="M506" s="7">
        <v>2348.8</v>
      </c>
      <c r="N506" s="7">
        <v>180.69</v>
      </c>
      <c r="O506" s="7">
        <v>2349</v>
      </c>
      <c r="P506" s="7">
        <v>0</v>
      </c>
      <c r="Q506" s="7">
        <v>0</v>
      </c>
    </row>
    <row r="507" s="1" customFormat="1" ht="14.25" hidden="1" spans="1:17">
      <c r="A507" s="1" t="str">
        <f>VLOOKUP(B507,combinate!A:B,2,FALSE)</f>
        <v>Group C</v>
      </c>
      <c r="B507" s="6">
        <v>233503600463</v>
      </c>
      <c r="C507" s="7">
        <v>21006907</v>
      </c>
      <c r="D507" s="8">
        <v>46177.2107523148</v>
      </c>
      <c r="E507" s="6" t="s">
        <v>419</v>
      </c>
      <c r="F507" s="7">
        <v>0</v>
      </c>
      <c r="G507" s="7">
        <v>0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</row>
    <row r="508" s="1" customFormat="1" ht="14.25" hidden="1" spans="1:17">
      <c r="A508" s="1" t="str">
        <f>VLOOKUP(B508,combinate!A:B,2,FALSE)</f>
        <v>Group C</v>
      </c>
      <c r="B508" s="6">
        <v>233247456529</v>
      </c>
      <c r="C508" s="7">
        <v>21012646</v>
      </c>
      <c r="D508" s="8">
        <v>46184.298587963</v>
      </c>
      <c r="E508" s="9" t="s">
        <v>415</v>
      </c>
      <c r="F508" s="7">
        <v>0.38</v>
      </c>
      <c r="G508" s="7">
        <v>5</v>
      </c>
      <c r="H508" s="7">
        <v>0</v>
      </c>
      <c r="I508" s="7">
        <v>5</v>
      </c>
      <c r="J508" s="7">
        <v>0</v>
      </c>
      <c r="K508" s="7">
        <v>5</v>
      </c>
      <c r="L508" s="7">
        <v>0.38</v>
      </c>
      <c r="M508" s="7">
        <v>5</v>
      </c>
      <c r="N508" s="7">
        <v>0.38</v>
      </c>
      <c r="O508" s="7">
        <v>5</v>
      </c>
      <c r="P508" s="7">
        <v>0</v>
      </c>
      <c r="Q508" s="7">
        <v>0</v>
      </c>
    </row>
    <row r="509" s="1" customFormat="1" ht="14.25" hidden="1" spans="1:17">
      <c r="A509" s="1" t="str">
        <f>VLOOKUP(B509,combinate!A:B,2,FALSE)</f>
        <v>Group A</v>
      </c>
      <c r="B509" s="6">
        <v>233547769061</v>
      </c>
      <c r="C509" s="7">
        <v>21278470</v>
      </c>
      <c r="D509" s="8">
        <v>46162.7245486111</v>
      </c>
      <c r="E509" s="6" t="s">
        <v>419</v>
      </c>
      <c r="F509" s="7">
        <v>0</v>
      </c>
      <c r="G509" s="7">
        <v>0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</row>
    <row r="510" s="1" customFormat="1" ht="14.25" hidden="1" spans="1:17">
      <c r="A510" s="1" t="str">
        <f>VLOOKUP(B510,combinate!A:B,2,FALSE)</f>
        <v>Group C</v>
      </c>
      <c r="B510" s="6">
        <v>233546457029</v>
      </c>
      <c r="C510" s="7">
        <v>21301189</v>
      </c>
      <c r="D510" s="8">
        <v>46160.3834490741</v>
      </c>
      <c r="E510" s="6" t="s">
        <v>419</v>
      </c>
      <c r="F510" s="7">
        <v>0</v>
      </c>
      <c r="G510" s="7">
        <v>0</v>
      </c>
      <c r="H510" s="7">
        <v>0</v>
      </c>
      <c r="I510" s="7">
        <v>0</v>
      </c>
      <c r="J510" s="7">
        <v>0</v>
      </c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</row>
    <row r="511" s="1" customFormat="1" ht="14.25" hidden="1" spans="1:17">
      <c r="A511" s="1" t="str">
        <f>VLOOKUP(B511,combinate!A:B,2,FALSE)</f>
        <v>Group C</v>
      </c>
      <c r="B511" s="6">
        <v>233535841416</v>
      </c>
      <c r="C511" s="7">
        <v>21504006</v>
      </c>
      <c r="D511" s="8">
        <v>46184.338287037</v>
      </c>
      <c r="E511" s="9" t="s">
        <v>415</v>
      </c>
      <c r="F511" s="7">
        <v>45.26</v>
      </c>
      <c r="G511" s="7">
        <v>588.4</v>
      </c>
      <c r="H511" s="7">
        <v>0</v>
      </c>
      <c r="I511" s="7">
        <v>588.4</v>
      </c>
      <c r="J511" s="7">
        <v>0</v>
      </c>
      <c r="K511" s="7">
        <v>89.45</v>
      </c>
      <c r="L511" s="7">
        <v>6.88</v>
      </c>
      <c r="M511" s="7">
        <v>89.45</v>
      </c>
      <c r="N511" s="7">
        <v>11.46</v>
      </c>
      <c r="O511" s="7">
        <v>149</v>
      </c>
      <c r="P511" s="7">
        <v>7</v>
      </c>
      <c r="Q511" s="7">
        <v>91</v>
      </c>
    </row>
    <row r="512" s="1" customFormat="1" ht="14.25" hidden="1" spans="1:17">
      <c r="A512" s="1" t="str">
        <f>VLOOKUP(B512,combinate!A:B,2,FALSE)</f>
        <v>Group B</v>
      </c>
      <c r="B512" s="6">
        <v>233548120195</v>
      </c>
      <c r="C512" s="7">
        <v>21525025</v>
      </c>
      <c r="D512" s="8">
        <v>46162.1278240741</v>
      </c>
      <c r="E512" s="6" t="s">
        <v>419</v>
      </c>
      <c r="F512" s="7">
        <v>0</v>
      </c>
      <c r="G512" s="7">
        <v>0</v>
      </c>
      <c r="H512" s="7">
        <v>0</v>
      </c>
      <c r="I512" s="7">
        <v>0</v>
      </c>
      <c r="J512" s="7">
        <v>0</v>
      </c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</row>
    <row r="513" s="1" customFormat="1" ht="14.25" hidden="1" spans="1:17">
      <c r="A513" s="1" t="str">
        <f>VLOOKUP(B513,combinate!A:B,2,FALSE)</f>
        <v>Group C</v>
      </c>
      <c r="B513" s="6">
        <v>233534942236</v>
      </c>
      <c r="C513" s="7">
        <v>21784758</v>
      </c>
      <c r="D513" s="8">
        <v>46166.9363773148</v>
      </c>
      <c r="E513" s="6" t="s">
        <v>419</v>
      </c>
      <c r="F513" s="7">
        <v>0</v>
      </c>
      <c r="G513" s="7">
        <v>0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</row>
    <row r="514" s="1" customFormat="1" ht="14.25" hidden="1" spans="1:17">
      <c r="A514" s="1" t="str">
        <f>VLOOKUP(B514,combinate!A:B,2,FALSE)</f>
        <v>Group B</v>
      </c>
      <c r="B514" s="6">
        <v>233554012450</v>
      </c>
      <c r="C514" s="7">
        <v>21796395</v>
      </c>
      <c r="D514" s="8">
        <v>46160.4327430556</v>
      </c>
      <c r="E514" s="6" t="s">
        <v>419</v>
      </c>
      <c r="F514" s="7">
        <v>0</v>
      </c>
      <c r="G514" s="7">
        <v>0</v>
      </c>
      <c r="H514" s="7">
        <v>0</v>
      </c>
      <c r="I514" s="7">
        <v>0</v>
      </c>
      <c r="J514" s="7">
        <v>0</v>
      </c>
      <c r="K514" s="7">
        <v>0</v>
      </c>
      <c r="L514" s="7">
        <v>0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</row>
    <row r="515" s="1" customFormat="1" ht="14.25" hidden="1" spans="1:17">
      <c r="A515" s="1" t="str">
        <f>VLOOKUP(B515,combinate!A:B,2,FALSE)</f>
        <v>Group A</v>
      </c>
      <c r="B515" s="6">
        <v>233240254349</v>
      </c>
      <c r="C515" s="7">
        <v>21802200</v>
      </c>
      <c r="D515" s="8">
        <v>46184.4184606482</v>
      </c>
      <c r="E515" s="9" t="s">
        <v>415</v>
      </c>
      <c r="F515" s="7">
        <v>5.46</v>
      </c>
      <c r="G515" s="7">
        <v>71</v>
      </c>
      <c r="H515" s="7">
        <v>0</v>
      </c>
      <c r="I515" s="7">
        <v>71</v>
      </c>
      <c r="J515" s="7">
        <v>0</v>
      </c>
      <c r="K515" s="7">
        <v>49.94</v>
      </c>
      <c r="L515" s="7">
        <v>3.84</v>
      </c>
      <c r="M515" s="7">
        <v>49.94</v>
      </c>
      <c r="N515" s="7">
        <v>3.85</v>
      </c>
      <c r="O515" s="7">
        <v>50</v>
      </c>
      <c r="P515" s="7">
        <v>0</v>
      </c>
      <c r="Q515" s="7">
        <v>0</v>
      </c>
    </row>
    <row r="516" s="1" customFormat="1" ht="14.25" hidden="1" spans="1:17">
      <c r="A516" s="1" t="str">
        <f>VLOOKUP(B516,combinate!A:B,2,FALSE)</f>
        <v>Group C</v>
      </c>
      <c r="B516" s="6">
        <v>233248593147</v>
      </c>
      <c r="C516" s="7">
        <v>21812127</v>
      </c>
      <c r="D516" s="8">
        <v>46160.4852662037</v>
      </c>
      <c r="E516" s="6" t="s">
        <v>419</v>
      </c>
      <c r="F516" s="7">
        <v>0</v>
      </c>
      <c r="G516" s="7">
        <v>0</v>
      </c>
      <c r="H516" s="7">
        <v>0</v>
      </c>
      <c r="I516" s="7">
        <v>0</v>
      </c>
      <c r="J516" s="7">
        <v>0</v>
      </c>
      <c r="K516" s="7">
        <v>0</v>
      </c>
      <c r="L516" s="7">
        <v>0</v>
      </c>
      <c r="M516" s="7">
        <v>0</v>
      </c>
      <c r="N516" s="7">
        <v>0</v>
      </c>
      <c r="O516" s="7">
        <v>0</v>
      </c>
      <c r="P516" s="7">
        <v>0</v>
      </c>
      <c r="Q516" s="7">
        <v>0</v>
      </c>
    </row>
    <row r="517" s="1" customFormat="1" ht="14.25" hidden="1" spans="1:17">
      <c r="A517" s="1" t="str">
        <f>VLOOKUP(B517,combinate!A:B,2,FALSE)</f>
        <v>Group A</v>
      </c>
      <c r="B517" s="6">
        <v>233591903619</v>
      </c>
      <c r="C517" s="7">
        <v>21915890</v>
      </c>
      <c r="D517" s="8">
        <v>46161.4990856481</v>
      </c>
      <c r="E517" s="6" t="s">
        <v>419</v>
      </c>
      <c r="F517" s="7">
        <v>0</v>
      </c>
      <c r="G517" s="7">
        <v>0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</row>
    <row r="518" s="1" customFormat="1" ht="14.25" hidden="1" spans="1:17">
      <c r="A518" s="1" t="str">
        <f>VLOOKUP(B518,combinate!A:B,2,FALSE)</f>
        <v>Group C</v>
      </c>
      <c r="B518" s="6">
        <v>233550836727</v>
      </c>
      <c r="C518" s="7">
        <v>22051628</v>
      </c>
      <c r="D518" s="8">
        <v>46161.4055208333</v>
      </c>
      <c r="E518" s="6" t="s">
        <v>419</v>
      </c>
      <c r="F518" s="7">
        <v>0</v>
      </c>
      <c r="G518" s="7">
        <v>0</v>
      </c>
      <c r="H518" s="7">
        <v>0</v>
      </c>
      <c r="I518" s="7">
        <v>0</v>
      </c>
      <c r="J518" s="7">
        <v>0</v>
      </c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</row>
    <row r="519" s="1" customFormat="1" ht="14.25" hidden="1" spans="1:17">
      <c r="A519" s="1" t="str">
        <f>VLOOKUP(B519,combinate!A:B,2,FALSE)</f>
        <v>Group C</v>
      </c>
      <c r="B519" s="6">
        <v>233556568604</v>
      </c>
      <c r="C519" s="7">
        <v>22071506</v>
      </c>
      <c r="D519" s="8">
        <v>46166.6935763889</v>
      </c>
      <c r="E519" s="6" t="s">
        <v>419</v>
      </c>
      <c r="F519" s="7">
        <v>0</v>
      </c>
      <c r="G519" s="7">
        <v>0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</row>
    <row r="520" s="1" customFormat="1" ht="14.25" hidden="1" spans="1:17">
      <c r="A520" s="1" t="str">
        <f>VLOOKUP(B520,combinate!A:B,2,FALSE)</f>
        <v>Group B</v>
      </c>
      <c r="B520" s="6">
        <v>233532072837</v>
      </c>
      <c r="C520" s="7">
        <v>22072303</v>
      </c>
      <c r="D520" s="8">
        <v>46162.3756712963</v>
      </c>
      <c r="E520" s="6" t="s">
        <v>419</v>
      </c>
      <c r="F520" s="7">
        <v>0</v>
      </c>
      <c r="G520" s="7">
        <v>0</v>
      </c>
      <c r="H520" s="7">
        <v>0</v>
      </c>
      <c r="I520" s="7">
        <v>0</v>
      </c>
      <c r="J520" s="7">
        <v>0</v>
      </c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</row>
    <row r="521" s="1" customFormat="1" ht="14.25" hidden="1" spans="1:17">
      <c r="A521" s="1" t="str">
        <f>VLOOKUP(B521,combinate!A:B,2,FALSE)</f>
        <v>Group B</v>
      </c>
      <c r="B521" s="6">
        <v>233531482687</v>
      </c>
      <c r="C521" s="7">
        <v>22107934</v>
      </c>
      <c r="D521" s="8">
        <v>46163.8156365741</v>
      </c>
      <c r="E521" s="6" t="s">
        <v>419</v>
      </c>
      <c r="F521" s="7">
        <v>0</v>
      </c>
      <c r="G521" s="7">
        <v>0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</row>
    <row r="522" s="1" customFormat="1" ht="14.25" hidden="1" spans="1:17">
      <c r="A522" s="1" t="str">
        <f>VLOOKUP(B522,combinate!A:B,2,FALSE)</f>
        <v>Group C</v>
      </c>
      <c r="B522" s="6">
        <v>233593741782</v>
      </c>
      <c r="C522" s="7">
        <v>22160276</v>
      </c>
      <c r="D522" s="8">
        <v>46166.6913773148</v>
      </c>
      <c r="E522" s="6" t="s">
        <v>419</v>
      </c>
      <c r="F522" s="7">
        <v>0</v>
      </c>
      <c r="G522" s="7">
        <v>0</v>
      </c>
      <c r="H522" s="7">
        <v>0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</row>
    <row r="523" s="1" customFormat="1" ht="14.25" hidden="1" spans="1:17">
      <c r="A523" s="1" t="str">
        <f>VLOOKUP(B523,combinate!A:B,2,FALSE)</f>
        <v>Group B</v>
      </c>
      <c r="B523" s="6">
        <v>233535084552</v>
      </c>
      <c r="C523" s="7">
        <v>22313843</v>
      </c>
      <c r="D523" s="8">
        <v>46166.9697106481</v>
      </c>
      <c r="E523" s="6" t="s">
        <v>419</v>
      </c>
      <c r="F523" s="7">
        <v>0</v>
      </c>
      <c r="G523" s="7">
        <v>0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</row>
    <row r="524" s="1" customFormat="1" ht="14.25" hidden="1" spans="1:17">
      <c r="A524" s="1" t="str">
        <f>VLOOKUP(B524,combinate!A:B,2,FALSE)</f>
        <v>Group C</v>
      </c>
      <c r="B524" s="6">
        <v>233533161192</v>
      </c>
      <c r="C524" s="7">
        <v>22409646</v>
      </c>
      <c r="D524" s="8">
        <v>46166.1407060185</v>
      </c>
      <c r="E524" s="6" t="s">
        <v>419</v>
      </c>
      <c r="F524" s="7">
        <v>0</v>
      </c>
      <c r="G524" s="7">
        <v>0</v>
      </c>
      <c r="H524" s="7">
        <v>0</v>
      </c>
      <c r="I524" s="7">
        <v>0</v>
      </c>
      <c r="J524" s="7">
        <v>0</v>
      </c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</row>
    <row r="525" s="1" customFormat="1" ht="14.25" hidden="1" spans="1:17">
      <c r="A525" s="1" t="str">
        <f>VLOOKUP(B525,combinate!A:B,2,FALSE)</f>
        <v>Group A</v>
      </c>
      <c r="B525" s="6">
        <v>233554247328</v>
      </c>
      <c r="C525" s="7">
        <v>22602490</v>
      </c>
      <c r="D525" s="8">
        <v>46178.728287037</v>
      </c>
      <c r="E525" s="9" t="s">
        <v>415</v>
      </c>
      <c r="F525" s="7">
        <v>54.52</v>
      </c>
      <c r="G525" s="7">
        <v>708.75</v>
      </c>
      <c r="H525" s="7">
        <v>0</v>
      </c>
      <c r="I525" s="7">
        <v>708.75</v>
      </c>
      <c r="J525" s="7">
        <v>0</v>
      </c>
      <c r="K525" s="7">
        <v>110.4</v>
      </c>
      <c r="L525" s="7">
        <v>8.49</v>
      </c>
      <c r="M525" s="7">
        <v>110.4</v>
      </c>
      <c r="N525" s="7">
        <v>8.46</v>
      </c>
      <c r="O525" s="7">
        <v>110</v>
      </c>
      <c r="P525" s="7">
        <v>0</v>
      </c>
      <c r="Q525" s="7">
        <v>0</v>
      </c>
    </row>
    <row r="526" s="1" customFormat="1" ht="14.25" hidden="1" spans="1:17">
      <c r="A526" s="1" t="str">
        <f>VLOOKUP(B526,combinate!A:B,2,FALSE)</f>
        <v>Group A</v>
      </c>
      <c r="B526" s="6">
        <v>233549811433</v>
      </c>
      <c r="C526" s="7">
        <v>22625030</v>
      </c>
      <c r="D526" s="8">
        <v>46160.028900463</v>
      </c>
      <c r="E526" s="6" t="s">
        <v>419</v>
      </c>
      <c r="F526" s="7">
        <v>0</v>
      </c>
      <c r="G526" s="7">
        <v>0</v>
      </c>
      <c r="H526" s="7">
        <v>0</v>
      </c>
      <c r="I526" s="7">
        <v>0</v>
      </c>
      <c r="J526" s="7">
        <v>0</v>
      </c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</row>
    <row r="527" s="1" customFormat="1" ht="14.25" hidden="1" spans="1:17">
      <c r="A527" s="1" t="str">
        <f>VLOOKUP(B527,combinate!A:B,2,FALSE)</f>
        <v>Group C</v>
      </c>
      <c r="B527" s="6">
        <v>233551273169</v>
      </c>
      <c r="C527" s="7">
        <v>22643556</v>
      </c>
      <c r="D527" s="8">
        <v>46162.8628703704</v>
      </c>
      <c r="E527" s="6" t="s">
        <v>419</v>
      </c>
      <c r="F527" s="7">
        <v>0</v>
      </c>
      <c r="G527" s="7">
        <v>0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</row>
    <row r="528" s="1" customFormat="1" ht="14.25" hidden="1" spans="1:17">
      <c r="A528" s="1" t="str">
        <f>VLOOKUP(B528,combinate!A:B,2,FALSE)</f>
        <v>Group C</v>
      </c>
      <c r="B528" s="6">
        <v>233507528286</v>
      </c>
      <c r="C528" s="7">
        <v>22660596</v>
      </c>
      <c r="D528" s="8">
        <v>46161.9569560185</v>
      </c>
      <c r="E528" s="6" t="s">
        <v>419</v>
      </c>
      <c r="F528" s="7">
        <v>0</v>
      </c>
      <c r="G528" s="7">
        <v>0</v>
      </c>
      <c r="H528" s="7">
        <v>0</v>
      </c>
      <c r="I528" s="7">
        <v>0</v>
      </c>
      <c r="J528" s="7">
        <v>0</v>
      </c>
      <c r="K528" s="7">
        <v>0</v>
      </c>
      <c r="L528" s="7">
        <v>0</v>
      </c>
      <c r="M528" s="7">
        <v>0</v>
      </c>
      <c r="N528" s="7">
        <v>0</v>
      </c>
      <c r="O528" s="7">
        <v>0</v>
      </c>
      <c r="P528" s="7">
        <v>0</v>
      </c>
      <c r="Q528" s="7">
        <v>0</v>
      </c>
    </row>
    <row r="529" s="1" customFormat="1" ht="14.25" hidden="1" spans="1:17">
      <c r="A529" s="1" t="str">
        <f>VLOOKUP(B529,combinate!A:B,2,FALSE)</f>
        <v>Group B</v>
      </c>
      <c r="B529" s="6">
        <v>233552619671</v>
      </c>
      <c r="C529" s="7">
        <v>22695905</v>
      </c>
      <c r="D529" s="8">
        <v>46166.4114930556</v>
      </c>
      <c r="E529" s="6" t="s">
        <v>419</v>
      </c>
      <c r="F529" s="7">
        <v>0</v>
      </c>
      <c r="G529" s="7">
        <v>0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</row>
    <row r="530" s="1" customFormat="1" ht="14.25" hidden="1" spans="1:17">
      <c r="A530" s="1" t="str">
        <f>VLOOKUP(B530,combinate!A:B,2,FALSE)</f>
        <v>Group A</v>
      </c>
      <c r="B530" s="6">
        <v>233593196722</v>
      </c>
      <c r="C530" s="7">
        <v>22755142</v>
      </c>
      <c r="D530" s="8">
        <v>46162.8453587963</v>
      </c>
      <c r="E530" s="6" t="s">
        <v>419</v>
      </c>
      <c r="F530" s="7">
        <v>0</v>
      </c>
      <c r="G530" s="7">
        <v>0</v>
      </c>
      <c r="H530" s="7">
        <v>0</v>
      </c>
      <c r="I530" s="7">
        <v>0</v>
      </c>
      <c r="J530" s="7">
        <v>0</v>
      </c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</row>
    <row r="531" s="1" customFormat="1" ht="14.25" hidden="1" spans="1:17">
      <c r="A531" s="1" t="str">
        <f>VLOOKUP(B531,combinate!A:B,2,FALSE)</f>
        <v>Group C</v>
      </c>
      <c r="B531" s="6">
        <v>233533152286</v>
      </c>
      <c r="C531" s="7">
        <v>22782698</v>
      </c>
      <c r="D531" s="8">
        <v>46161.4018402778</v>
      </c>
      <c r="E531" s="6" t="s">
        <v>419</v>
      </c>
      <c r="F531" s="7">
        <v>0</v>
      </c>
      <c r="G531" s="7">
        <v>0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</row>
    <row r="532" s="1" customFormat="1" ht="14.25" hidden="1" spans="1:17">
      <c r="A532" s="1" t="str">
        <f>VLOOKUP(B532,combinate!A:B,2,FALSE)</f>
        <v>Group B</v>
      </c>
      <c r="B532" s="6">
        <v>233532377608</v>
      </c>
      <c r="C532" s="7">
        <v>22838524</v>
      </c>
      <c r="D532" s="8">
        <v>46160.8329166667</v>
      </c>
      <c r="E532" s="6" t="s">
        <v>419</v>
      </c>
      <c r="F532" s="7">
        <v>0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0</v>
      </c>
      <c r="N532" s="7">
        <v>0</v>
      </c>
      <c r="O532" s="7">
        <v>0</v>
      </c>
      <c r="P532" s="7">
        <v>0</v>
      </c>
      <c r="Q532" s="7">
        <v>0</v>
      </c>
    </row>
    <row r="533" s="1" customFormat="1" ht="14.25" hidden="1" spans="1:17">
      <c r="A533" s="1" t="str">
        <f>VLOOKUP(B533,combinate!A:B,2,FALSE)</f>
        <v>Group A</v>
      </c>
      <c r="B533" s="6">
        <v>233557777141</v>
      </c>
      <c r="C533" s="7">
        <v>22880730</v>
      </c>
      <c r="D533" s="8">
        <v>46162.8504861111</v>
      </c>
      <c r="E533" s="6" t="s">
        <v>419</v>
      </c>
      <c r="F533" s="7">
        <v>0</v>
      </c>
      <c r="G533" s="7">
        <v>0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</row>
    <row r="534" s="1" customFormat="1" ht="14.25" hidden="1" spans="1:17">
      <c r="A534" s="1" t="str">
        <f>VLOOKUP(B534,combinate!A:B,2,FALSE)</f>
        <v>Group C</v>
      </c>
      <c r="B534" s="6">
        <v>233543640304</v>
      </c>
      <c r="C534" s="7">
        <v>22924758</v>
      </c>
      <c r="D534" s="8">
        <v>46160.7034259259</v>
      </c>
      <c r="E534" s="6" t="s">
        <v>419</v>
      </c>
      <c r="F534" s="7">
        <v>0</v>
      </c>
      <c r="G534" s="7">
        <v>0</v>
      </c>
      <c r="H534" s="7">
        <v>0</v>
      </c>
      <c r="I534" s="7">
        <v>0</v>
      </c>
      <c r="J534" s="7">
        <v>0</v>
      </c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</row>
    <row r="535" s="1" customFormat="1" ht="14.25" hidden="1" spans="1:17">
      <c r="A535" s="1" t="str">
        <f>VLOOKUP(B535,combinate!A:B,2,FALSE)</f>
        <v>Group C</v>
      </c>
      <c r="B535" s="6">
        <v>233200444912</v>
      </c>
      <c r="C535" s="7">
        <v>22965717</v>
      </c>
      <c r="D535" s="8">
        <v>46166.4013425926</v>
      </c>
      <c r="E535" s="6" t="s">
        <v>419</v>
      </c>
      <c r="F535" s="7">
        <v>0</v>
      </c>
      <c r="G535" s="7">
        <v>0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</row>
    <row r="536" s="1" customFormat="1" ht="14.25" hidden="1" spans="1:17">
      <c r="A536" s="1" t="str">
        <f>VLOOKUP(B536,combinate!A:B,2,FALSE)</f>
        <v>Group B</v>
      </c>
      <c r="B536" s="6">
        <v>233242285035</v>
      </c>
      <c r="C536" s="7">
        <v>9010675</v>
      </c>
      <c r="D536" s="8">
        <v>46166.3640393519</v>
      </c>
      <c r="E536" s="6" t="s">
        <v>419</v>
      </c>
      <c r="F536" s="7">
        <v>0</v>
      </c>
      <c r="G536" s="7">
        <v>0</v>
      </c>
      <c r="H536" s="7">
        <v>0</v>
      </c>
      <c r="I536" s="7">
        <v>0</v>
      </c>
      <c r="J536" s="7">
        <v>0</v>
      </c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</row>
    <row r="537" s="1" customFormat="1" ht="14.25" hidden="1" spans="1:17">
      <c r="A537" s="1" t="str">
        <f>VLOOKUP(B537,combinate!A:B,2,FALSE)</f>
        <v>Group C</v>
      </c>
      <c r="B537" s="6">
        <v>233530432591</v>
      </c>
      <c r="C537" s="7">
        <v>16659569</v>
      </c>
      <c r="D537" s="8">
        <v>46163.6202546296</v>
      </c>
      <c r="E537" s="6" t="s">
        <v>419</v>
      </c>
      <c r="F537" s="7">
        <v>0</v>
      </c>
      <c r="G537" s="7">
        <v>0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</row>
    <row r="538" s="1" customFormat="1" ht="14.25" hidden="1" spans="1:17">
      <c r="A538" s="1" t="str">
        <f>VLOOKUP(B538,combinate!A:B,2,FALSE)</f>
        <v>Group C</v>
      </c>
      <c r="B538" s="6">
        <v>233540607632</v>
      </c>
      <c r="C538" s="7">
        <v>17314816</v>
      </c>
      <c r="D538" s="8">
        <v>46183.2583564815</v>
      </c>
      <c r="E538" s="6" t="s">
        <v>419</v>
      </c>
      <c r="F538" s="7">
        <v>0</v>
      </c>
      <c r="G538" s="7">
        <v>0</v>
      </c>
      <c r="H538" s="7">
        <v>0</v>
      </c>
      <c r="I538" s="7">
        <v>0</v>
      </c>
      <c r="J538" s="7">
        <v>0</v>
      </c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</row>
    <row r="539" s="1" customFormat="1" ht="14.25" hidden="1" spans="1:17">
      <c r="A539" s="1" t="str">
        <f>VLOOKUP(B539,combinate!A:B,2,FALSE)</f>
        <v>Group B</v>
      </c>
      <c r="B539" s="6">
        <v>233247684827</v>
      </c>
      <c r="C539" s="7">
        <v>17336353</v>
      </c>
      <c r="D539" s="8">
        <v>46160.6896875</v>
      </c>
      <c r="E539" s="6" t="s">
        <v>419</v>
      </c>
      <c r="F539" s="7">
        <v>0</v>
      </c>
      <c r="G539" s="7">
        <v>0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</row>
    <row r="540" s="1" customFormat="1" ht="14.25" hidden="1" spans="1:17">
      <c r="A540" s="1" t="str">
        <f>VLOOKUP(B540,combinate!A:B,2,FALSE)</f>
        <v>Group C</v>
      </c>
      <c r="B540" s="6">
        <v>233540704188</v>
      </c>
      <c r="C540" s="7">
        <v>17540816</v>
      </c>
      <c r="D540" s="8">
        <v>46161.9282291667</v>
      </c>
      <c r="E540" s="6" t="s">
        <v>419</v>
      </c>
      <c r="F540" s="7">
        <v>0</v>
      </c>
      <c r="G540" s="7">
        <v>0</v>
      </c>
      <c r="H540" s="7">
        <v>0</v>
      </c>
      <c r="I540" s="7">
        <v>0</v>
      </c>
      <c r="J540" s="7">
        <v>0</v>
      </c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</row>
    <row r="541" s="1" customFormat="1" ht="14.25" hidden="1" spans="1:17">
      <c r="A541" s="1" t="str">
        <f>VLOOKUP(B541,combinate!A:B,2,FALSE)</f>
        <v>Group A</v>
      </c>
      <c r="B541" s="6">
        <v>233551605927</v>
      </c>
      <c r="C541" s="7">
        <v>18114912</v>
      </c>
      <c r="D541" s="8">
        <v>46162.9974305556</v>
      </c>
      <c r="E541" s="6" t="s">
        <v>419</v>
      </c>
      <c r="F541" s="7">
        <v>0</v>
      </c>
      <c r="G541" s="7">
        <v>0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</row>
    <row r="542" s="1" customFormat="1" ht="14.25" hidden="1" spans="1:17">
      <c r="A542" s="1" t="str">
        <f>VLOOKUP(B542,combinate!A:B,2,FALSE)</f>
        <v>Group B</v>
      </c>
      <c r="B542" s="6">
        <v>233598817455</v>
      </c>
      <c r="C542" s="7">
        <v>18253184</v>
      </c>
      <c r="D542" s="8">
        <v>46162.4497800926</v>
      </c>
      <c r="E542" s="6" t="s">
        <v>419</v>
      </c>
      <c r="F542" s="7">
        <v>0</v>
      </c>
      <c r="G542" s="7">
        <v>0</v>
      </c>
      <c r="H542" s="7">
        <v>0</v>
      </c>
      <c r="I542" s="7">
        <v>0</v>
      </c>
      <c r="J542" s="7">
        <v>0</v>
      </c>
      <c r="K542" s="7">
        <v>0</v>
      </c>
      <c r="L542" s="7">
        <v>0</v>
      </c>
      <c r="M542" s="7">
        <v>0</v>
      </c>
      <c r="N542" s="7">
        <v>0</v>
      </c>
      <c r="O542" s="7">
        <v>0</v>
      </c>
      <c r="P542" s="7">
        <v>0</v>
      </c>
      <c r="Q542" s="7">
        <v>0</v>
      </c>
    </row>
    <row r="543" s="1" customFormat="1" ht="14.25" hidden="1" spans="1:17">
      <c r="A543" s="1" t="str">
        <f>VLOOKUP(B543,combinate!A:B,2,FALSE)</f>
        <v>Group A</v>
      </c>
      <c r="B543" s="6">
        <v>233555837953</v>
      </c>
      <c r="C543" s="7">
        <v>18355012</v>
      </c>
      <c r="D543" s="8">
        <v>46162.5866898148</v>
      </c>
      <c r="E543" s="6" t="s">
        <v>419</v>
      </c>
      <c r="F543" s="7">
        <v>0</v>
      </c>
      <c r="G543" s="7">
        <v>0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</row>
    <row r="544" s="1" customFormat="1" ht="14.25" hidden="1" spans="1:17">
      <c r="A544" s="1" t="str">
        <f>VLOOKUP(B544,combinate!A:B,2,FALSE)</f>
        <v>Group B</v>
      </c>
      <c r="B544" s="6">
        <v>233543593321</v>
      </c>
      <c r="C544" s="7">
        <v>18487115</v>
      </c>
      <c r="D544" s="8">
        <v>46183.8849305556</v>
      </c>
      <c r="E544" s="9" t="s">
        <v>415</v>
      </c>
      <c r="F544" s="7">
        <v>455.19</v>
      </c>
      <c r="G544" s="7">
        <v>5917.5</v>
      </c>
      <c r="H544" s="7">
        <v>0</v>
      </c>
      <c r="I544" s="7">
        <v>5917.5</v>
      </c>
      <c r="J544" s="7">
        <v>0</v>
      </c>
      <c r="K544" s="7">
        <v>862.6</v>
      </c>
      <c r="L544" s="7">
        <v>66.35</v>
      </c>
      <c r="M544" s="7">
        <v>862.6</v>
      </c>
      <c r="N544" s="7">
        <v>216.46</v>
      </c>
      <c r="O544" s="7">
        <v>2814</v>
      </c>
      <c r="P544" s="7">
        <v>187.31</v>
      </c>
      <c r="Q544" s="7">
        <v>2435</v>
      </c>
    </row>
    <row r="545" s="1" customFormat="1" ht="14.25" hidden="1" spans="1:17">
      <c r="A545" s="1" t="str">
        <f>VLOOKUP(B545,combinate!A:B,2,FALSE)</f>
        <v>Group C</v>
      </c>
      <c r="B545" s="6">
        <v>233541503624</v>
      </c>
      <c r="C545" s="7">
        <v>19512537</v>
      </c>
      <c r="D545" s="8">
        <v>46176.7675462963</v>
      </c>
      <c r="E545" s="6" t="s">
        <v>419</v>
      </c>
      <c r="F545" s="7">
        <v>0</v>
      </c>
      <c r="G545" s="7">
        <v>0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</row>
    <row r="546" s="1" customFormat="1" ht="14.25" hidden="1" spans="1:17">
      <c r="A546" s="1" t="str">
        <f>VLOOKUP(B546,combinate!A:B,2,FALSE)</f>
        <v>Group B</v>
      </c>
      <c r="B546" s="6">
        <v>233509875276</v>
      </c>
      <c r="C546" s="7">
        <v>19970315</v>
      </c>
      <c r="D546" s="8">
        <v>46166.682662037</v>
      </c>
      <c r="E546" s="6" t="s">
        <v>419</v>
      </c>
      <c r="F546" s="7">
        <v>0</v>
      </c>
      <c r="G546" s="7">
        <v>0</v>
      </c>
      <c r="H546" s="7">
        <v>0</v>
      </c>
      <c r="I546" s="7">
        <v>0</v>
      </c>
      <c r="J546" s="7">
        <v>0</v>
      </c>
      <c r="K546" s="7">
        <v>0</v>
      </c>
      <c r="L546" s="7">
        <v>0</v>
      </c>
      <c r="M546" s="7">
        <v>0</v>
      </c>
      <c r="N546" s="7">
        <v>0</v>
      </c>
      <c r="O546" s="7">
        <v>0</v>
      </c>
      <c r="P546" s="7">
        <v>0</v>
      </c>
      <c r="Q546" s="7">
        <v>0</v>
      </c>
    </row>
    <row r="547" s="1" customFormat="1" ht="14.25" hidden="1" spans="1:17">
      <c r="A547" s="1" t="str">
        <f>VLOOKUP(B547,combinate!A:B,2,FALSE)</f>
        <v>Group B</v>
      </c>
      <c r="B547" s="6">
        <v>233554857562</v>
      </c>
      <c r="C547" s="7">
        <v>20505795</v>
      </c>
      <c r="D547" s="8">
        <v>46183.8453935185</v>
      </c>
      <c r="E547" s="9" t="s">
        <v>415</v>
      </c>
      <c r="F547" s="7">
        <v>48.97</v>
      </c>
      <c r="G547" s="7">
        <v>636.56</v>
      </c>
      <c r="H547" s="7">
        <v>0</v>
      </c>
      <c r="I547" s="7">
        <v>636.56</v>
      </c>
      <c r="J547" s="7">
        <v>0</v>
      </c>
      <c r="K547" s="7">
        <v>22</v>
      </c>
      <c r="L547" s="7">
        <v>1.69</v>
      </c>
      <c r="M547" s="7">
        <v>22</v>
      </c>
      <c r="N547" s="7">
        <v>1.69</v>
      </c>
      <c r="O547" s="7">
        <v>22</v>
      </c>
      <c r="P547" s="7">
        <v>0</v>
      </c>
      <c r="Q547" s="7">
        <v>0</v>
      </c>
    </row>
    <row r="548" s="1" customFormat="1" ht="14.25" hidden="1" spans="1:17">
      <c r="A548" s="1" t="str">
        <f>VLOOKUP(B548,combinate!A:B,2,FALSE)</f>
        <v>Group B</v>
      </c>
      <c r="B548" s="6">
        <v>233539965983</v>
      </c>
      <c r="C548" s="7">
        <v>20783243</v>
      </c>
      <c r="D548" s="8">
        <v>46181.5744907407</v>
      </c>
      <c r="E548" s="9" t="s">
        <v>415</v>
      </c>
      <c r="F548" s="7">
        <v>0.05</v>
      </c>
      <c r="G548" s="7">
        <v>0.6</v>
      </c>
      <c r="H548" s="7">
        <v>0</v>
      </c>
      <c r="I548" s="7">
        <v>0.6</v>
      </c>
      <c r="J548" s="7">
        <v>0</v>
      </c>
      <c r="K548" s="7">
        <v>-0.06</v>
      </c>
      <c r="L548" s="7">
        <v>0</v>
      </c>
      <c r="M548" s="7">
        <v>-0.06</v>
      </c>
      <c r="N548" s="7">
        <v>0</v>
      </c>
      <c r="O548" s="7">
        <v>0</v>
      </c>
      <c r="P548" s="7">
        <v>0</v>
      </c>
      <c r="Q548" s="7">
        <v>0</v>
      </c>
    </row>
    <row r="549" s="1" customFormat="1" ht="14.25" hidden="1" spans="1:17">
      <c r="A549" s="1" t="str">
        <f>VLOOKUP(B549,combinate!A:B,2,FALSE)</f>
        <v>Group C</v>
      </c>
      <c r="B549" s="6">
        <v>233594017894</v>
      </c>
      <c r="C549" s="7">
        <v>20790157</v>
      </c>
      <c r="D549" s="8">
        <v>46178.4685763889</v>
      </c>
      <c r="E549" s="9" t="s">
        <v>415</v>
      </c>
      <c r="F549" s="7">
        <v>0.77</v>
      </c>
      <c r="G549" s="7">
        <v>10</v>
      </c>
      <c r="H549" s="7">
        <v>0</v>
      </c>
      <c r="I549" s="7">
        <v>10</v>
      </c>
      <c r="J549" s="7">
        <v>0</v>
      </c>
      <c r="K549" s="7">
        <v>9.9</v>
      </c>
      <c r="L549" s="7">
        <v>0.76</v>
      </c>
      <c r="M549" s="7">
        <v>9.9</v>
      </c>
      <c r="N549" s="7">
        <v>0.77</v>
      </c>
      <c r="O549" s="7">
        <v>10</v>
      </c>
      <c r="P549" s="7">
        <v>0</v>
      </c>
      <c r="Q549" s="7">
        <v>0</v>
      </c>
    </row>
    <row r="550" s="1" customFormat="1" ht="14.25" hidden="1" spans="1:17">
      <c r="A550" s="1" t="str">
        <f>VLOOKUP(B550,combinate!A:B,2,FALSE)</f>
        <v>Group B</v>
      </c>
      <c r="B550" s="6">
        <v>233243747967</v>
      </c>
      <c r="C550" s="7">
        <v>20927865</v>
      </c>
      <c r="D550" s="8">
        <v>46166.7226273148</v>
      </c>
      <c r="E550" s="6" t="s">
        <v>419</v>
      </c>
      <c r="F550" s="7">
        <v>0</v>
      </c>
      <c r="G550" s="7">
        <v>0</v>
      </c>
      <c r="H550" s="7">
        <v>0</v>
      </c>
      <c r="I550" s="7">
        <v>0</v>
      </c>
      <c r="J550" s="7">
        <v>0</v>
      </c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</row>
    <row r="551" s="1" customFormat="1" ht="14.25" hidden="1" spans="1:17">
      <c r="A551" s="1" t="str">
        <f>VLOOKUP(B551,combinate!A:B,2,FALSE)</f>
        <v>Group A</v>
      </c>
      <c r="B551" s="6">
        <v>233539069212</v>
      </c>
      <c r="C551" s="7">
        <v>20996851</v>
      </c>
      <c r="D551" s="8">
        <v>46162.7938541667</v>
      </c>
      <c r="E551" s="6" t="s">
        <v>419</v>
      </c>
      <c r="F551" s="7">
        <v>0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</row>
    <row r="552" s="1" customFormat="1" ht="14.25" hidden="1" spans="1:17">
      <c r="A552" s="1" t="str">
        <f>VLOOKUP(B552,combinate!A:B,2,FALSE)</f>
        <v>Group A</v>
      </c>
      <c r="B552" s="6">
        <v>233544913832</v>
      </c>
      <c r="C552" s="7">
        <v>21005141</v>
      </c>
      <c r="D552" s="8">
        <v>46161.4969675926</v>
      </c>
      <c r="E552" s="6" t="s">
        <v>419</v>
      </c>
      <c r="F552" s="7">
        <v>0</v>
      </c>
      <c r="G552" s="7">
        <v>0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</row>
    <row r="553" s="1" customFormat="1" ht="14.25" hidden="1" spans="1:17">
      <c r="A553" s="1" t="str">
        <f>VLOOKUP(B553,combinate!A:B,2,FALSE)</f>
        <v>Group A</v>
      </c>
      <c r="B553" s="6">
        <v>233552289192</v>
      </c>
      <c r="C553" s="7">
        <v>21060660</v>
      </c>
      <c r="D553" s="8">
        <v>46163.9849421296</v>
      </c>
      <c r="E553" s="6" t="s">
        <v>419</v>
      </c>
      <c r="F553" s="7">
        <v>0</v>
      </c>
      <c r="G553" s="7">
        <v>0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</row>
    <row r="554" s="1" customFormat="1" ht="14.25" hidden="1" spans="1:17">
      <c r="A554" s="1" t="str">
        <f>VLOOKUP(B554,combinate!A:B,2,FALSE)</f>
        <v>Group A</v>
      </c>
      <c r="B554" s="6">
        <v>233555683159</v>
      </c>
      <c r="C554" s="7">
        <v>21157261</v>
      </c>
      <c r="D554" s="8">
        <v>46160.2706134259</v>
      </c>
      <c r="E554" s="6" t="s">
        <v>419</v>
      </c>
      <c r="F554" s="7">
        <v>0</v>
      </c>
      <c r="G554" s="7">
        <v>0</v>
      </c>
      <c r="H554" s="7">
        <v>0</v>
      </c>
      <c r="I554" s="7">
        <v>0</v>
      </c>
      <c r="J554" s="7">
        <v>0</v>
      </c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</row>
    <row r="555" s="1" customFormat="1" ht="14.25" hidden="1" spans="1:17">
      <c r="A555" s="1" t="str">
        <f>VLOOKUP(B555,combinate!A:B,2,FALSE)</f>
        <v>Group C</v>
      </c>
      <c r="B555" s="6">
        <v>233592789729</v>
      </c>
      <c r="C555" s="7">
        <v>21194556</v>
      </c>
      <c r="D555" s="8">
        <v>46183.056099537</v>
      </c>
      <c r="E555" s="6" t="s">
        <v>419</v>
      </c>
      <c r="F555" s="7">
        <v>0</v>
      </c>
      <c r="G555" s="7">
        <v>0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</row>
    <row r="556" s="1" customFormat="1" ht="14.25" hidden="1" spans="1:17">
      <c r="A556" s="1" t="str">
        <f>VLOOKUP(B556,combinate!A:B,2,FALSE)</f>
        <v>Group C</v>
      </c>
      <c r="B556" s="6">
        <v>233535716645</v>
      </c>
      <c r="C556" s="7">
        <v>21195457</v>
      </c>
      <c r="D556" s="8">
        <v>46166.4192476852</v>
      </c>
      <c r="E556" s="6" t="s">
        <v>419</v>
      </c>
      <c r="F556" s="7">
        <v>0</v>
      </c>
      <c r="G556" s="7">
        <v>0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</row>
    <row r="557" s="1" customFormat="1" ht="14.25" hidden="1" spans="1:17">
      <c r="A557" s="1" t="str">
        <f>VLOOKUP(B557,combinate!A:B,2,FALSE)</f>
        <v>Group B</v>
      </c>
      <c r="B557" s="6">
        <v>233240862819</v>
      </c>
      <c r="C557" s="7">
        <v>21221134</v>
      </c>
      <c r="D557" s="8">
        <v>46161.6175810185</v>
      </c>
      <c r="E557" s="6" t="s">
        <v>419</v>
      </c>
      <c r="F557" s="7">
        <v>0</v>
      </c>
      <c r="G557" s="7">
        <v>0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</row>
    <row r="558" s="1" customFormat="1" ht="14.25" hidden="1" spans="1:17">
      <c r="A558" s="1" t="str">
        <f>VLOOKUP(B558,combinate!A:B,2,FALSE)</f>
        <v>Group B</v>
      </c>
      <c r="B558" s="6">
        <v>233245694932</v>
      </c>
      <c r="C558" s="7">
        <v>21435623</v>
      </c>
      <c r="D558" s="8">
        <v>46166.8752314815</v>
      </c>
      <c r="E558" s="6" t="s">
        <v>419</v>
      </c>
      <c r="F558" s="7">
        <v>0</v>
      </c>
      <c r="G558" s="7">
        <v>0</v>
      </c>
      <c r="H558" s="7">
        <v>0</v>
      </c>
      <c r="I558" s="7">
        <v>0</v>
      </c>
      <c r="J558" s="7">
        <v>0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</row>
    <row r="559" s="1" customFormat="1" ht="14.25" hidden="1" spans="1:17">
      <c r="A559" s="1" t="str">
        <f>VLOOKUP(B559,combinate!A:B,2,FALSE)</f>
        <v>Group B</v>
      </c>
      <c r="B559" s="6">
        <v>233559077557</v>
      </c>
      <c r="C559" s="7">
        <v>21704435</v>
      </c>
      <c r="D559" s="8">
        <v>46161.3366435185</v>
      </c>
      <c r="E559" s="6" t="s">
        <v>419</v>
      </c>
      <c r="F559" s="7">
        <v>0</v>
      </c>
      <c r="G559" s="7">
        <v>0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</row>
    <row r="560" s="1" customFormat="1" ht="14.25" hidden="1" spans="1:17">
      <c r="A560" s="1" t="str">
        <f>VLOOKUP(B560,combinate!A:B,2,FALSE)</f>
        <v>Group A</v>
      </c>
      <c r="B560" s="6">
        <v>233597869750</v>
      </c>
      <c r="C560" s="7">
        <v>21772010</v>
      </c>
      <c r="D560" s="8">
        <v>46182.8554166667</v>
      </c>
      <c r="E560" s="9" t="s">
        <v>415</v>
      </c>
      <c r="F560" s="7">
        <v>80.35</v>
      </c>
      <c r="G560" s="7">
        <v>1044.5</v>
      </c>
      <c r="H560" s="7">
        <v>0</v>
      </c>
      <c r="I560" s="7">
        <v>1044.5</v>
      </c>
      <c r="J560" s="7">
        <v>0</v>
      </c>
      <c r="K560" s="7">
        <v>90.13</v>
      </c>
      <c r="L560" s="7">
        <v>6.93</v>
      </c>
      <c r="M560" s="7">
        <v>90.13</v>
      </c>
      <c r="N560" s="7">
        <v>11.15</v>
      </c>
      <c r="O560" s="7">
        <v>145</v>
      </c>
      <c r="P560" s="7">
        <v>4.23</v>
      </c>
      <c r="Q560" s="7">
        <v>55</v>
      </c>
    </row>
    <row r="561" s="1" customFormat="1" ht="14.25" hidden="1" spans="1:17">
      <c r="A561" s="1" t="str">
        <f>VLOOKUP(B561,combinate!A:B,2,FALSE)</f>
        <v>Group C</v>
      </c>
      <c r="B561" s="6">
        <v>233248074977</v>
      </c>
      <c r="C561" s="7">
        <v>21782719</v>
      </c>
      <c r="D561" s="8">
        <v>46163.5036458333</v>
      </c>
      <c r="E561" s="6" t="s">
        <v>419</v>
      </c>
      <c r="F561" s="7">
        <v>0</v>
      </c>
      <c r="G561" s="7">
        <v>0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</row>
    <row r="562" s="1" customFormat="1" ht="14.25" hidden="1" spans="1:17">
      <c r="A562" s="1" t="str">
        <f>VLOOKUP(B562,combinate!A:B,2,FALSE)</f>
        <v>Group B</v>
      </c>
      <c r="B562" s="6">
        <v>233531478264</v>
      </c>
      <c r="C562" s="7">
        <v>21783173</v>
      </c>
      <c r="D562" s="8">
        <v>46180.748912037</v>
      </c>
      <c r="E562" s="6" t="s">
        <v>419</v>
      </c>
      <c r="F562" s="7">
        <v>0</v>
      </c>
      <c r="G562" s="7">
        <v>0</v>
      </c>
      <c r="H562" s="7">
        <v>0</v>
      </c>
      <c r="I562" s="7">
        <v>0</v>
      </c>
      <c r="J562" s="7">
        <v>0</v>
      </c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</row>
    <row r="563" s="1" customFormat="1" ht="14.25" hidden="1" spans="1:17">
      <c r="A563" s="1" t="str">
        <f>VLOOKUP(B563,combinate!A:B,2,FALSE)</f>
        <v>Group B</v>
      </c>
      <c r="B563" s="6">
        <v>233247020883</v>
      </c>
      <c r="C563" s="7">
        <v>21784384</v>
      </c>
      <c r="D563" s="8">
        <v>46161.0412962963</v>
      </c>
      <c r="E563" s="6" t="s">
        <v>419</v>
      </c>
      <c r="F563" s="7">
        <v>0</v>
      </c>
      <c r="G563" s="7">
        <v>0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</row>
    <row r="564" s="1" customFormat="1" ht="14.25" hidden="1" spans="1:17">
      <c r="A564" s="1" t="str">
        <f>VLOOKUP(B564,combinate!A:B,2,FALSE)</f>
        <v>Group A</v>
      </c>
      <c r="B564" s="6">
        <v>233558394162</v>
      </c>
      <c r="C564" s="7">
        <v>21971540</v>
      </c>
      <c r="D564" s="8">
        <v>46161.8566550926</v>
      </c>
      <c r="E564" s="6" t="s">
        <v>419</v>
      </c>
      <c r="F564" s="7">
        <v>0</v>
      </c>
      <c r="G564" s="7">
        <v>0</v>
      </c>
      <c r="H564" s="7">
        <v>0</v>
      </c>
      <c r="I564" s="7">
        <v>0</v>
      </c>
      <c r="J564" s="7">
        <v>0</v>
      </c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</row>
    <row r="565" s="1" customFormat="1" ht="14.25" hidden="1" spans="1:17">
      <c r="A565" s="1" t="str">
        <f>VLOOKUP(B565,combinate!A:B,2,FALSE)</f>
        <v>Group C</v>
      </c>
      <c r="B565" s="6">
        <v>233596805286</v>
      </c>
      <c r="C565" s="7">
        <v>22057738</v>
      </c>
      <c r="D565" s="8">
        <v>46162.4562731481</v>
      </c>
      <c r="E565" s="6" t="s">
        <v>419</v>
      </c>
      <c r="F565" s="7">
        <v>0</v>
      </c>
      <c r="G565" s="7">
        <v>0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</row>
    <row r="566" s="1" customFormat="1" ht="14.25" hidden="1" spans="1:17">
      <c r="A566" s="1" t="str">
        <f>VLOOKUP(B566,combinate!A:B,2,FALSE)</f>
        <v>Group B</v>
      </c>
      <c r="B566" s="6">
        <v>233244390015</v>
      </c>
      <c r="C566" s="7">
        <v>22362013</v>
      </c>
      <c r="D566" s="8">
        <v>46184.1052083333</v>
      </c>
      <c r="E566" s="9" t="s">
        <v>415</v>
      </c>
      <c r="F566" s="7">
        <v>481.74</v>
      </c>
      <c r="G566" s="7">
        <v>6262.68</v>
      </c>
      <c r="H566" s="7">
        <v>0</v>
      </c>
      <c r="I566" s="7">
        <v>6262.68</v>
      </c>
      <c r="J566" s="7">
        <v>0</v>
      </c>
      <c r="K566" s="7">
        <v>747.68</v>
      </c>
      <c r="L566" s="7">
        <v>57.51</v>
      </c>
      <c r="M566" s="7">
        <v>747.68</v>
      </c>
      <c r="N566" s="7">
        <v>67.69</v>
      </c>
      <c r="O566" s="7">
        <v>880</v>
      </c>
      <c r="P566" s="7">
        <v>16.08</v>
      </c>
      <c r="Q566" s="7">
        <v>209</v>
      </c>
    </row>
    <row r="567" s="1" customFormat="1" ht="14.25" hidden="1" spans="1:17">
      <c r="A567" s="1" t="str">
        <f>VLOOKUP(B567,combinate!A:B,2,FALSE)</f>
        <v>Group C</v>
      </c>
      <c r="B567" s="6">
        <v>233208388769</v>
      </c>
      <c r="C567" s="7">
        <v>22364297</v>
      </c>
      <c r="D567" s="8">
        <v>46162.6721643519</v>
      </c>
      <c r="E567" s="6" t="s">
        <v>419</v>
      </c>
      <c r="F567" s="7">
        <v>0</v>
      </c>
      <c r="G567" s="7">
        <v>0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</row>
    <row r="568" s="1" customFormat="1" ht="14.25" hidden="1" spans="1:17">
      <c r="A568" s="1" t="str">
        <f>VLOOKUP(B568,combinate!A:B,2,FALSE)</f>
        <v>Group B</v>
      </c>
      <c r="B568" s="6">
        <v>233540576978</v>
      </c>
      <c r="C568" s="7">
        <v>22387195</v>
      </c>
      <c r="D568" s="8">
        <v>46166.2950810185</v>
      </c>
      <c r="E568" s="6" t="s">
        <v>419</v>
      </c>
      <c r="F568" s="7">
        <v>0</v>
      </c>
      <c r="G568" s="7">
        <v>0</v>
      </c>
      <c r="H568" s="7">
        <v>0</v>
      </c>
      <c r="I568" s="7">
        <v>0</v>
      </c>
      <c r="J568" s="7">
        <v>0</v>
      </c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</row>
    <row r="569" s="1" customFormat="1" ht="14.25" hidden="1" spans="1:17">
      <c r="A569" s="1" t="str">
        <f>VLOOKUP(B569,combinate!A:B,2,FALSE)</f>
        <v>Group C</v>
      </c>
      <c r="B569" s="6">
        <v>233544168071</v>
      </c>
      <c r="C569" s="7">
        <v>22437078</v>
      </c>
      <c r="D569" s="8">
        <v>46163.8789351852</v>
      </c>
      <c r="E569" s="6" t="s">
        <v>419</v>
      </c>
      <c r="F569" s="7">
        <v>0</v>
      </c>
      <c r="G569" s="7">
        <v>0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</row>
    <row r="570" s="1" customFormat="1" ht="14.25" hidden="1" spans="1:17">
      <c r="A570" s="1" t="str">
        <f>VLOOKUP(B570,combinate!A:B,2,FALSE)</f>
        <v>Group B</v>
      </c>
      <c r="B570" s="6">
        <v>233244062840</v>
      </c>
      <c r="C570" s="7">
        <v>22477425</v>
      </c>
      <c r="D570" s="8">
        <v>46182.4359953704</v>
      </c>
      <c r="E570" s="9" t="s">
        <v>415</v>
      </c>
      <c r="F570" s="7">
        <v>9.03</v>
      </c>
      <c r="G570" s="7">
        <v>117.34</v>
      </c>
      <c r="H570" s="7">
        <v>0</v>
      </c>
      <c r="I570" s="7">
        <v>117.34</v>
      </c>
      <c r="J570" s="7">
        <v>0</v>
      </c>
      <c r="K570" s="7">
        <v>71.25</v>
      </c>
      <c r="L570" s="7">
        <v>5.48</v>
      </c>
      <c r="M570" s="7">
        <v>71.25</v>
      </c>
      <c r="N570" s="7">
        <v>4.85</v>
      </c>
      <c r="O570" s="7">
        <v>63</v>
      </c>
      <c r="P570" s="7">
        <v>0</v>
      </c>
      <c r="Q570" s="7">
        <v>0</v>
      </c>
    </row>
    <row r="571" s="1" customFormat="1" ht="14.25" hidden="1" spans="1:17">
      <c r="A571" s="1" t="str">
        <f>VLOOKUP(B571,combinate!A:B,2,FALSE)</f>
        <v>Group B</v>
      </c>
      <c r="B571" s="6">
        <v>233543968847</v>
      </c>
      <c r="C571" s="7">
        <v>22481285</v>
      </c>
      <c r="D571" s="8">
        <v>46161.5575925926</v>
      </c>
      <c r="E571" s="6" t="s">
        <v>419</v>
      </c>
      <c r="F571" s="7">
        <v>0</v>
      </c>
      <c r="G571" s="7">
        <v>0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</row>
    <row r="572" s="1" customFormat="1" ht="14.25" hidden="1" spans="1:17">
      <c r="A572" s="1" t="str">
        <f>VLOOKUP(B572,combinate!A:B,2,FALSE)</f>
        <v>Group A</v>
      </c>
      <c r="B572" s="6">
        <v>233535831756</v>
      </c>
      <c r="C572" s="7">
        <v>22487841</v>
      </c>
      <c r="D572" s="8">
        <v>46166.9858449074</v>
      </c>
      <c r="E572" s="6" t="s">
        <v>419</v>
      </c>
      <c r="F572" s="7">
        <v>0</v>
      </c>
      <c r="G572" s="7">
        <v>0</v>
      </c>
      <c r="H572" s="7">
        <v>0</v>
      </c>
      <c r="I572" s="7">
        <v>0</v>
      </c>
      <c r="J572" s="7">
        <v>0</v>
      </c>
      <c r="K572" s="7">
        <v>0</v>
      </c>
      <c r="L572" s="7">
        <v>0</v>
      </c>
      <c r="M572" s="7">
        <v>0</v>
      </c>
      <c r="N572" s="7">
        <v>0</v>
      </c>
      <c r="O572" s="7">
        <v>0</v>
      </c>
      <c r="P572" s="7">
        <v>0</v>
      </c>
      <c r="Q572" s="7">
        <v>0</v>
      </c>
    </row>
    <row r="573" s="1" customFormat="1" ht="14.25" hidden="1" spans="1:17">
      <c r="A573" s="1" t="str">
        <f>VLOOKUP(B573,combinate!A:B,2,FALSE)</f>
        <v>Group B</v>
      </c>
      <c r="B573" s="6">
        <v>233203620398</v>
      </c>
      <c r="C573" s="7">
        <v>22516984</v>
      </c>
      <c r="D573" s="8">
        <v>46162.3534722222</v>
      </c>
      <c r="E573" s="6" t="s">
        <v>419</v>
      </c>
      <c r="F573" s="7">
        <v>0</v>
      </c>
      <c r="G573" s="7">
        <v>0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</row>
    <row r="574" s="1" customFormat="1" ht="14.25" hidden="1" spans="1:17">
      <c r="A574" s="1" t="str">
        <f>VLOOKUP(B574,combinate!A:B,2,FALSE)</f>
        <v>Group B</v>
      </c>
      <c r="B574" s="6">
        <v>233548660654</v>
      </c>
      <c r="C574" s="7">
        <v>22518843</v>
      </c>
      <c r="D574" s="8">
        <v>46163.431875</v>
      </c>
      <c r="E574" s="6" t="s">
        <v>419</v>
      </c>
      <c r="F574" s="7">
        <v>0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0</v>
      </c>
      <c r="N574" s="7">
        <v>0</v>
      </c>
      <c r="O574" s="7">
        <v>0</v>
      </c>
      <c r="P574" s="7">
        <v>0</v>
      </c>
      <c r="Q574" s="7">
        <v>0</v>
      </c>
    </row>
    <row r="575" s="1" customFormat="1" ht="14.25" hidden="1" spans="1:17">
      <c r="A575" s="1" t="str">
        <f>VLOOKUP(B575,combinate!A:B,2,FALSE)</f>
        <v>Group A</v>
      </c>
      <c r="B575" s="6">
        <v>233542100562</v>
      </c>
      <c r="C575" s="7">
        <v>22535861</v>
      </c>
      <c r="D575" s="8">
        <v>46161.5722800926</v>
      </c>
      <c r="E575" s="6" t="s">
        <v>419</v>
      </c>
      <c r="F575" s="7">
        <v>0</v>
      </c>
      <c r="G575" s="7">
        <v>0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</row>
    <row r="576" s="1" customFormat="1" ht="14.25" hidden="1" spans="1:17">
      <c r="A576" s="1" t="str">
        <f>VLOOKUP(B576,combinate!A:B,2,FALSE)</f>
        <v>Group A</v>
      </c>
      <c r="B576" s="6">
        <v>233246969922</v>
      </c>
      <c r="C576" s="7">
        <v>22557042</v>
      </c>
      <c r="D576" s="8">
        <v>46161.3556018519</v>
      </c>
      <c r="E576" s="6" t="s">
        <v>419</v>
      </c>
      <c r="F576" s="7">
        <v>0</v>
      </c>
      <c r="G576" s="7">
        <v>0</v>
      </c>
      <c r="H576" s="7">
        <v>0</v>
      </c>
      <c r="I576" s="7">
        <v>0</v>
      </c>
      <c r="J576" s="7">
        <v>0</v>
      </c>
      <c r="K576" s="7">
        <v>0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</row>
    <row r="577" s="1" customFormat="1" ht="14.25" hidden="1" spans="1:17">
      <c r="A577" s="1" t="str">
        <f>VLOOKUP(B577,combinate!A:B,2,FALSE)</f>
        <v>Group A</v>
      </c>
      <c r="B577" s="6">
        <v>233545337894</v>
      </c>
      <c r="C577" s="7">
        <v>22650902</v>
      </c>
      <c r="D577" s="8">
        <v>46162.3971990741</v>
      </c>
      <c r="E577" s="6" t="s">
        <v>419</v>
      </c>
      <c r="F577" s="7">
        <v>0</v>
      </c>
      <c r="G577" s="7">
        <v>0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</row>
    <row r="578" s="1" customFormat="1" ht="14.25" hidden="1" spans="1:17">
      <c r="A578" s="1" t="str">
        <f>VLOOKUP(B578,combinate!A:B,2,FALSE)</f>
        <v>Group A</v>
      </c>
      <c r="B578" s="6">
        <v>233247904073</v>
      </c>
      <c r="C578" s="7">
        <v>22679150</v>
      </c>
      <c r="D578" s="8">
        <v>46160.937662037</v>
      </c>
      <c r="E578" s="6" t="s">
        <v>419</v>
      </c>
      <c r="F578" s="7">
        <v>0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</row>
    <row r="579" s="1" customFormat="1" ht="14.25" hidden="1" spans="1:17">
      <c r="A579" s="1" t="str">
        <f>VLOOKUP(B579,combinate!A:B,2,FALSE)</f>
        <v>Group A</v>
      </c>
      <c r="B579" s="6">
        <v>233241107011</v>
      </c>
      <c r="C579" s="7">
        <v>22718402</v>
      </c>
      <c r="D579" s="8">
        <v>46163.0934490741</v>
      </c>
      <c r="E579" s="6" t="s">
        <v>419</v>
      </c>
      <c r="F579" s="7">
        <v>0</v>
      </c>
      <c r="G579" s="7">
        <v>0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</row>
    <row r="580" s="1" customFormat="1" ht="14.25" hidden="1" spans="1:17">
      <c r="A580" s="1" t="str">
        <f>VLOOKUP(B580,combinate!A:B,2,FALSE)</f>
        <v>Group C</v>
      </c>
      <c r="B580" s="6">
        <v>233543899313</v>
      </c>
      <c r="C580" s="7">
        <v>22721147</v>
      </c>
      <c r="D580" s="8">
        <v>46166.9072916667</v>
      </c>
      <c r="E580" s="6" t="s">
        <v>419</v>
      </c>
      <c r="F580" s="7">
        <v>0</v>
      </c>
      <c r="G580" s="7">
        <v>0</v>
      </c>
      <c r="H580" s="7">
        <v>0</v>
      </c>
      <c r="I580" s="7">
        <v>0</v>
      </c>
      <c r="J580" s="7">
        <v>0</v>
      </c>
      <c r="K580" s="7">
        <v>0</v>
      </c>
      <c r="L580" s="7">
        <v>0</v>
      </c>
      <c r="M580" s="7">
        <v>0</v>
      </c>
      <c r="N580" s="7">
        <v>0</v>
      </c>
      <c r="O580" s="7">
        <v>0</v>
      </c>
      <c r="P580" s="7">
        <v>0</v>
      </c>
      <c r="Q580" s="7">
        <v>0</v>
      </c>
    </row>
    <row r="581" s="1" customFormat="1" ht="14.25" hidden="1" spans="1:17">
      <c r="A581" s="1" t="str">
        <f>VLOOKUP(B581,combinate!A:B,2,FALSE)</f>
        <v>Group C</v>
      </c>
      <c r="B581" s="6">
        <v>233555745429</v>
      </c>
      <c r="C581" s="7">
        <v>22780517</v>
      </c>
      <c r="D581" s="8">
        <v>46166.6488078704</v>
      </c>
      <c r="E581" s="6" t="s">
        <v>419</v>
      </c>
      <c r="F581" s="7">
        <v>0</v>
      </c>
      <c r="G581" s="7">
        <v>0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</row>
    <row r="582" s="1" customFormat="1" ht="14.25" hidden="1" spans="1:17">
      <c r="A582" s="1" t="str">
        <f>VLOOKUP(B582,combinate!A:B,2,FALSE)</f>
        <v>Group B</v>
      </c>
      <c r="B582" s="6">
        <v>233264612466</v>
      </c>
      <c r="C582" s="7">
        <v>22843754</v>
      </c>
      <c r="D582" s="8">
        <v>46166.4431134259</v>
      </c>
      <c r="E582" s="6" t="s">
        <v>419</v>
      </c>
      <c r="F582" s="7">
        <v>0</v>
      </c>
      <c r="G582" s="7">
        <v>0</v>
      </c>
      <c r="H582" s="7">
        <v>0</v>
      </c>
      <c r="I582" s="7">
        <v>0</v>
      </c>
      <c r="J582" s="7">
        <v>0</v>
      </c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</row>
    <row r="583" s="1" customFormat="1" ht="14.25" hidden="1" spans="1:17">
      <c r="A583" s="1" t="str">
        <f>VLOOKUP(B583,combinate!A:B,2,FALSE)</f>
        <v>Group A</v>
      </c>
      <c r="B583" s="6">
        <v>233243016610</v>
      </c>
      <c r="C583" s="7">
        <v>22846240</v>
      </c>
      <c r="D583" s="8">
        <v>46160.4768287037</v>
      </c>
      <c r="E583" s="6" t="s">
        <v>419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</row>
    <row r="584" s="1" customFormat="1" ht="14.25" hidden="1" spans="1:17">
      <c r="A584" s="1" t="str">
        <f>VLOOKUP(B584,combinate!A:B,2,FALSE)</f>
        <v>Group B</v>
      </c>
      <c r="B584" s="6">
        <v>233536462350</v>
      </c>
      <c r="C584" s="7">
        <v>22898745</v>
      </c>
      <c r="D584" s="8">
        <v>46179.3946064815</v>
      </c>
      <c r="E584" s="6" t="s">
        <v>419</v>
      </c>
      <c r="F584" s="7">
        <v>0</v>
      </c>
      <c r="G584" s="7">
        <v>0</v>
      </c>
      <c r="H584" s="7">
        <v>0</v>
      </c>
      <c r="I584" s="7">
        <v>0</v>
      </c>
      <c r="J584" s="7">
        <v>0</v>
      </c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</row>
    <row r="585" s="1" customFormat="1" ht="14.25" hidden="1" spans="1:17">
      <c r="A585" s="1" t="str">
        <f>VLOOKUP(B585,combinate!A:B,2,FALSE)</f>
        <v>Group B</v>
      </c>
      <c r="B585" s="6">
        <v>233552201343</v>
      </c>
      <c r="C585" s="7">
        <v>22932444</v>
      </c>
      <c r="D585" s="8">
        <v>46162.277662037</v>
      </c>
      <c r="E585" s="6" t="s">
        <v>419</v>
      </c>
      <c r="F585" s="7">
        <v>0</v>
      </c>
      <c r="G585" s="7">
        <v>0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</row>
    <row r="586" s="1" customFormat="1" ht="14.25" hidden="1" spans="1:17">
      <c r="A586" s="1" t="str">
        <f>VLOOKUP(B586,combinate!A:B,2,FALSE)</f>
        <v>Group B</v>
      </c>
      <c r="B586" s="6">
        <v>233597642209</v>
      </c>
      <c r="C586" s="7">
        <v>22933633</v>
      </c>
      <c r="D586" s="8">
        <v>46161.5988657407</v>
      </c>
      <c r="E586" s="6" t="s">
        <v>419</v>
      </c>
      <c r="F586" s="7">
        <v>0</v>
      </c>
      <c r="G586" s="7">
        <v>0</v>
      </c>
      <c r="H586" s="7">
        <v>0</v>
      </c>
      <c r="I586" s="7">
        <v>0</v>
      </c>
      <c r="J586" s="7">
        <v>0</v>
      </c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</row>
    <row r="587" s="1" customFormat="1" ht="14.25" hidden="1" spans="1:17">
      <c r="A587" s="1" t="str">
        <f>VLOOKUP(B587,combinate!A:B,2,FALSE)</f>
        <v>Group A</v>
      </c>
      <c r="B587" s="6">
        <v>233243952996</v>
      </c>
      <c r="C587" s="7">
        <v>22978641</v>
      </c>
      <c r="D587" s="8">
        <v>46166.47625</v>
      </c>
      <c r="E587" s="6" t="s">
        <v>419</v>
      </c>
      <c r="F587" s="7">
        <v>0</v>
      </c>
      <c r="G587" s="7">
        <v>0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</row>
    <row r="588" s="1" customFormat="1" ht="14.25" hidden="1" spans="1:17">
      <c r="A588" s="1" t="str">
        <f>VLOOKUP(B588,combinate!A:B,2,FALSE)</f>
        <v>Group B</v>
      </c>
      <c r="B588" s="6">
        <v>233240097781</v>
      </c>
      <c r="C588" s="7">
        <v>18410664</v>
      </c>
      <c r="D588" s="8">
        <v>46166.9992013889</v>
      </c>
      <c r="E588" s="6" t="s">
        <v>419</v>
      </c>
      <c r="F588" s="7">
        <v>0</v>
      </c>
      <c r="G588" s="7">
        <v>0</v>
      </c>
      <c r="H588" s="7">
        <v>0</v>
      </c>
      <c r="I588" s="7">
        <v>0</v>
      </c>
      <c r="J588" s="7">
        <v>0</v>
      </c>
      <c r="K588" s="7">
        <v>0</v>
      </c>
      <c r="L588" s="7">
        <v>0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</row>
    <row r="589" s="1" customFormat="1" ht="14.25" hidden="1" spans="1:17">
      <c r="A589" s="1" t="str">
        <f>VLOOKUP(B589,combinate!A:B,2,FALSE)</f>
        <v>Group C</v>
      </c>
      <c r="B589" s="6">
        <v>233256529449</v>
      </c>
      <c r="C589" s="7">
        <v>18847798</v>
      </c>
      <c r="D589" s="8">
        <v>46177.6461805556</v>
      </c>
      <c r="E589" s="6" t="s">
        <v>419</v>
      </c>
      <c r="F589" s="7">
        <v>0</v>
      </c>
      <c r="G589" s="7">
        <v>0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</row>
    <row r="590" s="1" customFormat="1" ht="14.25" hidden="1" spans="1:17">
      <c r="A590" s="1" t="str">
        <f>VLOOKUP(B590,combinate!A:B,2,FALSE)</f>
        <v>Group C</v>
      </c>
      <c r="B590" s="6">
        <v>233539719727</v>
      </c>
      <c r="C590" s="7">
        <v>19428007</v>
      </c>
      <c r="D590" s="8">
        <v>46166.6166087963</v>
      </c>
      <c r="E590" s="6" t="s">
        <v>419</v>
      </c>
      <c r="F590" s="7">
        <v>0</v>
      </c>
      <c r="G590" s="7">
        <v>0</v>
      </c>
      <c r="H590" s="7">
        <v>0</v>
      </c>
      <c r="I590" s="7">
        <v>0</v>
      </c>
      <c r="J590" s="7">
        <v>0</v>
      </c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</row>
    <row r="591" s="1" customFormat="1" ht="14.25" hidden="1" spans="1:17">
      <c r="A591" s="1" t="str">
        <f>VLOOKUP(B591,combinate!A:B,2,FALSE)</f>
        <v>Group B</v>
      </c>
      <c r="B591" s="6">
        <v>233268228181</v>
      </c>
      <c r="C591" s="7">
        <v>20729693</v>
      </c>
      <c r="D591" s="8">
        <v>46166.0132060185</v>
      </c>
      <c r="E591" s="6" t="s">
        <v>419</v>
      </c>
      <c r="F591" s="7">
        <v>0</v>
      </c>
      <c r="G591" s="7">
        <v>0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</row>
  </sheetData>
  <autoFilter xmlns:etc="http://www.wps.cn/officeDocument/2017/etCustomData" ref="A1:Q591" etc:filterBottomFollowUsedRange="0">
    <filterColumn colId="5">
      <filters>
        <filter val="3224.42"/>
        <filter val="5579.22"/>
        <filter val="5319.23"/>
        <filter val="1071.44"/>
        <filter val="1439.75"/>
        <filter val="1579.65"/>
        <filter val="7443.55"/>
        <filter val="796.56"/>
        <filter val="9196.06"/>
        <filter val="7035.27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A组</vt:lpstr>
      <vt:lpstr>B组</vt:lpstr>
      <vt:lpstr>C组</vt:lpstr>
      <vt:lpstr>combinate</vt:lpstr>
      <vt:lpstr>Sheet2</vt:lpstr>
      <vt:lpstr>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ddj57</dc:creator>
  <cp:lastModifiedBy>ddj57</cp:lastModifiedBy>
  <dcterms:created xsi:type="dcterms:W3CDTF">2023-05-12T11:15:00Z</dcterms:created>
  <dcterms:modified xsi:type="dcterms:W3CDTF">2026-06-12T07:40:19Z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C3CCEE92583B4C8CAF0DE8FC6076A4EA_13</vt:lpwstr>
  </property>
  <property fmtid="{D5CDD505-2E9C-101B-9397-08002B2CF9AE}" pid="4" name="CalculationRule">
    <vt:i4>0</vt:i4>
  </property>
</Properties>
</file>